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<sst xmlns="http://schemas.openxmlformats.org/spreadsheetml/2006/main" count="665" uniqueCount="642">
  <si>
    <t>matID</t>
  </si>
  <si>
    <t>DATA_name</t>
  </si>
  <si>
    <t>FLOPs</t>
  </si>
  <si>
    <t>HaSpGEMM(ms)</t>
  </si>
  <si>
    <t>Ha_GFlops</t>
  </si>
  <si>
    <t>speedup_1</t>
  </si>
  <si>
    <t>average_1</t>
  </si>
  <si>
    <t>AOCL(ms)</t>
  </si>
  <si>
    <t>AOCL_GFlops</t>
  </si>
  <si>
    <t>speedup_2</t>
  </si>
  <si>
    <t>average_2</t>
  </si>
  <si>
    <t>Kokkos(ms)</t>
  </si>
  <si>
    <t>kokkos_GFlops</t>
  </si>
  <si>
    <t>speedup_3</t>
  </si>
  <si>
    <t>average_3</t>
  </si>
  <si>
    <t>CSeg(s)</t>
  </si>
  <si>
    <t>CSeg_GFlops</t>
  </si>
  <si>
    <t>speedup_4</t>
  </si>
  <si>
    <t>average_4</t>
  </si>
  <si>
    <t>MFLOPS</t>
  </si>
  <si>
    <t>Hier_GFlops</t>
  </si>
  <si>
    <t>speedup_5</t>
  </si>
  <si>
    <t>average_5</t>
  </si>
  <si>
    <t>GraphBLAS(s)</t>
  </si>
  <si>
    <t>Gra_GFlops</t>
  </si>
  <si>
    <t>speedup_6</t>
  </si>
  <si>
    <t>average_6</t>
  </si>
  <si>
    <t>LeSpGEMM(ms)</t>
  </si>
  <si>
    <t>Le_GFlops</t>
  </si>
  <si>
    <t>piston</t>
  </si>
  <si>
    <t>ford1</t>
  </si>
  <si>
    <t>c-41</t>
  </si>
  <si>
    <t>mhd4800a</t>
  </si>
  <si>
    <t>cz10228</t>
  </si>
  <si>
    <t>shuttle_eddy_id_763</t>
  </si>
  <si>
    <t>shuttle_eddy_id_881</t>
  </si>
  <si>
    <t>wiki-Vote</t>
  </si>
  <si>
    <t>nasa4704_id_760</t>
  </si>
  <si>
    <t>nasa4704_id_365</t>
  </si>
  <si>
    <t>crystm01</t>
  </si>
  <si>
    <t>rajat09</t>
  </si>
  <si>
    <t>as-caida</t>
  </si>
  <si>
    <t>mark3jac040sc</t>
  </si>
  <si>
    <t>mark3jac040</t>
  </si>
  <si>
    <t>barth5_id_867</t>
  </si>
  <si>
    <t>g7jac040</t>
  </si>
  <si>
    <t>g7jac040sc</t>
  </si>
  <si>
    <t>vsp_p0291_seymourl_iiasa</t>
  </si>
  <si>
    <t>windtunnel_evap2d</t>
  </si>
  <si>
    <t>bloweybl</t>
  </si>
  <si>
    <t>c-42</t>
  </si>
  <si>
    <t>vsp_data_and_seymourl</t>
  </si>
  <si>
    <t>jan99jac060sc</t>
  </si>
  <si>
    <t>jan99jac060</t>
  </si>
  <si>
    <t>CurlCurl_0</t>
  </si>
  <si>
    <t>cvxqp3</t>
  </si>
  <si>
    <t>de2010</t>
  </si>
  <si>
    <t>c-39</t>
  </si>
  <si>
    <t>bcsstk15</t>
  </si>
  <si>
    <t>foldoc</t>
  </si>
  <si>
    <t>bodyy4</t>
  </si>
  <si>
    <t>c-43</t>
  </si>
  <si>
    <t>hi2010</t>
  </si>
  <si>
    <t>vsp_c-30_data_data</t>
  </si>
  <si>
    <t>indianpines_10NN</t>
  </si>
  <si>
    <t>aft01</t>
  </si>
  <si>
    <t>ri2010</t>
  </si>
  <si>
    <t>aug3dcqp</t>
  </si>
  <si>
    <t>bodyy5</t>
  </si>
  <si>
    <t>rajat10</t>
  </si>
  <si>
    <t>raefsky6</t>
  </si>
  <si>
    <t>c-46</t>
  </si>
  <si>
    <t>igbt3</t>
  </si>
  <si>
    <t>JapaneseVowelsSmall_10NN</t>
  </si>
  <si>
    <t>cavity23</t>
  </si>
  <si>
    <t>cavity25</t>
  </si>
  <si>
    <t>cavity17</t>
  </si>
  <si>
    <t>cavity21</t>
  </si>
  <si>
    <t>cavity19</t>
  </si>
  <si>
    <t>Wordnet3</t>
  </si>
  <si>
    <t>bodyy6</t>
  </si>
  <si>
    <t>mycielskian11</t>
  </si>
  <si>
    <t>ACTIVSg10K</t>
  </si>
  <si>
    <t>cavity16</t>
  </si>
  <si>
    <t>cavity26</t>
  </si>
  <si>
    <t>cavity24</t>
  </si>
  <si>
    <t>cavity22</t>
  </si>
  <si>
    <t>cavity20</t>
  </si>
  <si>
    <t>cavity18</t>
  </si>
  <si>
    <t>rail_20209</t>
  </si>
  <si>
    <t>cca</t>
  </si>
  <si>
    <t>stokes64s</t>
  </si>
  <si>
    <t>stokes64</t>
  </si>
  <si>
    <t>OPF_3754</t>
  </si>
  <si>
    <t>shock-9</t>
  </si>
  <si>
    <t>ted_B_unscaled</t>
  </si>
  <si>
    <t>ted_B</t>
  </si>
  <si>
    <t>juba40k</t>
  </si>
  <si>
    <t>bauru5727</t>
  </si>
  <si>
    <t>shermanACb</t>
  </si>
  <si>
    <t>g7jac050sc</t>
  </si>
  <si>
    <t>mnist_test_norm_10NN</t>
  </si>
  <si>
    <t>ccc</t>
  </si>
  <si>
    <t>p2p-Gnutella31</t>
  </si>
  <si>
    <t>case9</t>
  </si>
  <si>
    <t>bcsstk18</t>
  </si>
  <si>
    <t>hangGlider_4</t>
  </si>
  <si>
    <t>pds10</t>
  </si>
  <si>
    <t>bloweya</t>
  </si>
  <si>
    <t>cage10</t>
  </si>
  <si>
    <t>wing_nodal</t>
  </si>
  <si>
    <t>jan99jac080</t>
  </si>
  <si>
    <t>jan99jac080sc</t>
  </si>
  <si>
    <t>har_10NN</t>
  </si>
  <si>
    <t>lhr07</t>
  </si>
  <si>
    <t>hangGlider_5</t>
  </si>
  <si>
    <t>vt2010</t>
  </si>
  <si>
    <t>lhr07c</t>
  </si>
  <si>
    <t>kmnist_norm_10NN</t>
  </si>
  <si>
    <t>c-49</t>
  </si>
  <si>
    <t>Fashion_MNIST_norm_10NN</t>
  </si>
  <si>
    <t>hvdc1</t>
  </si>
  <si>
    <t>bcsstk24</t>
  </si>
  <si>
    <t>lock3491</t>
  </si>
  <si>
    <t>mark3jac060sc</t>
  </si>
  <si>
    <t>mark3jac060</t>
  </si>
  <si>
    <t>lowThrust_4</t>
  </si>
  <si>
    <t>c-48</t>
  </si>
  <si>
    <t>Zhao2</t>
  </si>
  <si>
    <t>Zhao1</t>
  </si>
  <si>
    <t>raefsky5</t>
  </si>
  <si>
    <t>Muu</t>
  </si>
  <si>
    <t>SiH4</t>
  </si>
  <si>
    <t>bratu3d</t>
  </si>
  <si>
    <t>nasa2910_id_364</t>
  </si>
  <si>
    <t>nasa2910_id_759</t>
  </si>
  <si>
    <t>c-45</t>
  </si>
  <si>
    <t>epb2</t>
  </si>
  <si>
    <t>t2dah_e</t>
  </si>
  <si>
    <t>t2dah_a</t>
  </si>
  <si>
    <t>t2dah</t>
  </si>
  <si>
    <t>wang3</t>
  </si>
  <si>
    <t>wang4</t>
  </si>
  <si>
    <t>dictionary28</t>
  </si>
  <si>
    <t>t60k</t>
  </si>
  <si>
    <t>c-50</t>
  </si>
  <si>
    <t>Goodwin_023</t>
  </si>
  <si>
    <t>g7jac060</t>
  </si>
  <si>
    <t>g7jac060sc</t>
  </si>
  <si>
    <t>ca-CondMat</t>
  </si>
  <si>
    <t>wiki-RfA</t>
  </si>
  <si>
    <t>jan99jac100</t>
  </si>
  <si>
    <t>jan99jac100sc</t>
  </si>
  <si>
    <t>Ill_Stokes</t>
  </si>
  <si>
    <t>mult_dcop_03</t>
  </si>
  <si>
    <t>mult_dcop_02</t>
  </si>
  <si>
    <t>mult_dcop_01</t>
  </si>
  <si>
    <t>rajat22</t>
  </si>
  <si>
    <t>CAG_mat1916</t>
  </si>
  <si>
    <t>vsp_befref_fxm_2_4_air02</t>
  </si>
  <si>
    <t>skirt_id_764</t>
  </si>
  <si>
    <t>skirt_id_882</t>
  </si>
  <si>
    <t>delaunay_n15</t>
  </si>
  <si>
    <t>bfly</t>
  </si>
  <si>
    <t>torsion1</t>
  </si>
  <si>
    <t>obstclae</t>
  </si>
  <si>
    <t>lowThrust_5</t>
  </si>
  <si>
    <t>SiNa</t>
  </si>
  <si>
    <t>jnlbrng1</t>
  </si>
  <si>
    <t>chem_master1</t>
  </si>
  <si>
    <t>c-52</t>
  </si>
  <si>
    <t>c-51</t>
  </si>
  <si>
    <t>vsp_barth5_1Ksep_50in_5Kout</t>
  </si>
  <si>
    <t>minsurfo</t>
  </si>
  <si>
    <t>mario001</t>
  </si>
  <si>
    <t>cz20468</t>
  </si>
  <si>
    <t>2D_27628_bjtcai</t>
  </si>
  <si>
    <t>s3rmt3m3</t>
  </si>
  <si>
    <t>internet</t>
  </si>
  <si>
    <t>coater2</t>
  </si>
  <si>
    <t>lowThrust_6</t>
  </si>
  <si>
    <t>g3rmt3m3</t>
  </si>
  <si>
    <t>copter1</t>
  </si>
  <si>
    <t>c-47</t>
  </si>
  <si>
    <t>lowThrust_7</t>
  </si>
  <si>
    <t>mark3jac080sc</t>
  </si>
  <si>
    <t>mark3jac080</t>
  </si>
  <si>
    <t>lowThrust_8</t>
  </si>
  <si>
    <t>ak2010</t>
  </si>
  <si>
    <t>s1rmt3m1</t>
  </si>
  <si>
    <t>s3rmt3m1</t>
  </si>
  <si>
    <t>s2rmt3m1</t>
  </si>
  <si>
    <t>ABACUS_shell_ud</t>
  </si>
  <si>
    <t>bcsstk28</t>
  </si>
  <si>
    <t>lowThrust_9</t>
  </si>
  <si>
    <t>lowThrust_10</t>
  </si>
  <si>
    <t>onetone2</t>
  </si>
  <si>
    <t>lowThrust_11</t>
  </si>
  <si>
    <t>lowThrust_12</t>
  </si>
  <si>
    <t>lowThrust_13</t>
  </si>
  <si>
    <t>man_5976</t>
  </si>
  <si>
    <t>ex35</t>
  </si>
  <si>
    <t>lhr10</t>
  </si>
  <si>
    <t>jan99jac120</t>
  </si>
  <si>
    <t>jan99jac120sc</t>
  </si>
  <si>
    <t>spmsrtls</t>
  </si>
  <si>
    <t>lhr11</t>
  </si>
  <si>
    <t>lhr10c</t>
  </si>
  <si>
    <t>lhr11c</t>
  </si>
  <si>
    <t>nh2010</t>
  </si>
  <si>
    <t>ca-HepPh</t>
  </si>
  <si>
    <t>nmos3</t>
  </si>
  <si>
    <t>struct4</t>
  </si>
  <si>
    <t>ACTIVSg70K</t>
  </si>
  <si>
    <t>luxembourg_osm</t>
  </si>
  <si>
    <t>sx-mathoverflow</t>
  </si>
  <si>
    <t>cond-mat-2003</t>
  </si>
  <si>
    <t>worms20_10NN</t>
  </si>
  <si>
    <t>astro-ph</t>
  </si>
  <si>
    <t>benzene</t>
  </si>
  <si>
    <t>wing</t>
  </si>
  <si>
    <t>rajat26</t>
  </si>
  <si>
    <t>bcsstk25</t>
  </si>
  <si>
    <t>Dubcova1</t>
  </si>
  <si>
    <t>tandem_vtx</t>
  </si>
  <si>
    <t>a5esindl</t>
  </si>
  <si>
    <t>ex19</t>
  </si>
  <si>
    <t>g7jac080</t>
  </si>
  <si>
    <t>g7jac080sc</t>
  </si>
  <si>
    <t>airfoil_2d</t>
  </si>
  <si>
    <t>s1rmq4m1</t>
  </si>
  <si>
    <t>s3rmq4m1</t>
  </si>
  <si>
    <t>s2rmq4m1</t>
  </si>
  <si>
    <t>mark3jac100sc</t>
  </si>
  <si>
    <t>mark3jac100</t>
  </si>
  <si>
    <t>OPF_6000</t>
  </si>
  <si>
    <t>bayer01</t>
  </si>
  <si>
    <t>enron</t>
  </si>
  <si>
    <t>cegb2802</t>
  </si>
  <si>
    <t>chipcool1</t>
  </si>
  <si>
    <t>chipcool0</t>
  </si>
  <si>
    <t>vsp_sctap1-2b_and_seymourl</t>
  </si>
  <si>
    <t>sinc12</t>
  </si>
  <si>
    <t>3D_28984_Tetra</t>
  </si>
  <si>
    <t>t520</t>
  </si>
  <si>
    <t>bcsstk16</t>
  </si>
  <si>
    <t>raefsky1</t>
  </si>
  <si>
    <t>raefsky2</t>
  </si>
  <si>
    <t>EX6</t>
  </si>
  <si>
    <t>EX5</t>
  </si>
  <si>
    <t>Reuters911</t>
  </si>
  <si>
    <t>finance256</t>
  </si>
  <si>
    <t>c-60</t>
  </si>
  <si>
    <t>dixmaanl</t>
  </si>
  <si>
    <t>vibrobox</t>
  </si>
  <si>
    <t>Na5</t>
  </si>
  <si>
    <t>lhr14</t>
  </si>
  <si>
    <t>circuit_4</t>
  </si>
  <si>
    <t>lhr14c</t>
  </si>
  <si>
    <t>c-61</t>
  </si>
  <si>
    <t>Goodwin_030</t>
  </si>
  <si>
    <t>crystk01</t>
  </si>
  <si>
    <t>rgg_n_2_15_s0</t>
  </si>
  <si>
    <t>bcsstm36</t>
  </si>
  <si>
    <t>cegb2919</t>
  </si>
  <si>
    <t>mark3jac120</t>
  </si>
  <si>
    <t>mark3jac120sc</t>
  </si>
  <si>
    <t>crystm02</t>
  </si>
  <si>
    <t>usroads-48</t>
  </si>
  <si>
    <t>goodwin</t>
  </si>
  <si>
    <t>EAT_SR</t>
  </si>
  <si>
    <t>EAT_RS</t>
  </si>
  <si>
    <t>pwt_id_880</t>
  </si>
  <si>
    <t>pwt_id_762</t>
  </si>
  <si>
    <t>pwt_id_1273</t>
  </si>
  <si>
    <t>fe_body</t>
  </si>
  <si>
    <t>shallow_water2</t>
  </si>
  <si>
    <t>shallow_water1</t>
  </si>
  <si>
    <t>lpl1</t>
  </si>
  <si>
    <t>inlet</t>
  </si>
  <si>
    <t>shyy161</t>
  </si>
  <si>
    <t>usroads</t>
  </si>
  <si>
    <t>ckt11752_tr_0</t>
  </si>
  <si>
    <t>ckt11752_dc_1</t>
  </si>
  <si>
    <t>graham1</t>
  </si>
  <si>
    <t>me2010</t>
  </si>
  <si>
    <t>onetone1</t>
  </si>
  <si>
    <t>g7jac100</t>
  </si>
  <si>
    <t>g7jac100sc</t>
  </si>
  <si>
    <t>ct2010</t>
  </si>
  <si>
    <t>Kuu</t>
  </si>
  <si>
    <t>gyro_m</t>
  </si>
  <si>
    <t>HEP-th</t>
  </si>
  <si>
    <t>a2nnsnsl</t>
  </si>
  <si>
    <t>cvxbqp1</t>
  </si>
  <si>
    <t>ncvxbqp1</t>
  </si>
  <si>
    <t>cond-mat-2005</t>
  </si>
  <si>
    <t>poisson3Da</t>
  </si>
  <si>
    <t>cit-HepTh</t>
  </si>
  <si>
    <t>HEP-th-new</t>
  </si>
  <si>
    <t>a0nsdsil</t>
  </si>
  <si>
    <t>c-53</t>
  </si>
  <si>
    <t>bcsstk38</t>
  </si>
  <si>
    <t>c-65</t>
  </si>
  <si>
    <t>email-Enron</t>
  </si>
  <si>
    <t>garon2</t>
  </si>
  <si>
    <t>bcircuit</t>
  </si>
  <si>
    <t>mark3jac140sc</t>
  </si>
  <si>
    <t>mark3jac140</t>
  </si>
  <si>
    <t>k3plates</t>
  </si>
  <si>
    <t>lhr17</t>
  </si>
  <si>
    <t>vsp_south31_slptsk</t>
  </si>
  <si>
    <t>vsp_model1_crew1_cr42_south31</t>
  </si>
  <si>
    <t>c-56</t>
  </si>
  <si>
    <t>ecl32</t>
  </si>
  <si>
    <t>viscoplastic2</t>
  </si>
  <si>
    <t>lhr17c</t>
  </si>
  <si>
    <t>c-54</t>
  </si>
  <si>
    <t>delaunay_n16</t>
  </si>
  <si>
    <t>nemeth02</t>
  </si>
  <si>
    <t>nemeth05</t>
  </si>
  <si>
    <t>nemeth04</t>
  </si>
  <si>
    <t>nemeth03</t>
  </si>
  <si>
    <t>nemeth06</t>
  </si>
  <si>
    <t>nemeth07</t>
  </si>
  <si>
    <t>nemeth08</t>
  </si>
  <si>
    <t>nemeth09</t>
  </si>
  <si>
    <t>ca-AstroPh</t>
  </si>
  <si>
    <t>net25</t>
  </si>
  <si>
    <t>nemeth10</t>
  </si>
  <si>
    <t>c-55</t>
  </si>
  <si>
    <t>mycielskian12</t>
  </si>
  <si>
    <t>nemeth11</t>
  </si>
  <si>
    <t>sd2010</t>
  </si>
  <si>
    <t>cz40948</t>
  </si>
  <si>
    <t>g7jac120sc</t>
  </si>
  <si>
    <t>g7jac120</t>
  </si>
  <si>
    <t>nv2010</t>
  </si>
  <si>
    <t>onera_dual</t>
  </si>
  <si>
    <t>email-EuAll</t>
  </si>
  <si>
    <t>cit-HepPh</t>
  </si>
  <si>
    <t>ted_A</t>
  </si>
  <si>
    <t>ted_A_unscaled</t>
  </si>
  <si>
    <t>ncvxqp5</t>
  </si>
  <si>
    <t>OPF_10000</t>
  </si>
  <si>
    <t>wy2010</t>
  </si>
  <si>
    <t>loc-Brightkite</t>
  </si>
  <si>
    <t>helm3d01</t>
  </si>
  <si>
    <t>bcsstk17</t>
  </si>
  <si>
    <t>FEM_3D_thermal1</t>
  </si>
  <si>
    <t>GT01R</t>
  </si>
  <si>
    <t>c-63</t>
  </si>
  <si>
    <t>cont-201</t>
  </si>
  <si>
    <t>TEM27623</t>
  </si>
  <si>
    <t>rajat15</t>
  </si>
  <si>
    <t>c-66b</t>
  </si>
  <si>
    <t>c-66</t>
  </si>
  <si>
    <t>nemeth12</t>
  </si>
  <si>
    <t>ex40</t>
  </si>
  <si>
    <t>tandem_dual</t>
  </si>
  <si>
    <t>af23560</t>
  </si>
  <si>
    <t>epb3</t>
  </si>
  <si>
    <t>wathen100</t>
  </si>
  <si>
    <t>nemeth13</t>
  </si>
  <si>
    <t>rajat16</t>
  </si>
  <si>
    <t>rajat18</t>
  </si>
  <si>
    <t>rajat17</t>
  </si>
  <si>
    <t>c-59</t>
  </si>
  <si>
    <t>vsp_c-60_data_cti_cs4</t>
  </si>
  <si>
    <t>2D_54019_highK</t>
  </si>
  <si>
    <t>g7jac140</t>
  </si>
  <si>
    <t>g7jac140sc</t>
  </si>
  <si>
    <t>lung2</t>
  </si>
  <si>
    <t>nemeth14</t>
  </si>
  <si>
    <t>fxm4_6_id_1381</t>
  </si>
  <si>
    <t>std1_Jac2_db</t>
  </si>
  <si>
    <t>ncvxqp3</t>
  </si>
  <si>
    <t>soc-Epinions1</t>
  </si>
  <si>
    <t>t3dl_a</t>
  </si>
  <si>
    <t>t3dl</t>
  </si>
  <si>
    <t>gridgena</t>
  </si>
  <si>
    <t>hcircuit</t>
  </si>
  <si>
    <t>soc-sign-Slashdot081106</t>
  </si>
  <si>
    <t>c-67</t>
  </si>
  <si>
    <t>c-67b</t>
  </si>
  <si>
    <t>std1_Jac3_db</t>
  </si>
  <si>
    <t>ibm_matrix_2</t>
  </si>
  <si>
    <t>3D_51448_3D</t>
  </si>
  <si>
    <t>nemeth15</t>
  </si>
  <si>
    <t>psmigr_2</t>
  </si>
  <si>
    <t>apache1</t>
  </si>
  <si>
    <t>psmigr_3</t>
  </si>
  <si>
    <t>psmigr_1</t>
  </si>
  <si>
    <t>ford2</t>
  </si>
  <si>
    <t>soc-sign-Slashdot090216</t>
  </si>
  <si>
    <t>soc-sign-Slashdot090221</t>
  </si>
  <si>
    <t>sinc15</t>
  </si>
  <si>
    <t>c-58</t>
  </si>
  <si>
    <t>e40r0100</t>
  </si>
  <si>
    <t>rail_79841</t>
  </si>
  <si>
    <t>Trefethen_20000b</t>
  </si>
  <si>
    <t>Trefethen_20000</t>
  </si>
  <si>
    <t>rajat23</t>
  </si>
  <si>
    <t>stokes128</t>
  </si>
  <si>
    <t>c-62ghs</t>
  </si>
  <si>
    <t>c-62</t>
  </si>
  <si>
    <t>cage11</t>
  </si>
  <si>
    <t>k1_san</t>
  </si>
  <si>
    <t>patents_main</t>
  </si>
  <si>
    <t>Goodwin_040</t>
  </si>
  <si>
    <t>g7jac160</t>
  </si>
  <si>
    <t>g7jac160sc</t>
  </si>
  <si>
    <t>wathen120</t>
  </si>
  <si>
    <t>c-68</t>
  </si>
  <si>
    <t>ut2010</t>
  </si>
  <si>
    <t>thermal1</t>
  </si>
  <si>
    <t>ncvxqp7</t>
  </si>
  <si>
    <t>ASIC_100ks</t>
  </si>
  <si>
    <t>crystm03</t>
  </si>
  <si>
    <t>nemeth16</t>
  </si>
  <si>
    <t>bcsstk33</t>
  </si>
  <si>
    <t>LeGresley_87936</t>
  </si>
  <si>
    <t>sx-askubuntu</t>
  </si>
  <si>
    <t>finan512</t>
  </si>
  <si>
    <t>pfinan512</t>
  </si>
  <si>
    <t>vsp_bump2_e18_aa01_model1_crew1</t>
  </si>
  <si>
    <t>rajat20</t>
  </si>
  <si>
    <t>rajat25</t>
  </si>
  <si>
    <t>rajat28</t>
  </si>
  <si>
    <t>k49_norm_10NN</t>
  </si>
  <si>
    <t>bcsstk29</t>
  </si>
  <si>
    <t>c-69</t>
  </si>
  <si>
    <t>nd2010</t>
  </si>
  <si>
    <t>nemeth17</t>
  </si>
  <si>
    <t>mt2010</t>
  </si>
  <si>
    <t>g7jac180sc</t>
  </si>
  <si>
    <t>g7jac180</t>
  </si>
  <si>
    <t>c-70</t>
  </si>
  <si>
    <t>wv2010</t>
  </si>
  <si>
    <t>Zd_Jac6_db</t>
  </si>
  <si>
    <t>Zd_Jac2_db</t>
  </si>
  <si>
    <t>cbuckle</t>
  </si>
  <si>
    <t>ex3sta1_id_1379</t>
  </si>
  <si>
    <t>heart2</t>
  </si>
  <si>
    <t>heart3</t>
  </si>
  <si>
    <t>rgg_n_2_16_s0</t>
  </si>
  <si>
    <t>nemeth18</t>
  </si>
  <si>
    <t>md2010</t>
  </si>
  <si>
    <t>c-72</t>
  </si>
  <si>
    <t>thermomech_TC</t>
  </si>
  <si>
    <t>thermomech_TK</t>
  </si>
  <si>
    <t>Zd_Jac3_db</t>
  </si>
  <si>
    <t>cyl6</t>
  </si>
  <si>
    <t>Pres_Poisson</t>
  </si>
  <si>
    <t>g7jac200</t>
  </si>
  <si>
    <t>g7jac200sc</t>
  </si>
  <si>
    <t>nemeth01</t>
  </si>
  <si>
    <t>pf2177_id_1394</t>
  </si>
  <si>
    <t>G2_circuit</t>
  </si>
  <si>
    <t>id2010</t>
  </si>
  <si>
    <t>brack2</t>
  </si>
  <si>
    <t>Si5H12</t>
  </si>
  <si>
    <t>olesnik0</t>
  </si>
  <si>
    <t>lhr34</t>
  </si>
  <si>
    <t>Baumann</t>
  </si>
  <si>
    <t>trans5</t>
  </si>
  <si>
    <t>error</t>
  </si>
  <si>
    <t>FAIL</t>
  </si>
  <si>
    <t>ERROR</t>
  </si>
  <si>
    <t>trans4</t>
  </si>
  <si>
    <t>copter2_id_1230</t>
  </si>
  <si>
    <t>copter2_id_1256</t>
  </si>
  <si>
    <t>Andrews</t>
  </si>
  <si>
    <t>HTC_336_9129</t>
  </si>
  <si>
    <t>lhr34c</t>
  </si>
  <si>
    <t>dc1</t>
  </si>
  <si>
    <t>dc2</t>
  </si>
  <si>
    <t>dc3</t>
  </si>
  <si>
    <t>ma2010</t>
  </si>
  <si>
    <t>vsp_mod2_pgp2_slptsk</t>
  </si>
  <si>
    <t>HTC_336_4438</t>
  </si>
  <si>
    <t>delaunay_n17</t>
  </si>
  <si>
    <t>ky2010</t>
  </si>
  <si>
    <t>m133-b3</t>
  </si>
  <si>
    <t>shar_te2-b3</t>
  </si>
  <si>
    <t>windtunnel_evap3d</t>
  </si>
  <si>
    <t>power197k</t>
  </si>
  <si>
    <t>pkustk02</t>
  </si>
  <si>
    <t>nemeth19</t>
  </si>
  <si>
    <t>fe_ocean</t>
  </si>
  <si>
    <t>TSC_OPF_300</t>
  </si>
  <si>
    <t>nj2010</t>
  </si>
  <si>
    <t>nm2010</t>
  </si>
  <si>
    <t>fp</t>
  </si>
  <si>
    <t>ms2010</t>
  </si>
  <si>
    <t>soc-sign-epinions</t>
  </si>
  <si>
    <t>ss1</t>
  </si>
  <si>
    <t>ch7-8-b5</t>
  </si>
  <si>
    <t>c-71</t>
  </si>
  <si>
    <t>vsp_vibrobox_scagr7-2c_rlfddd</t>
  </si>
  <si>
    <t>sme3Da</t>
  </si>
  <si>
    <t>Si10H16</t>
  </si>
  <si>
    <t>sc2010</t>
  </si>
  <si>
    <t>matrix-new_3</t>
  </si>
  <si>
    <t>tube2</t>
  </si>
  <si>
    <t>tube1</t>
  </si>
  <si>
    <t>ar2010</t>
  </si>
  <si>
    <t>fe_tooth</t>
  </si>
  <si>
    <t>soc-Slashdot0811</t>
  </si>
  <si>
    <t>ne2010</t>
  </si>
  <si>
    <t>sx-superuser</t>
  </si>
  <si>
    <t>NotreDame_www</t>
  </si>
  <si>
    <t>ASIC_100k</t>
  </si>
  <si>
    <t>net50</t>
  </si>
  <si>
    <t>wa2010</t>
  </si>
  <si>
    <t>soc-Slashdot0902</t>
  </si>
  <si>
    <t>sinc18</t>
  </si>
  <si>
    <t>scircuit</t>
  </si>
  <si>
    <t>crplat2</t>
  </si>
  <si>
    <t>transient</t>
  </si>
  <si>
    <t>pcrystk02</t>
  </si>
  <si>
    <t>crystk02</t>
  </si>
  <si>
    <t>nemeth20</t>
  </si>
  <si>
    <t>co2010</t>
  </si>
  <si>
    <t>pkustk01</t>
  </si>
  <si>
    <t>or2010</t>
  </si>
  <si>
    <t>la2010</t>
  </si>
  <si>
    <t>cont-300</t>
  </si>
  <si>
    <t>preferentialAttachment</t>
  </si>
  <si>
    <t>smallworld</t>
  </si>
  <si>
    <t>G_n_pin_pout</t>
  </si>
  <si>
    <t>dawson5</t>
  </si>
  <si>
    <t>mosfet2</t>
  </si>
  <si>
    <t>rim</t>
  </si>
  <si>
    <t>olafu</t>
  </si>
  <si>
    <t>gyro</t>
  </si>
  <si>
    <t>gyro_k</t>
  </si>
  <si>
    <t>ia2010</t>
  </si>
  <si>
    <t>Dubcova2</t>
  </si>
  <si>
    <t>Goodwin_054</t>
  </si>
  <si>
    <t>torso2</t>
  </si>
  <si>
    <t>ex11</t>
  </si>
  <si>
    <t>vsp_finan512_scagr7-2c_rlfddd</t>
  </si>
  <si>
    <t>ks2010</t>
  </si>
  <si>
    <t>viscorocks</t>
  </si>
  <si>
    <t>bcsstk37</t>
  </si>
  <si>
    <t>msc23052</t>
  </si>
  <si>
    <t>bcsstk36</t>
  </si>
  <si>
    <t>denormal</t>
  </si>
  <si>
    <t>struct3</t>
  </si>
  <si>
    <t>nemeth21</t>
  </si>
  <si>
    <t>xenon1</t>
  </si>
  <si>
    <t>bcsstk31</t>
  </si>
  <si>
    <t>tn2010</t>
  </si>
  <si>
    <t>az2010</t>
  </si>
  <si>
    <t>matrix_9</t>
  </si>
  <si>
    <t>twotone</t>
  </si>
  <si>
    <t>Linux_call_graph</t>
  </si>
  <si>
    <t>wi2010</t>
  </si>
  <si>
    <t>li</t>
  </si>
  <si>
    <t>language</t>
  </si>
  <si>
    <t>caidaRouterLevel</t>
  </si>
  <si>
    <t>mn2010</t>
  </si>
  <si>
    <t>mycielskian13</t>
  </si>
  <si>
    <t>msc10848</t>
  </si>
  <si>
    <t>al2010</t>
  </si>
  <si>
    <t>amazon0302</t>
  </si>
  <si>
    <t>std1_Jac2</t>
  </si>
  <si>
    <t>mac_econ_fwd500</t>
  </si>
  <si>
    <t>ok2010</t>
  </si>
  <si>
    <t>in2010</t>
  </si>
  <si>
    <t>Raj1</t>
  </si>
  <si>
    <t>ASIC_320ks</t>
  </si>
  <si>
    <t>raefsky4</t>
  </si>
  <si>
    <t>SiO</t>
  </si>
  <si>
    <t>fe_rotor</t>
  </si>
  <si>
    <t>hvdc2</t>
  </si>
  <si>
    <t>pli</t>
  </si>
  <si>
    <t>nemeth22</t>
  </si>
  <si>
    <t>heart1</t>
  </si>
  <si>
    <t>va2010</t>
  </si>
  <si>
    <t>nc2010</t>
  </si>
  <si>
    <t>ga2010</t>
  </si>
  <si>
    <t>thermomech_dM</t>
  </si>
  <si>
    <t>imagesensor</t>
  </si>
  <si>
    <t>bcsstk35</t>
  </si>
  <si>
    <t>std1_Jac3</t>
  </si>
  <si>
    <t>rgg_n_2_17_s0</t>
  </si>
  <si>
    <t>598a</t>
  </si>
  <si>
    <t>raefsky3</t>
  </si>
  <si>
    <t>net75</t>
  </si>
  <si>
    <t>lhr71</t>
  </si>
  <si>
    <t>web-NotreDame</t>
  </si>
  <si>
    <t>nemeth24</t>
  </si>
  <si>
    <t>nemeth23</t>
  </si>
  <si>
    <t>nemeth25</t>
  </si>
  <si>
    <t>nemeth26</t>
  </si>
  <si>
    <t>lhr71c</t>
  </si>
  <si>
    <t>sparsine</t>
  </si>
  <si>
    <t>delaunay_n18</t>
  </si>
  <si>
    <t>mi2010</t>
  </si>
  <si>
    <t>pkustk09</t>
  </si>
  <si>
    <t>dblp-2010</t>
  </si>
  <si>
    <t>coAuthorsCiteseer</t>
  </si>
  <si>
    <t>nv1</t>
  </si>
  <si>
    <t>d_pretok</t>
  </si>
  <si>
    <t>Zd_Jac2</t>
  </si>
  <si>
    <t>2cubes_sphere</t>
  </si>
  <si>
    <t>mo2010</t>
  </si>
  <si>
    <t>qa8fm</t>
  </si>
  <si>
    <t>qa8fk</t>
  </si>
  <si>
    <t>ns3Da</t>
  </si>
  <si>
    <t>av41092</t>
  </si>
  <si>
    <t>turon_m</t>
  </si>
  <si>
    <t>ASIC_680ks</t>
  </si>
  <si>
    <t>gas_sensor</t>
  </si>
  <si>
    <t>ny2010</t>
  </si>
  <si>
    <t>Zd_Jac6</t>
  </si>
  <si>
    <t>venkat25</t>
  </si>
  <si>
    <t>venkat50</t>
  </si>
  <si>
    <t>venkat01</t>
  </si>
  <si>
    <t>majorbasis</t>
  </si>
  <si>
    <t>crashbasis</t>
  </si>
  <si>
    <t>pcrystk03</t>
  </si>
  <si>
    <t>crystk03</t>
  </si>
  <si>
    <t>Lin</t>
  </si>
  <si>
    <t>oh2010</t>
  </si>
  <si>
    <t>bbmat</t>
  </si>
  <si>
    <t>invextr1_new</t>
  </si>
  <si>
    <t>Goodwin_071</t>
  </si>
  <si>
    <t>cfd1</t>
  </si>
  <si>
    <t>com-Amazon</t>
  </si>
  <si>
    <t>appu</t>
  </si>
  <si>
    <t>rajat21</t>
  </si>
  <si>
    <t>power9</t>
  </si>
  <si>
    <t>loc-Gowalla</t>
  </si>
  <si>
    <t>Zd_Jac3</t>
  </si>
  <si>
    <t>opt1</t>
  </si>
  <si>
    <t>trdheim</t>
  </si>
  <si>
    <t>rajat24</t>
  </si>
  <si>
    <t>coAuthorsDBLP</t>
  </si>
  <si>
    <t>mixtank_new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</si>
</sst>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11"/>
  <sheetViews>
    <sheetView tabSelected="1" topLeftCell="R1" workbookViewId="0">
      <selection activeCell="AC9" sqref="AC9"/>
    </sheetView>
  </sheetViews>
  <sheetFormatPr defaultColWidth="9" defaultRowHeight="16.8"/>
  <cols>
    <col min="7" max="8" width="12.9230769230769"/>
    <col min="12" max="13" width="12.9230769230769"/>
    <col min="15" max="15" width="9.69230769230769"/>
    <col min="16" max="18" width="12.9230769230769"/>
    <col min="22" max="22" width="12.9230769230769"/>
    <col min="23" max="24" width="11.7692307692308"/>
    <col min="28" max="28" width="12.9230769230769"/>
    <col min="32" max="33" width="12.9230769230769"/>
    <col min="35" max="35" width="9.69230769230769"/>
    <col min="36" max="36" width="12.9230769230769"/>
  </cols>
  <sheetData>
    <row r="1" spans="1:38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/>
      <c r="O1" s="1" t="s">
        <v>11</v>
      </c>
      <c r="P1" s="1" t="s">
        <v>12</v>
      </c>
      <c r="Q1" s="1" t="s">
        <v>13</v>
      </c>
      <c r="R1" s="1" t="s">
        <v>14</v>
      </c>
      <c r="S1" s="1"/>
      <c r="T1" s="1" t="s">
        <v>15</v>
      </c>
      <c r="U1" s="1" t="s">
        <v>16</v>
      </c>
      <c r="V1" s="1" t="s">
        <v>17</v>
      </c>
      <c r="W1" s="1" t="s">
        <v>18</v>
      </c>
      <c r="X1" s="1"/>
      <c r="Y1" s="1" t="s">
        <v>19</v>
      </c>
      <c r="Z1" s="1" t="s">
        <v>20</v>
      </c>
      <c r="AA1" s="1" t="s">
        <v>21</v>
      </c>
      <c r="AB1" s="1" t="s">
        <v>22</v>
      </c>
      <c r="AC1" s="1"/>
      <c r="AD1" s="1" t="s">
        <v>23</v>
      </c>
      <c r="AE1" s="1" t="s">
        <v>24</v>
      </c>
      <c r="AF1" s="1" t="s">
        <v>25</v>
      </c>
      <c r="AG1" s="1" t="s">
        <v>26</v>
      </c>
      <c r="AH1" s="1"/>
      <c r="AI1" s="1" t="s">
        <v>27</v>
      </c>
      <c r="AJ1" s="1" t="s">
        <v>28</v>
      </c>
      <c r="AK1" s="1"/>
      <c r="AL1" s="1"/>
    </row>
    <row r="2" spans="1:38">
      <c r="A2">
        <v>1</v>
      </c>
      <c r="B2" t="s">
        <v>29</v>
      </c>
      <c r="C2">
        <v>11620478</v>
      </c>
      <c r="E2">
        <v>3.119</v>
      </c>
      <c r="F2">
        <v>3.72570631612696</v>
      </c>
      <c r="G2">
        <f>AJ2/F2</f>
        <v>7.00661123978156</v>
      </c>
      <c r="H2">
        <f>AVERAGE(G2:G437,G440:G444,G448:G480,G481,G483:G488,G490:G602,G604:G608,G610:G611)</f>
        <v>25.4764080682482</v>
      </c>
      <c r="J2">
        <v>0.358366</v>
      </c>
      <c r="K2">
        <v>32.4262848596128</v>
      </c>
      <c r="L2">
        <f>AJ2/K2</f>
        <v>0.805043681806847</v>
      </c>
      <c r="M2">
        <f>AVERAGE(L2:L437,L440:L444,L448:L481,L483:L488,L490:L602,L604:L608,L610:L611)</f>
        <v>1.70785197666249</v>
      </c>
      <c r="O2">
        <v>3.6408</v>
      </c>
      <c r="P2">
        <v>3.19173753021314</v>
      </c>
      <c r="Q2">
        <f>AJ2/P2</f>
        <v>8.17879775626697</v>
      </c>
      <c r="R2">
        <f>AVERAGE(Q2:Q437,Q440:Q444,Q448:Q481,Q483:Q488,Q490:Q602,Q604:Q608,Q610:Q611)</f>
        <v>4.90975226490489</v>
      </c>
      <c r="T2">
        <v>0.001587</v>
      </c>
      <c r="U2">
        <v>7.32229237555135</v>
      </c>
      <c r="V2">
        <f>AJ2/U2</f>
        <v>3.56508241023832</v>
      </c>
      <c r="W2">
        <f>AVERAGE(V2:V437,V440:V444,V448:V481,V483:V602,V604:V608,V610:V611)</f>
        <v>3.04429064032684</v>
      </c>
      <c r="Y2">
        <v>19082.539504</v>
      </c>
      <c r="Z2">
        <v>19.082539504</v>
      </c>
      <c r="AA2">
        <v>1.36798227223522</v>
      </c>
      <c r="AB2">
        <f>AVERAGE(AA2:AA611)</f>
        <v>1.4657805379389</v>
      </c>
      <c r="AD2">
        <v>0.00718983</v>
      </c>
      <c r="AE2">
        <v>1.61623821425541</v>
      </c>
      <c r="AF2">
        <f>AJ2/AE2</f>
        <v>16.1514407470724</v>
      </c>
      <c r="AG2">
        <f>AVERAGE(AF2:AF611)</f>
        <v>5.82130115222627</v>
      </c>
      <c r="AI2">
        <v>0.445151</v>
      </c>
      <c r="AJ2">
        <v>26.1045757507003</v>
      </c>
    </row>
    <row r="3" spans="1:38">
      <c r="A3">
        <f>A2+1</f>
        <v>2</v>
      </c>
      <c r="B3" t="s">
        <v>30</v>
      </c>
      <c r="C3">
        <v>1203720</v>
      </c>
      <c r="E3">
        <v>2.721</v>
      </c>
      <c r="F3">
        <v>0.442381477398015</v>
      </c>
      <c r="G3">
        <f t="shared" ref="G3:G66" si="0">AJ3/F3</f>
        <v>7.61372316939067</v>
      </c>
      <c r="H3">
        <f>GEOMEAN(G2:G437,G440:G444,G448:G480,G481,G483:G488,G490:G602,G604:G608,G610:G611)</f>
        <v>13.9434920284344</v>
      </c>
      <c r="J3">
        <v>0.319632</v>
      </c>
      <c r="K3">
        <v>3.76595584922661</v>
      </c>
      <c r="L3">
        <f t="shared" ref="L3:L66" si="1">AJ3/K3</f>
        <v>0.894373231928951</v>
      </c>
      <c r="M3">
        <f>GEOMEAN(L2:L437,L440:L444,L448:L481,L483:L488,L490:L602,L604:L608,L610:L611)</f>
        <v>1.47676995181054</v>
      </c>
      <c r="O3">
        <v>2.8815</v>
      </c>
      <c r="P3">
        <v>0.417740760020822</v>
      </c>
      <c r="Q3">
        <f t="shared" ref="Q3:Q66" si="2">AJ3/P3</f>
        <v>8.06282370915076</v>
      </c>
      <c r="R3">
        <f>GEOMEAN(Q2:Q437,Q440:Q444,Q448:Q481,Q483:Q488,Q490:Q602,Q604:Q608,Q610:Q611)</f>
        <v>4.41265498803605</v>
      </c>
      <c r="T3">
        <v>0.003632</v>
      </c>
      <c r="U3">
        <v>0.331420704845815</v>
      </c>
      <c r="V3">
        <f t="shared" ref="V3:V66" si="3">AJ3/U3</f>
        <v>10.1628234293373</v>
      </c>
      <c r="W3">
        <f>GEOMEAN(V2:V437,V440:V444,V448:V481,V483:V602,V604:V608,V610:V611)</f>
        <v>2.58467602990952</v>
      </c>
      <c r="Y3">
        <v>2183.628567</v>
      </c>
      <c r="Z3">
        <v>2.183628567</v>
      </c>
      <c r="AA3">
        <v>1.5424647557171</v>
      </c>
      <c r="AB3">
        <f>GEOMEAN(AA2:AA611)</f>
        <v>1.34015947202928</v>
      </c>
      <c r="AD3">
        <v>0.00152243</v>
      </c>
      <c r="AE3">
        <v>0.790657041703067</v>
      </c>
      <c r="AF3">
        <f t="shared" ref="AF3:AF66" si="4">AJ3/AE3</f>
        <v>4.2599634563673</v>
      </c>
      <c r="AG3">
        <f>GEOMEAN(AF2:AF611)</f>
        <v>3.19834719184001</v>
      </c>
      <c r="AI3">
        <v>0.357381</v>
      </c>
      <c r="AJ3">
        <v>3.36817010417454</v>
      </c>
    </row>
    <row r="4" spans="1:38">
      <c r="A4">
        <f t="shared" ref="A4:A67" si="5">A3+1</f>
        <v>3</v>
      </c>
      <c r="B4" t="s">
        <v>31</v>
      </c>
      <c r="C4">
        <v>8449686</v>
      </c>
      <c r="E4">
        <v>24.59</v>
      </c>
      <c r="F4">
        <v>0.343622854819032</v>
      </c>
      <c r="G4">
        <f t="shared" si="0"/>
        <v>16.9915491400576</v>
      </c>
      <c r="J4">
        <v>1.177429</v>
      </c>
      <c r="K4">
        <v>7.17638685644739</v>
      </c>
      <c r="L4">
        <f t="shared" si="1"/>
        <v>0.813596694283405</v>
      </c>
      <c r="O4">
        <v>5.4738</v>
      </c>
      <c r="P4">
        <v>1.54365998026965</v>
      </c>
      <c r="Q4">
        <f t="shared" si="2"/>
        <v>3.78236444419875</v>
      </c>
      <c r="T4">
        <v>0.004048</v>
      </c>
      <c r="U4">
        <v>2.08737302371541</v>
      </c>
      <c r="V4">
        <f t="shared" si="3"/>
        <v>2.79714481166952</v>
      </c>
      <c r="Y4">
        <v>9487.752794</v>
      </c>
      <c r="Z4">
        <v>9.487752794</v>
      </c>
      <c r="AA4">
        <v>0.61539173185423</v>
      </c>
      <c r="AD4">
        <v>0.000897888</v>
      </c>
      <c r="AE4">
        <v>9.41062359670694</v>
      </c>
      <c r="AF4">
        <f t="shared" si="4"/>
        <v>0.620435464589998</v>
      </c>
      <c r="AI4">
        <v>1.44719</v>
      </c>
      <c r="AJ4">
        <v>5.83868462330447</v>
      </c>
    </row>
    <row r="5" spans="1:38">
      <c r="A5">
        <f t="shared" si="5"/>
        <v>4</v>
      </c>
      <c r="B5" t="s">
        <v>32</v>
      </c>
      <c r="C5">
        <v>4572198</v>
      </c>
      <c r="E5">
        <v>2.702</v>
      </c>
      <c r="F5">
        <v>1.69215321983716</v>
      </c>
      <c r="G5">
        <f t="shared" si="0"/>
        <v>7.27343205316981</v>
      </c>
      <c r="J5">
        <v>0.195096</v>
      </c>
      <c r="K5">
        <v>23.4356316890146</v>
      </c>
      <c r="L5">
        <f t="shared" si="1"/>
        <v>0.525173019927913</v>
      </c>
      <c r="O5">
        <v>2.9194</v>
      </c>
      <c r="P5">
        <v>1.56614304309105</v>
      </c>
      <c r="Q5">
        <f t="shared" si="2"/>
        <v>7.85864453590819</v>
      </c>
      <c r="T5">
        <v>0.002031</v>
      </c>
      <c r="U5">
        <v>2.25120531757755</v>
      </c>
      <c r="V5">
        <f t="shared" si="3"/>
        <v>5.46718745373349</v>
      </c>
      <c r="Y5">
        <v>11457.757189</v>
      </c>
      <c r="Z5">
        <v>11.457757189</v>
      </c>
      <c r="AA5">
        <v>1.07418592181846</v>
      </c>
      <c r="AD5">
        <v>0.00280266</v>
      </c>
      <c r="AE5">
        <v>1.63137804799726</v>
      </c>
      <c r="AF5">
        <f t="shared" si="4"/>
        <v>7.54439566178273</v>
      </c>
      <c r="AI5">
        <v>0.371489</v>
      </c>
      <c r="AJ5">
        <v>12.3077614680381</v>
      </c>
    </row>
    <row r="6" spans="1:38">
      <c r="A6">
        <f t="shared" si="5"/>
        <v>5</v>
      </c>
      <c r="B6" t="s">
        <v>33</v>
      </c>
      <c r="C6">
        <v>1613608</v>
      </c>
      <c r="E6">
        <v>2.721</v>
      </c>
      <c r="F6">
        <v>0.593020213156928</v>
      </c>
      <c r="G6">
        <f t="shared" si="0"/>
        <v>10.2191425835164</v>
      </c>
      <c r="J6">
        <v>0.172447</v>
      </c>
      <c r="K6">
        <v>9.35712421787564</v>
      </c>
      <c r="L6">
        <f t="shared" si="1"/>
        <v>0.647651775486826</v>
      </c>
      <c r="O6">
        <v>3.2021</v>
      </c>
      <c r="P6">
        <v>0.503921801317885</v>
      </c>
      <c r="Q6">
        <f t="shared" si="2"/>
        <v>12.0259891461514</v>
      </c>
      <c r="T6">
        <v>0.002782</v>
      </c>
      <c r="U6">
        <v>0.580017253774263</v>
      </c>
      <c r="V6">
        <f t="shared" si="3"/>
        <v>10.4482376579723</v>
      </c>
      <c r="Y6">
        <v>4263.2373</v>
      </c>
      <c r="Z6">
        <v>4.2632373</v>
      </c>
      <c r="AA6">
        <v>1.42149209314667</v>
      </c>
      <c r="AD6">
        <v>0.00199755</v>
      </c>
      <c r="AE6">
        <v>0.807793547095192</v>
      </c>
      <c r="AF6">
        <f t="shared" si="4"/>
        <v>7.50211255703903</v>
      </c>
      <c r="AI6">
        <v>0.266265</v>
      </c>
      <c r="AJ6">
        <v>6.06015811315794</v>
      </c>
    </row>
    <row r="7" spans="1:38">
      <c r="A7">
        <f t="shared" si="5"/>
        <v>6</v>
      </c>
      <c r="B7" t="s">
        <v>34</v>
      </c>
      <c r="C7">
        <v>2166306</v>
      </c>
      <c r="E7">
        <v>3.933</v>
      </c>
      <c r="F7">
        <v>0.550802440884821</v>
      </c>
      <c r="G7">
        <f t="shared" si="0"/>
        <v>16.4753686327078</v>
      </c>
      <c r="J7">
        <v>0.222866</v>
      </c>
      <c r="K7">
        <v>9.72021752981612</v>
      </c>
      <c r="L7">
        <f t="shared" si="1"/>
        <v>0.933587466487937</v>
      </c>
      <c r="O7">
        <v>3.2958</v>
      </c>
      <c r="P7">
        <v>0.657292918259603</v>
      </c>
      <c r="Q7">
        <f t="shared" si="2"/>
        <v>13.8061327077748</v>
      </c>
      <c r="T7">
        <v>0.002538</v>
      </c>
      <c r="U7">
        <v>0.853548463356974</v>
      </c>
      <c r="V7">
        <f t="shared" si="3"/>
        <v>10.6317024128686</v>
      </c>
      <c r="Y7">
        <v>4436.56084</v>
      </c>
      <c r="Z7">
        <v>4.43656084</v>
      </c>
      <c r="AA7">
        <v>2.0454296885902</v>
      </c>
      <c r="AD7">
        <v>0.00112649</v>
      </c>
      <c r="AE7">
        <v>1.92305834938615</v>
      </c>
      <c r="AF7">
        <f t="shared" si="4"/>
        <v>4.71887567024128</v>
      </c>
      <c r="AI7">
        <v>0.23872</v>
      </c>
      <c r="AJ7">
        <v>9.07467325737266</v>
      </c>
    </row>
    <row r="8" spans="1:38">
      <c r="A8">
        <f t="shared" si="5"/>
        <v>7</v>
      </c>
      <c r="B8" t="s">
        <v>35</v>
      </c>
      <c r="C8">
        <v>2166306</v>
      </c>
      <c r="E8">
        <v>3.654</v>
      </c>
      <c r="F8">
        <v>0.592858784893268</v>
      </c>
      <c r="G8">
        <f t="shared" si="0"/>
        <v>10.4256721477056</v>
      </c>
      <c r="J8">
        <v>0.222279</v>
      </c>
      <c r="K8">
        <v>9.74588692589044</v>
      </c>
      <c r="L8">
        <f t="shared" si="1"/>
        <v>0.634211269655131</v>
      </c>
      <c r="O8">
        <v>2.0463</v>
      </c>
      <c r="P8">
        <v>1.0586453599179</v>
      </c>
      <c r="Q8">
        <f t="shared" si="2"/>
        <v>5.83854759601805</v>
      </c>
      <c r="T8">
        <v>0.002795</v>
      </c>
      <c r="U8">
        <v>0.775064758497317</v>
      </c>
      <c r="V8">
        <f t="shared" si="3"/>
        <v>7.97475469426303</v>
      </c>
      <c r="Y8">
        <v>4783.228395</v>
      </c>
      <c r="Z8">
        <v>4.783228395</v>
      </c>
      <c r="AA8">
        <v>1.29221329419381</v>
      </c>
      <c r="AD8">
        <v>0.00114383</v>
      </c>
      <c r="AE8">
        <v>1.89390556288959</v>
      </c>
      <c r="AF8">
        <f t="shared" si="4"/>
        <v>3.26360059461141</v>
      </c>
      <c r="AI8">
        <v>0.350481</v>
      </c>
      <c r="AJ8">
        <v>6.18095132118432</v>
      </c>
    </row>
    <row r="9" spans="1:38">
      <c r="A9">
        <f t="shared" si="5"/>
        <v>8</v>
      </c>
      <c r="B9" t="s">
        <v>36</v>
      </c>
      <c r="C9">
        <v>9085610</v>
      </c>
      <c r="E9">
        <v>21.776</v>
      </c>
      <c r="F9">
        <v>0.417230437178545</v>
      </c>
      <c r="G9">
        <f t="shared" si="0"/>
        <v>13.6877636069922</v>
      </c>
      <c r="J9">
        <v>2.613825</v>
      </c>
      <c r="K9">
        <v>3.47598251604449</v>
      </c>
      <c r="L9">
        <f t="shared" si="1"/>
        <v>1.64297477544299</v>
      </c>
      <c r="O9">
        <v>6.2009</v>
      </c>
      <c r="P9">
        <v>1.46520827621797</v>
      </c>
      <c r="Q9">
        <f t="shared" si="2"/>
        <v>3.8977063441678</v>
      </c>
      <c r="T9">
        <v>0.003424</v>
      </c>
      <c r="U9">
        <v>2.65350759345794</v>
      </c>
      <c r="V9">
        <f t="shared" si="3"/>
        <v>2.15222734158438</v>
      </c>
      <c r="Y9">
        <v>4862.822234</v>
      </c>
      <c r="Z9">
        <v>4.862822234</v>
      </c>
      <c r="AA9">
        <v>1.17441093236187</v>
      </c>
      <c r="AD9">
        <v>0.00860859</v>
      </c>
      <c r="AE9">
        <v>1.05541209419893</v>
      </c>
      <c r="AF9">
        <f t="shared" si="4"/>
        <v>5.41111062222252</v>
      </c>
      <c r="AI9">
        <v>1.59091</v>
      </c>
      <c r="AJ9">
        <v>5.71095159374195</v>
      </c>
    </row>
    <row r="10" spans="1:38">
      <c r="A10">
        <f t="shared" si="5"/>
        <v>9</v>
      </c>
      <c r="B10" t="s">
        <v>37</v>
      </c>
      <c r="C10">
        <v>5057868</v>
      </c>
      <c r="E10">
        <v>3.136</v>
      </c>
      <c r="F10">
        <v>1.61284056122449</v>
      </c>
      <c r="G10">
        <f t="shared" si="0"/>
        <v>8.32216546142105</v>
      </c>
      <c r="J10">
        <v>0.259442</v>
      </c>
      <c r="K10">
        <v>19.4951781130272</v>
      </c>
      <c r="L10">
        <f t="shared" si="1"/>
        <v>0.688494659324617</v>
      </c>
      <c r="O10">
        <v>3.9906</v>
      </c>
      <c r="P10">
        <v>1.26744549691776</v>
      </c>
      <c r="Q10">
        <f t="shared" si="2"/>
        <v>10.5900616997279</v>
      </c>
      <c r="T10">
        <v>0.00199</v>
      </c>
      <c r="U10">
        <v>2.54164221105528</v>
      </c>
      <c r="V10">
        <f t="shared" si="3"/>
        <v>5.28096596563389</v>
      </c>
      <c r="Y10">
        <v>9610.222575</v>
      </c>
      <c r="Z10">
        <v>9.610222575</v>
      </c>
      <c r="AA10">
        <v>1.39667171167484</v>
      </c>
      <c r="AD10">
        <v>0.0019376</v>
      </c>
      <c r="AE10">
        <v>2.61037778695293</v>
      </c>
      <c r="AF10">
        <f t="shared" si="4"/>
        <v>5.14190937437801</v>
      </c>
      <c r="AI10">
        <v>0.376825</v>
      </c>
      <c r="AJ10">
        <v>13.4223260134014</v>
      </c>
    </row>
    <row r="11" spans="1:38">
      <c r="A11">
        <f t="shared" si="5"/>
        <v>10</v>
      </c>
      <c r="B11" t="s">
        <v>38</v>
      </c>
      <c r="C11">
        <v>5057868</v>
      </c>
      <c r="E11">
        <v>3.38</v>
      </c>
      <c r="F11">
        <v>1.49641065088757</v>
      </c>
      <c r="G11">
        <f t="shared" si="0"/>
        <v>9.38615126143765</v>
      </c>
      <c r="J11">
        <v>0.252716</v>
      </c>
      <c r="K11">
        <v>20.0140394751421</v>
      </c>
      <c r="L11">
        <f t="shared" si="1"/>
        <v>0.70178420183002</v>
      </c>
      <c r="O11">
        <v>4.7341</v>
      </c>
      <c r="P11">
        <v>1.06839061278807</v>
      </c>
      <c r="Q11">
        <f t="shared" si="2"/>
        <v>13.1464433984532</v>
      </c>
      <c r="T11">
        <v>0.002879</v>
      </c>
      <c r="U11">
        <v>1.75681417158736</v>
      </c>
      <c r="V11">
        <f t="shared" si="3"/>
        <v>7.99489037919493</v>
      </c>
      <c r="Y11">
        <v>10955.63559</v>
      </c>
      <c r="Z11">
        <v>10.95563559</v>
      </c>
      <c r="AA11">
        <v>1.28203759636524</v>
      </c>
      <c r="AD11">
        <v>0.00185974</v>
      </c>
      <c r="AE11">
        <v>2.71966403905922</v>
      </c>
      <c r="AF11">
        <f t="shared" si="4"/>
        <v>5.16443814998403</v>
      </c>
      <c r="AI11">
        <v>0.360105</v>
      </c>
      <c r="AJ11">
        <v>14.0455367184571</v>
      </c>
    </row>
    <row r="12" spans="1:38">
      <c r="A12">
        <f t="shared" si="5"/>
        <v>11</v>
      </c>
      <c r="B12" t="s">
        <v>39</v>
      </c>
      <c r="C12">
        <v>4831050</v>
      </c>
      <c r="E12">
        <v>3.359</v>
      </c>
      <c r="F12">
        <v>1.43824054778208</v>
      </c>
      <c r="G12">
        <f t="shared" si="0"/>
        <v>7.14414845536239</v>
      </c>
      <c r="J12">
        <v>0.367543</v>
      </c>
      <c r="K12">
        <v>13.1441763276678</v>
      </c>
      <c r="L12">
        <f t="shared" si="1"/>
        <v>0.781715318764292</v>
      </c>
      <c r="O12">
        <v>3.78</v>
      </c>
      <c r="P12">
        <v>1.27805555555556</v>
      </c>
      <c r="Q12">
        <f t="shared" si="2"/>
        <v>8.03955973839529</v>
      </c>
      <c r="T12">
        <v>0.002793</v>
      </c>
      <c r="U12">
        <v>1.7296992481203</v>
      </c>
      <c r="V12">
        <f t="shared" si="3"/>
        <v>5.94034136225876</v>
      </c>
      <c r="Y12">
        <v>8509.088694</v>
      </c>
      <c r="Z12">
        <v>8.509088694</v>
      </c>
      <c r="AA12">
        <v>1.20753283428836</v>
      </c>
      <c r="AD12">
        <v>0.00133585</v>
      </c>
      <c r="AE12">
        <v>3.61646142905266</v>
      </c>
      <c r="AF12">
        <f t="shared" si="4"/>
        <v>2.84117615781359</v>
      </c>
      <c r="AI12">
        <v>0.470175</v>
      </c>
      <c r="AJ12">
        <v>10.2750039878769</v>
      </c>
    </row>
    <row r="13" spans="1:38">
      <c r="A13">
        <f t="shared" si="5"/>
        <v>12</v>
      </c>
      <c r="B13" t="s">
        <v>40</v>
      </c>
      <c r="C13">
        <v>971290</v>
      </c>
      <c r="E13">
        <v>1.306</v>
      </c>
      <c r="F13">
        <v>0.743713629402757</v>
      </c>
      <c r="G13">
        <f t="shared" si="0"/>
        <v>3.90890398043752</v>
      </c>
      <c r="J13">
        <v>0.270128</v>
      </c>
      <c r="K13">
        <v>3.59566575845525</v>
      </c>
      <c r="L13">
        <f t="shared" si="1"/>
        <v>0.808502614416253</v>
      </c>
      <c r="O13">
        <v>1.6919</v>
      </c>
      <c r="P13">
        <v>0.574082392576393</v>
      </c>
      <c r="Q13">
        <f t="shared" si="2"/>
        <v>5.06391626684705</v>
      </c>
      <c r="T13">
        <v>0.00295</v>
      </c>
      <c r="U13">
        <v>0.329250847457627</v>
      </c>
      <c r="V13">
        <f t="shared" si="3"/>
        <v>8.82945386086577</v>
      </c>
      <c r="Y13">
        <v>1606.018019</v>
      </c>
      <c r="Z13">
        <v>1.606018019</v>
      </c>
      <c r="AA13">
        <v>1.8101323471378</v>
      </c>
      <c r="AD13">
        <v>0.00138795</v>
      </c>
      <c r="AE13">
        <v>0.699801866061458</v>
      </c>
      <c r="AF13">
        <f t="shared" si="4"/>
        <v>4.15418321565716</v>
      </c>
      <c r="AI13">
        <v>0.334109</v>
      </c>
      <c r="AJ13">
        <v>2.90710516627807</v>
      </c>
    </row>
    <row r="14" spans="1:38">
      <c r="A14">
        <f t="shared" si="5"/>
        <v>13</v>
      </c>
      <c r="B14" t="s">
        <v>41</v>
      </c>
      <c r="C14">
        <v>59838604</v>
      </c>
      <c r="E14">
        <v>178.825</v>
      </c>
      <c r="F14">
        <v>0.334621020550818</v>
      </c>
      <c r="G14">
        <f t="shared" si="0"/>
        <v>17.9532717974254</v>
      </c>
      <c r="J14">
        <v>22.601154</v>
      </c>
      <c r="K14">
        <v>2.6475906495748</v>
      </c>
      <c r="L14">
        <f t="shared" si="1"/>
        <v>2.26906003465661</v>
      </c>
      <c r="O14">
        <v>35.2549</v>
      </c>
      <c r="P14">
        <v>1.69731311108527</v>
      </c>
      <c r="Q14">
        <f t="shared" si="2"/>
        <v>3.53944248226508</v>
      </c>
      <c r="T14">
        <v>0.018978</v>
      </c>
      <c r="U14">
        <v>3.15305111181368</v>
      </c>
      <c r="V14">
        <f t="shared" si="3"/>
        <v>1.90531073491704</v>
      </c>
      <c r="Y14">
        <v>1971.595367</v>
      </c>
      <c r="Z14">
        <v>1.971595367</v>
      </c>
      <c r="AA14">
        <v>3.04704617977565</v>
      </c>
      <c r="AD14">
        <v>0.0328516</v>
      </c>
      <c r="AE14">
        <v>1.82148218047218</v>
      </c>
      <c r="AF14">
        <f t="shared" si="4"/>
        <v>3.29816135204979</v>
      </c>
      <c r="AI14">
        <v>9.96058</v>
      </c>
      <c r="AJ14">
        <v>6.00754213108072</v>
      </c>
    </row>
    <row r="15" spans="1:38">
      <c r="A15">
        <f t="shared" si="5"/>
        <v>14</v>
      </c>
      <c r="B15" t="s">
        <v>42</v>
      </c>
      <c r="C15">
        <v>1551124</v>
      </c>
      <c r="E15">
        <v>5.874</v>
      </c>
      <c r="F15">
        <v>0.264066053796391</v>
      </c>
      <c r="G15">
        <f t="shared" si="0"/>
        <v>14.5199804224983</v>
      </c>
      <c r="J15">
        <v>0.437266</v>
      </c>
      <c r="K15">
        <v>3.54732359707821</v>
      </c>
      <c r="L15">
        <f t="shared" si="1"/>
        <v>1.08088078982365</v>
      </c>
      <c r="O15">
        <v>3.307</v>
      </c>
      <c r="P15">
        <v>0.469042636830965</v>
      </c>
      <c r="Q15">
        <f t="shared" si="2"/>
        <v>8.17459571964621</v>
      </c>
      <c r="T15">
        <v>0.002934</v>
      </c>
      <c r="U15">
        <v>0.528672119972733</v>
      </c>
      <c r="V15">
        <f t="shared" si="3"/>
        <v>7.2525744909108</v>
      </c>
      <c r="Y15">
        <v>2134.440794</v>
      </c>
      <c r="Z15">
        <v>2.134440794</v>
      </c>
      <c r="AA15">
        <v>1.79636462259725</v>
      </c>
      <c r="AD15">
        <v>0.00244367</v>
      </c>
      <c r="AE15">
        <v>0.634751828192841</v>
      </c>
      <c r="AF15">
        <f t="shared" si="4"/>
        <v>6.04052443974233</v>
      </c>
      <c r="AI15">
        <v>0.404546</v>
      </c>
      <c r="AJ15">
        <v>3.83423393136998</v>
      </c>
    </row>
    <row r="16" spans="1:38">
      <c r="A16">
        <f t="shared" si="5"/>
        <v>15</v>
      </c>
      <c r="B16" t="s">
        <v>43</v>
      </c>
      <c r="C16">
        <v>1551124</v>
      </c>
      <c r="E16">
        <v>5.715</v>
      </c>
      <c r="F16">
        <v>0.271412773403325</v>
      </c>
      <c r="G16">
        <f t="shared" si="0"/>
        <v>14.7706097173295</v>
      </c>
      <c r="J16">
        <v>0.369743</v>
      </c>
      <c r="K16">
        <v>4.19514094925394</v>
      </c>
      <c r="L16">
        <f t="shared" si="1"/>
        <v>0.95561321937263</v>
      </c>
      <c r="O16">
        <v>3.312</v>
      </c>
      <c r="P16">
        <v>0.468334541062802</v>
      </c>
      <c r="Q16">
        <f t="shared" si="2"/>
        <v>8.5599753952398</v>
      </c>
      <c r="T16">
        <v>0.003079</v>
      </c>
      <c r="U16">
        <v>0.503775251705099</v>
      </c>
      <c r="V16">
        <f t="shared" si="3"/>
        <v>7.95777905855778</v>
      </c>
      <c r="Y16">
        <v>2166.739407</v>
      </c>
      <c r="Z16">
        <v>2.166739407</v>
      </c>
      <c r="AA16">
        <v>1.850214259863</v>
      </c>
      <c r="AD16">
        <v>0.00245163</v>
      </c>
      <c r="AE16">
        <v>0.632690903602909</v>
      </c>
      <c r="AF16">
        <f t="shared" si="4"/>
        <v>6.33632019270283</v>
      </c>
      <c r="AI16">
        <v>0.386917</v>
      </c>
      <c r="AJ16">
        <v>4.00893214823851</v>
      </c>
    </row>
    <row r="17" spans="1:36">
      <c r="A17">
        <f t="shared" si="5"/>
        <v>16</v>
      </c>
      <c r="B17" t="s">
        <v>44</v>
      </c>
      <c r="C17">
        <v>1487464</v>
      </c>
      <c r="E17">
        <v>2.415</v>
      </c>
      <c r="F17">
        <v>0.615927122153209</v>
      </c>
      <c r="G17">
        <f t="shared" si="0"/>
        <v>9.22079508835164</v>
      </c>
      <c r="J17">
        <v>0.220016</v>
      </c>
      <c r="K17">
        <v>6.76070831212275</v>
      </c>
      <c r="L17">
        <f t="shared" si="1"/>
        <v>0.84005070482765</v>
      </c>
      <c r="O17">
        <v>1.7387</v>
      </c>
      <c r="P17">
        <v>0.855503537125439</v>
      </c>
      <c r="Q17">
        <f t="shared" si="2"/>
        <v>6.63859065015196</v>
      </c>
      <c r="T17">
        <v>0.002226</v>
      </c>
      <c r="U17">
        <v>0.668222821203953</v>
      </c>
      <c r="V17">
        <f t="shared" si="3"/>
        <v>8.49916764665456</v>
      </c>
      <c r="Y17">
        <v>3821.84554</v>
      </c>
      <c r="Z17">
        <v>3.82184554</v>
      </c>
      <c r="AA17">
        <v>1.48601970521626</v>
      </c>
      <c r="AD17">
        <v>0.00151347</v>
      </c>
      <c r="AE17">
        <v>0.98281697027361</v>
      </c>
      <c r="AF17">
        <f t="shared" si="4"/>
        <v>5.77863219145654</v>
      </c>
      <c r="AI17">
        <v>0.261908</v>
      </c>
      <c r="AJ17">
        <v>5.67933778273287</v>
      </c>
    </row>
    <row r="18" spans="1:36">
      <c r="A18">
        <f t="shared" si="5"/>
        <v>17</v>
      </c>
      <c r="B18" t="s">
        <v>45</v>
      </c>
      <c r="C18">
        <v>3076540</v>
      </c>
      <c r="E18">
        <v>6.512</v>
      </c>
      <c r="F18">
        <v>0.472441646191646</v>
      </c>
      <c r="G18">
        <f t="shared" si="0"/>
        <v>11.5705739267635</v>
      </c>
      <c r="J18">
        <v>0.565049</v>
      </c>
      <c r="K18">
        <v>5.44473134188362</v>
      </c>
      <c r="L18">
        <f t="shared" si="1"/>
        <v>1.00398360361545</v>
      </c>
      <c r="O18">
        <v>2.9986</v>
      </c>
      <c r="P18">
        <v>1.02599212966051</v>
      </c>
      <c r="Q18">
        <f t="shared" si="2"/>
        <v>5.32793657506036</v>
      </c>
      <c r="T18">
        <v>0.002774</v>
      </c>
      <c r="U18">
        <v>1.10906272530642</v>
      </c>
      <c r="V18">
        <f t="shared" si="3"/>
        <v>4.92886549030128</v>
      </c>
      <c r="Y18">
        <v>5691.302727</v>
      </c>
      <c r="Z18">
        <v>5.691302727</v>
      </c>
      <c r="AA18">
        <v>0.960486773513058</v>
      </c>
      <c r="AD18">
        <v>0.00546784</v>
      </c>
      <c r="AE18">
        <v>0.562660941066308</v>
      </c>
      <c r="AF18">
        <f t="shared" si="4"/>
        <v>9.71530204848198</v>
      </c>
      <c r="AI18">
        <v>0.562807</v>
      </c>
      <c r="AJ18">
        <v>5.4664209933423</v>
      </c>
    </row>
    <row r="19" spans="1:36">
      <c r="A19">
        <f t="shared" si="5"/>
        <v>18</v>
      </c>
      <c r="B19" t="s">
        <v>46</v>
      </c>
      <c r="C19">
        <v>3076540</v>
      </c>
      <c r="E19">
        <v>6.282</v>
      </c>
      <c r="F19">
        <v>0.489738936644381</v>
      </c>
      <c r="G19">
        <f t="shared" si="0"/>
        <v>14.83426568968</v>
      </c>
      <c r="J19">
        <v>0.524135</v>
      </c>
      <c r="K19">
        <v>5.86974729792897</v>
      </c>
      <c r="L19">
        <f t="shared" si="1"/>
        <v>1.23768829150914</v>
      </c>
      <c r="O19">
        <v>3.174</v>
      </c>
      <c r="P19">
        <v>0.969294265910523</v>
      </c>
      <c r="Q19">
        <f t="shared" si="2"/>
        <v>7.49505878685838</v>
      </c>
      <c r="T19">
        <v>0.002672</v>
      </c>
      <c r="U19">
        <v>1.1513997005988</v>
      </c>
      <c r="V19">
        <f t="shared" si="3"/>
        <v>6.30963991130612</v>
      </c>
      <c r="Y19">
        <v>5690.557621</v>
      </c>
      <c r="Z19">
        <v>5.690557621</v>
      </c>
      <c r="AA19">
        <v>1.27666179461117</v>
      </c>
      <c r="AD19">
        <v>0.00485362</v>
      </c>
      <c r="AE19">
        <v>0.633865032697244</v>
      </c>
      <c r="AF19">
        <f t="shared" si="4"/>
        <v>11.4613003242192</v>
      </c>
      <c r="AI19">
        <v>0.423479</v>
      </c>
      <c r="AJ19">
        <v>7.26491750476411</v>
      </c>
    </row>
    <row r="20" spans="1:36">
      <c r="A20">
        <f t="shared" si="5"/>
        <v>19</v>
      </c>
      <c r="B20" t="s">
        <v>47</v>
      </c>
      <c r="C20">
        <v>7720716</v>
      </c>
      <c r="E20">
        <v>28.698</v>
      </c>
      <c r="F20">
        <v>0.269033242734685</v>
      </c>
      <c r="G20">
        <f t="shared" si="0"/>
        <v>12.8695199827797</v>
      </c>
      <c r="J20">
        <v>2.520419</v>
      </c>
      <c r="K20">
        <v>3.06326686158135</v>
      </c>
      <c r="L20">
        <f t="shared" si="1"/>
        <v>1.13027328334649</v>
      </c>
      <c r="O20">
        <v>6.4135</v>
      </c>
      <c r="P20">
        <v>1.20382256178374</v>
      </c>
      <c r="Q20">
        <f t="shared" si="2"/>
        <v>2.87611214752098</v>
      </c>
      <c r="T20">
        <v>0.003444</v>
      </c>
      <c r="U20">
        <v>2.24178745644599</v>
      </c>
      <c r="V20">
        <f t="shared" si="3"/>
        <v>1.54445002511301</v>
      </c>
      <c r="Y20">
        <v>3952.377876</v>
      </c>
      <c r="Z20">
        <v>3.952377876</v>
      </c>
      <c r="AA20">
        <v>0.876011556088884</v>
      </c>
      <c r="AD20">
        <v>0.00373816</v>
      </c>
      <c r="AE20">
        <v>2.06537868898067</v>
      </c>
      <c r="AF20">
        <f t="shared" si="4"/>
        <v>1.6763650713927</v>
      </c>
      <c r="AI20">
        <v>2.22992</v>
      </c>
      <c r="AJ20">
        <v>3.46232869340604</v>
      </c>
    </row>
    <row r="21" spans="1:36">
      <c r="A21">
        <f t="shared" si="5"/>
        <v>20</v>
      </c>
      <c r="B21" t="s">
        <v>48</v>
      </c>
      <c r="C21">
        <v>15656860</v>
      </c>
      <c r="E21">
        <v>11.569</v>
      </c>
      <c r="F21">
        <v>1.35334601089117</v>
      </c>
      <c r="G21">
        <f t="shared" si="0"/>
        <v>15.7457916857212</v>
      </c>
      <c r="J21">
        <v>0.863378</v>
      </c>
      <c r="K21">
        <v>18.1344208446358</v>
      </c>
      <c r="L21">
        <f t="shared" si="1"/>
        <v>1.17508601729057</v>
      </c>
      <c r="O21">
        <v>4.5568</v>
      </c>
      <c r="P21">
        <v>3.43593311095506</v>
      </c>
      <c r="Q21">
        <f t="shared" si="2"/>
        <v>6.20195553232725</v>
      </c>
      <c r="T21">
        <v>0.002233</v>
      </c>
      <c r="U21">
        <v>7.01158083296014</v>
      </c>
      <c r="V21">
        <f t="shared" si="3"/>
        <v>3.03918686439755</v>
      </c>
      <c r="Y21">
        <v>14211.004805</v>
      </c>
      <c r="Z21">
        <v>14.211004805</v>
      </c>
      <c r="AA21">
        <v>1.49950722405615</v>
      </c>
      <c r="AD21">
        <v>0.0118731</v>
      </c>
      <c r="AE21">
        <v>1.3186834103983</v>
      </c>
      <c r="AF21">
        <f t="shared" si="4"/>
        <v>16.1596818449075</v>
      </c>
      <c r="AI21">
        <v>0.734736</v>
      </c>
      <c r="AJ21">
        <v>21.3095043661941</v>
      </c>
    </row>
    <row r="22" spans="1:36">
      <c r="A22">
        <f t="shared" si="5"/>
        <v>21</v>
      </c>
      <c r="B22" t="s">
        <v>49</v>
      </c>
      <c r="C22">
        <v>200939936</v>
      </c>
      <c r="E22">
        <v>142.797</v>
      </c>
      <c r="F22">
        <v>1.40717197139996</v>
      </c>
      <c r="G22">
        <f t="shared" si="0"/>
        <v>5.52560094107449</v>
      </c>
      <c r="J22">
        <v>45.662859</v>
      </c>
      <c r="K22">
        <v>4.40051149666297</v>
      </c>
      <c r="L22">
        <f t="shared" si="1"/>
        <v>1.76694704134227</v>
      </c>
      <c r="O22">
        <v>61.4231</v>
      </c>
      <c r="P22">
        <v>3.27140662063621</v>
      </c>
      <c r="Q22">
        <f t="shared" si="2"/>
        <v>2.37679740585386</v>
      </c>
      <c r="T22">
        <v>0.050733</v>
      </c>
      <c r="U22">
        <v>3.96073435436501</v>
      </c>
      <c r="V22">
        <f t="shared" si="3"/>
        <v>1.96313866918445</v>
      </c>
      <c r="Y22">
        <v>7842.85401</v>
      </c>
      <c r="Z22">
        <v>7.84285401</v>
      </c>
      <c r="AA22">
        <v>0.99140832654888</v>
      </c>
      <c r="AD22">
        <v>0.00108126</v>
      </c>
      <c r="AE22">
        <v>185.838684497716</v>
      </c>
      <c r="AF22">
        <f t="shared" si="4"/>
        <v>0.0418398935099911</v>
      </c>
      <c r="AI22">
        <v>25.8428</v>
      </c>
      <c r="AJ22">
        <v>7.77547076942127</v>
      </c>
    </row>
    <row r="23" spans="1:36">
      <c r="A23">
        <f t="shared" si="5"/>
        <v>22</v>
      </c>
      <c r="B23" t="s">
        <v>50</v>
      </c>
      <c r="C23">
        <v>38110342</v>
      </c>
      <c r="E23">
        <v>45.216</v>
      </c>
      <c r="F23">
        <v>0.84285080502477</v>
      </c>
      <c r="G23">
        <f t="shared" si="0"/>
        <v>16.3415771269963</v>
      </c>
      <c r="J23">
        <v>4.199858</v>
      </c>
      <c r="K23">
        <v>9.07419774668572</v>
      </c>
      <c r="L23">
        <f t="shared" si="1"/>
        <v>1.51787649127372</v>
      </c>
      <c r="O23">
        <v>9.2003</v>
      </c>
      <c r="P23">
        <v>4.14229340347597</v>
      </c>
      <c r="Q23">
        <f t="shared" si="2"/>
        <v>3.32509315378415</v>
      </c>
      <c r="T23">
        <v>0.007058</v>
      </c>
      <c r="U23">
        <v>5.39959506942477</v>
      </c>
      <c r="V23">
        <f t="shared" si="3"/>
        <v>2.55084154640702</v>
      </c>
      <c r="Y23">
        <v>14148.962818</v>
      </c>
      <c r="Z23">
        <v>14.148962818</v>
      </c>
      <c r="AA23">
        <v>0.973464388452618</v>
      </c>
      <c r="AD23">
        <v>0.000959433</v>
      </c>
      <c r="AE23">
        <v>39.7217335655538</v>
      </c>
      <c r="AF23">
        <f t="shared" si="4"/>
        <v>0.346750008131755</v>
      </c>
      <c r="AI23">
        <v>2.76693</v>
      </c>
      <c r="AJ23">
        <v>13.7735114368632</v>
      </c>
    </row>
    <row r="24" spans="1:36">
      <c r="A24">
        <f t="shared" si="5"/>
        <v>23</v>
      </c>
      <c r="B24" t="s">
        <v>51</v>
      </c>
      <c r="C24">
        <v>7428020</v>
      </c>
      <c r="E24">
        <v>27.557</v>
      </c>
      <c r="F24">
        <v>0.269551112240084</v>
      </c>
      <c r="G24">
        <f t="shared" si="0"/>
        <v>13.4616793758885</v>
      </c>
      <c r="J24">
        <v>1.721016</v>
      </c>
      <c r="K24">
        <v>4.31606678845519</v>
      </c>
      <c r="L24">
        <f t="shared" si="1"/>
        <v>0.840721616749794</v>
      </c>
      <c r="O24">
        <v>7.3247</v>
      </c>
      <c r="P24">
        <v>1.01410569716166</v>
      </c>
      <c r="Q24">
        <f t="shared" si="2"/>
        <v>3.5781385101633</v>
      </c>
      <c r="T24">
        <v>0.003522</v>
      </c>
      <c r="U24">
        <v>2.10903463940943</v>
      </c>
      <c r="V24">
        <f t="shared" si="3"/>
        <v>1.72050784780198</v>
      </c>
      <c r="Y24">
        <v>4299.021839</v>
      </c>
      <c r="Z24">
        <v>4.299021839</v>
      </c>
      <c r="AA24">
        <v>0.844054946516437</v>
      </c>
      <c r="AD24">
        <v>0.00326083</v>
      </c>
      <c r="AE24">
        <v>2.27795377250577</v>
      </c>
      <c r="AF24">
        <f t="shared" si="4"/>
        <v>1.59292549839527</v>
      </c>
      <c r="AI24">
        <v>2.04707</v>
      </c>
      <c r="AJ24">
        <v>3.62861064839014</v>
      </c>
    </row>
    <row r="25" spans="1:36">
      <c r="A25">
        <f t="shared" si="5"/>
        <v>24</v>
      </c>
      <c r="B25" t="s">
        <v>52</v>
      </c>
      <c r="C25">
        <v>2329410</v>
      </c>
      <c r="E25">
        <v>16.584</v>
      </c>
      <c r="F25">
        <v>0.140461287988423</v>
      </c>
      <c r="G25">
        <f t="shared" si="0"/>
        <v>26.3185040475967</v>
      </c>
      <c r="J25">
        <v>0.510216</v>
      </c>
      <c r="K25">
        <v>4.56553694905687</v>
      </c>
      <c r="L25">
        <f t="shared" si="1"/>
        <v>0.809703440734962</v>
      </c>
      <c r="O25">
        <v>3.271</v>
      </c>
      <c r="P25">
        <v>0.712140018343014</v>
      </c>
      <c r="Q25">
        <f t="shared" si="2"/>
        <v>5.1910170489441</v>
      </c>
      <c r="T25">
        <v>0.001828</v>
      </c>
      <c r="U25">
        <v>1.2742943107221</v>
      </c>
      <c r="V25">
        <f t="shared" si="3"/>
        <v>2.90100249632217</v>
      </c>
      <c r="Y25">
        <v>3417.031354</v>
      </c>
      <c r="Z25">
        <v>3.417031354</v>
      </c>
      <c r="AA25">
        <v>1.08185456716004</v>
      </c>
      <c r="AD25">
        <v>0.00752278</v>
      </c>
      <c r="AE25">
        <v>0.309647497334762</v>
      </c>
      <c r="AF25">
        <f t="shared" si="4"/>
        <v>11.938513982102</v>
      </c>
      <c r="AI25">
        <v>0.630127</v>
      </c>
      <c r="AJ25">
        <v>3.69673097645395</v>
      </c>
    </row>
    <row r="26" spans="1:36">
      <c r="A26">
        <f t="shared" si="5"/>
        <v>25</v>
      </c>
      <c r="B26" t="s">
        <v>53</v>
      </c>
      <c r="C26">
        <v>2329410</v>
      </c>
      <c r="E26">
        <v>17.456</v>
      </c>
      <c r="F26">
        <v>0.133444660861595</v>
      </c>
      <c r="G26">
        <f t="shared" si="0"/>
        <v>28.9167483898327</v>
      </c>
      <c r="J26">
        <v>0.499083</v>
      </c>
      <c r="K26">
        <v>4.66737997487392</v>
      </c>
      <c r="L26">
        <f t="shared" si="1"/>
        <v>0.826756275013915</v>
      </c>
      <c r="O26">
        <v>3.2825</v>
      </c>
      <c r="P26">
        <v>0.709645087585682</v>
      </c>
      <c r="Q26">
        <f t="shared" si="2"/>
        <v>5.43762755440112</v>
      </c>
      <c r="T26">
        <v>0.002919</v>
      </c>
      <c r="U26">
        <v>0.798016443987667</v>
      </c>
      <c r="V26">
        <f t="shared" si="3"/>
        <v>4.83547138805693</v>
      </c>
      <c r="Y26">
        <v>3586.843585</v>
      </c>
      <c r="Z26">
        <v>3.586843585</v>
      </c>
      <c r="AA26">
        <v>1.07581654751786</v>
      </c>
      <c r="AD26">
        <v>0.00461843</v>
      </c>
      <c r="AE26">
        <v>0.504372698081383</v>
      </c>
      <c r="AF26">
        <f t="shared" si="4"/>
        <v>7.65066328288584</v>
      </c>
      <c r="AI26">
        <v>0.603664</v>
      </c>
      <c r="AJ26">
        <v>3.8587856821013</v>
      </c>
    </row>
    <row r="27" spans="1:36">
      <c r="A27">
        <f t="shared" si="5"/>
        <v>26</v>
      </c>
      <c r="B27" t="s">
        <v>54</v>
      </c>
      <c r="C27">
        <v>2355242</v>
      </c>
      <c r="E27">
        <v>4.388</v>
      </c>
      <c r="F27">
        <v>0.53674612579763</v>
      </c>
      <c r="G27">
        <f t="shared" si="0"/>
        <v>12.671460336712</v>
      </c>
      <c r="J27">
        <v>0.27077</v>
      </c>
      <c r="K27">
        <v>8.69831222070392</v>
      </c>
      <c r="L27">
        <f t="shared" si="1"/>
        <v>0.781916890467527</v>
      </c>
      <c r="O27">
        <v>2.8112</v>
      </c>
      <c r="P27">
        <v>0.837806630620376</v>
      </c>
      <c r="Q27">
        <f t="shared" si="2"/>
        <v>8.11805134424904</v>
      </c>
      <c r="T27">
        <v>0.003067</v>
      </c>
      <c r="U27">
        <v>0.767930224975546</v>
      </c>
      <c r="V27">
        <f t="shared" si="3"/>
        <v>8.85673857171735</v>
      </c>
      <c r="Y27">
        <v>4111.602721</v>
      </c>
      <c r="Z27">
        <v>4.111602721</v>
      </c>
      <c r="AA27">
        <v>1.65418638556458</v>
      </c>
      <c r="AD27">
        <v>0.00138297</v>
      </c>
      <c r="AE27">
        <v>1.70303188066263</v>
      </c>
      <c r="AF27">
        <f t="shared" si="4"/>
        <v>3.99367582084381</v>
      </c>
      <c r="AI27">
        <v>0.34629</v>
      </c>
      <c r="AJ27">
        <v>6.8013572439285</v>
      </c>
    </row>
    <row r="28" spans="1:36">
      <c r="A28">
        <f t="shared" si="5"/>
        <v>27</v>
      </c>
      <c r="B28" t="s">
        <v>55</v>
      </c>
      <c r="C28">
        <v>2174000</v>
      </c>
      <c r="E28">
        <v>5.037</v>
      </c>
      <c r="F28">
        <v>0.431606114750844</v>
      </c>
      <c r="G28">
        <f t="shared" si="0"/>
        <v>5.96230855094714</v>
      </c>
      <c r="J28">
        <v>0.63795</v>
      </c>
      <c r="K28">
        <v>3.407790579199</v>
      </c>
      <c r="L28">
        <f t="shared" si="1"/>
        <v>0.755142890624722</v>
      </c>
      <c r="O28">
        <v>3.818</v>
      </c>
      <c r="P28">
        <v>0.569408067050812</v>
      </c>
      <c r="Q28">
        <f t="shared" si="2"/>
        <v>4.51937543131153</v>
      </c>
      <c r="T28">
        <v>0.002997</v>
      </c>
      <c r="U28">
        <v>0.725392058725392</v>
      </c>
      <c r="V28">
        <f t="shared" si="3"/>
        <v>3.54755583227885</v>
      </c>
      <c r="Y28">
        <v>3128.764299</v>
      </c>
      <c r="Z28">
        <v>3.128764299</v>
      </c>
      <c r="AA28">
        <v>0.822487276987441</v>
      </c>
      <c r="AD28">
        <v>0.00184814</v>
      </c>
      <c r="AE28">
        <v>1.17631781142121</v>
      </c>
      <c r="AF28">
        <f t="shared" si="4"/>
        <v>2.18764759288217</v>
      </c>
      <c r="AI28">
        <v>0.844807</v>
      </c>
      <c r="AJ28">
        <v>2.57336882862003</v>
      </c>
    </row>
    <row r="29" spans="1:36">
      <c r="A29">
        <f t="shared" si="5"/>
        <v>28</v>
      </c>
      <c r="B29" t="s">
        <v>56</v>
      </c>
      <c r="C29">
        <v>1544336</v>
      </c>
      <c r="E29">
        <v>4.191</v>
      </c>
      <c r="F29">
        <v>0.368488666189454</v>
      </c>
      <c r="G29">
        <f t="shared" si="0"/>
        <v>5.90527049971467</v>
      </c>
      <c r="J29">
        <v>0.610963</v>
      </c>
      <c r="K29">
        <v>2.5277078972049</v>
      </c>
      <c r="L29">
        <f t="shared" si="1"/>
        <v>0.860868952592981</v>
      </c>
      <c r="O29">
        <v>2.4379</v>
      </c>
      <c r="P29">
        <v>0.633469789572993</v>
      </c>
      <c r="Q29">
        <f t="shared" si="2"/>
        <v>3.43508922721413</v>
      </c>
      <c r="T29">
        <v>0.002671</v>
      </c>
      <c r="U29">
        <v>0.578186447023587</v>
      </c>
      <c r="V29">
        <f t="shared" si="3"/>
        <v>3.76353555350463</v>
      </c>
      <c r="Y29">
        <v>2389.521717</v>
      </c>
      <c r="Z29">
        <v>2.389521717</v>
      </c>
      <c r="AA29">
        <v>0.910653054310697</v>
      </c>
      <c r="AD29">
        <v>0.00331787</v>
      </c>
      <c r="AE29">
        <v>0.465460069261303</v>
      </c>
      <c r="AF29">
        <f t="shared" si="4"/>
        <v>4.67499876709338</v>
      </c>
      <c r="AI29">
        <v>0.709705</v>
      </c>
      <c r="AJ29">
        <v>2.17602524992779</v>
      </c>
    </row>
    <row r="30" spans="1:36">
      <c r="A30">
        <f t="shared" si="5"/>
        <v>29</v>
      </c>
      <c r="B30" t="s">
        <v>57</v>
      </c>
      <c r="C30">
        <v>35562618</v>
      </c>
      <c r="E30">
        <v>37.804</v>
      </c>
      <c r="F30">
        <v>0.94071045392022</v>
      </c>
      <c r="G30">
        <f t="shared" si="0"/>
        <v>15.9174066635509</v>
      </c>
      <c r="J30">
        <v>5.174236</v>
      </c>
      <c r="K30">
        <v>6.87301816152182</v>
      </c>
      <c r="L30">
        <f t="shared" si="1"/>
        <v>2.17861651108837</v>
      </c>
      <c r="O30">
        <v>7.6407</v>
      </c>
      <c r="P30">
        <v>4.65436648474616</v>
      </c>
      <c r="Q30">
        <f t="shared" si="2"/>
        <v>3.21712329632297</v>
      </c>
      <c r="T30">
        <v>0.003051</v>
      </c>
      <c r="U30">
        <v>11.6560530973451</v>
      </c>
      <c r="V30">
        <f t="shared" si="3"/>
        <v>1.28462616999508</v>
      </c>
      <c r="Y30">
        <v>19522.123388</v>
      </c>
      <c r="Z30">
        <v>19.522123388</v>
      </c>
      <c r="AA30">
        <v>0.767010357946299</v>
      </c>
      <c r="AD30">
        <v>0.000875705</v>
      </c>
      <c r="AE30">
        <v>40.6102717239253</v>
      </c>
      <c r="AF30">
        <f t="shared" si="4"/>
        <v>0.36871634224698</v>
      </c>
      <c r="AI30">
        <v>2.37501</v>
      </c>
      <c r="AJ30">
        <v>14.9736708477017</v>
      </c>
    </row>
    <row r="31" spans="1:36">
      <c r="A31">
        <f t="shared" si="5"/>
        <v>30</v>
      </c>
      <c r="B31" t="s">
        <v>58</v>
      </c>
      <c r="C31">
        <v>7493212</v>
      </c>
      <c r="E31">
        <v>5.688</v>
      </c>
      <c r="F31">
        <v>1.31737201125176</v>
      </c>
      <c r="G31">
        <f t="shared" si="0"/>
        <v>7.4384931558801</v>
      </c>
      <c r="J31">
        <v>0.411334</v>
      </c>
      <c r="K31">
        <v>18.2168554021793</v>
      </c>
      <c r="L31">
        <f t="shared" si="1"/>
        <v>0.537922845249786</v>
      </c>
      <c r="O31">
        <v>3.4161</v>
      </c>
      <c r="P31">
        <v>2.19349901934955</v>
      </c>
      <c r="Q31">
        <f t="shared" si="2"/>
        <v>4.46741147500036</v>
      </c>
      <c r="T31">
        <v>0.001853</v>
      </c>
      <c r="U31">
        <v>4.04382730706962</v>
      </c>
      <c r="V31">
        <f t="shared" si="3"/>
        <v>2.42326438429076</v>
      </c>
      <c r="Y31">
        <v>10996.687945</v>
      </c>
      <c r="Z31">
        <v>10.996687945</v>
      </c>
      <c r="AA31">
        <v>0.891110372364415</v>
      </c>
      <c r="AD31">
        <v>0.00278017</v>
      </c>
      <c r="AE31">
        <v>2.69523518346</v>
      </c>
      <c r="AF31">
        <f t="shared" si="4"/>
        <v>3.63577277025022</v>
      </c>
      <c r="AI31">
        <v>0.764671</v>
      </c>
      <c r="AJ31">
        <v>9.79926268944422</v>
      </c>
    </row>
    <row r="32" spans="1:36">
      <c r="A32">
        <f t="shared" si="5"/>
        <v>31</v>
      </c>
      <c r="B32" t="s">
        <v>59</v>
      </c>
      <c r="C32">
        <v>2630446</v>
      </c>
      <c r="E32">
        <v>21.074</v>
      </c>
      <c r="F32">
        <v>0.124819493214387</v>
      </c>
      <c r="G32">
        <f t="shared" si="0"/>
        <v>28.5232060657494</v>
      </c>
      <c r="J32">
        <v>0.695066</v>
      </c>
      <c r="K32">
        <v>3.78445500139555</v>
      </c>
      <c r="L32">
        <f t="shared" si="1"/>
        <v>0.940756892250931</v>
      </c>
      <c r="O32">
        <v>4.28</v>
      </c>
      <c r="P32">
        <v>0.614590186915888</v>
      </c>
      <c r="Q32">
        <f t="shared" si="2"/>
        <v>5.79288801183482</v>
      </c>
      <c r="T32">
        <v>0.00394</v>
      </c>
      <c r="U32">
        <v>0.667625888324873</v>
      </c>
      <c r="V32">
        <f t="shared" si="3"/>
        <v>5.33270531930589</v>
      </c>
      <c r="Y32">
        <v>3305.35576</v>
      </c>
      <c r="Z32">
        <v>3.30535576</v>
      </c>
      <c r="AA32">
        <v>1.07711616675609</v>
      </c>
      <c r="AD32">
        <v>0.00508559</v>
      </c>
      <c r="AE32">
        <v>0.517235168387542</v>
      </c>
      <c r="AF32">
        <f t="shared" si="4"/>
        <v>6.88323676264184</v>
      </c>
      <c r="AI32">
        <v>0.738837</v>
      </c>
      <c r="AJ32">
        <v>3.56025212597637</v>
      </c>
    </row>
    <row r="33" spans="1:36">
      <c r="A33">
        <f t="shared" si="5"/>
        <v>32</v>
      </c>
      <c r="B33" t="s">
        <v>60</v>
      </c>
      <c r="C33">
        <v>1704556</v>
      </c>
      <c r="E33">
        <v>2.21</v>
      </c>
      <c r="F33">
        <v>0.771292307692308</v>
      </c>
      <c r="G33">
        <f t="shared" si="0"/>
        <v>5.92186884534276</v>
      </c>
      <c r="J33">
        <v>0.236429</v>
      </c>
      <c r="K33">
        <v>7.20958934817641</v>
      </c>
      <c r="L33">
        <f t="shared" si="1"/>
        <v>0.63353010372649</v>
      </c>
      <c r="O33">
        <v>1.9702</v>
      </c>
      <c r="P33">
        <v>0.865169018373769</v>
      </c>
      <c r="Q33">
        <f t="shared" si="2"/>
        <v>5.27930588194313</v>
      </c>
      <c r="T33">
        <v>0.002834</v>
      </c>
      <c r="U33">
        <v>0.601466478475653</v>
      </c>
      <c r="V33">
        <f t="shared" si="3"/>
        <v>7.5939259310866</v>
      </c>
      <c r="Y33">
        <v>2761.16574</v>
      </c>
      <c r="Z33">
        <v>2.76116574</v>
      </c>
      <c r="AA33">
        <v>1.65418968568529</v>
      </c>
      <c r="AD33">
        <v>0.0013672</v>
      </c>
      <c r="AE33">
        <v>1.24674956114687</v>
      </c>
      <c r="AF33">
        <f t="shared" si="4"/>
        <v>3.66351994812336</v>
      </c>
      <c r="AI33">
        <v>0.373193</v>
      </c>
      <c r="AJ33">
        <v>4.5674918875756</v>
      </c>
    </row>
    <row r="34" spans="1:36">
      <c r="A34">
        <f t="shared" si="5"/>
        <v>33</v>
      </c>
      <c r="B34" t="s">
        <v>61</v>
      </c>
      <c r="C34">
        <v>120030302</v>
      </c>
      <c r="E34">
        <v>49.416</v>
      </c>
      <c r="F34">
        <v>2.42897648534888</v>
      </c>
      <c r="G34">
        <f t="shared" si="0"/>
        <v>14.9269601150272</v>
      </c>
      <c r="J34">
        <v>8.799043</v>
      </c>
      <c r="K34">
        <v>13.6412905358003</v>
      </c>
      <c r="L34">
        <f t="shared" si="1"/>
        <v>2.65790359218491</v>
      </c>
      <c r="O34">
        <v>20.5943</v>
      </c>
      <c r="P34">
        <v>5.8283263815716</v>
      </c>
      <c r="Q34">
        <f t="shared" si="2"/>
        <v>6.22086560419511</v>
      </c>
      <c r="T34">
        <v>0.012439</v>
      </c>
      <c r="U34">
        <v>9.64951378728193</v>
      </c>
      <c r="V34">
        <f t="shared" si="3"/>
        <v>3.75741575341638</v>
      </c>
      <c r="Y34">
        <v>28733.516307</v>
      </c>
      <c r="Z34">
        <v>28.733516307</v>
      </c>
      <c r="AA34">
        <v>1.26184469487672</v>
      </c>
      <c r="AD34">
        <v>0.00113582</v>
      </c>
      <c r="AE34">
        <v>105.677221742882</v>
      </c>
      <c r="AF34">
        <f t="shared" si="4"/>
        <v>0.343094136268622</v>
      </c>
      <c r="AI34">
        <v>3.31052</v>
      </c>
      <c r="AJ34">
        <v>36.2572351171417</v>
      </c>
    </row>
    <row r="35" spans="1:36">
      <c r="A35">
        <f t="shared" si="5"/>
        <v>34</v>
      </c>
      <c r="B35" t="s">
        <v>62</v>
      </c>
      <c r="C35">
        <v>1807160</v>
      </c>
      <c r="E35">
        <v>5.178</v>
      </c>
      <c r="F35">
        <v>0.349007338740827</v>
      </c>
      <c r="G35">
        <f t="shared" si="0"/>
        <v>6.9382007040036</v>
      </c>
      <c r="J35">
        <v>0.545647</v>
      </c>
      <c r="K35">
        <v>3.31195809745128</v>
      </c>
      <c r="L35">
        <f t="shared" si="1"/>
        <v>0.731133333244006</v>
      </c>
      <c r="O35">
        <v>3.1825</v>
      </c>
      <c r="P35">
        <v>0.567842890809112</v>
      </c>
      <c r="Q35">
        <f t="shared" si="2"/>
        <v>4.26435375444023</v>
      </c>
      <c r="T35">
        <v>0.00194</v>
      </c>
      <c r="U35">
        <v>0.931525773195876</v>
      </c>
      <c r="V35">
        <f t="shared" si="3"/>
        <v>2.59948037191329</v>
      </c>
      <c r="Y35">
        <v>2031.134556</v>
      </c>
      <c r="Z35">
        <v>2.031134556</v>
      </c>
      <c r="AA35">
        <v>1.19218244611167</v>
      </c>
      <c r="AD35">
        <v>0.00300918</v>
      </c>
      <c r="AE35">
        <v>0.600548986767159</v>
      </c>
      <c r="AF35">
        <f t="shared" si="4"/>
        <v>4.03211564203816</v>
      </c>
      <c r="AI35">
        <v>0.746303</v>
      </c>
      <c r="AJ35">
        <v>2.42148296335403</v>
      </c>
    </row>
    <row r="36" spans="1:36">
      <c r="A36">
        <f t="shared" si="5"/>
        <v>35</v>
      </c>
      <c r="B36" t="s">
        <v>63</v>
      </c>
      <c r="C36">
        <v>62153632</v>
      </c>
      <c r="E36">
        <v>38.264</v>
      </c>
      <c r="F36">
        <v>1.62433702697052</v>
      </c>
      <c r="G36">
        <f t="shared" si="0"/>
        <v>15.2963609979573</v>
      </c>
      <c r="J36">
        <v>8.323811</v>
      </c>
      <c r="K36">
        <v>7.46696819521731</v>
      </c>
      <c r="L36">
        <f t="shared" si="1"/>
        <v>3.32751458119296</v>
      </c>
      <c r="O36">
        <v>13.1863</v>
      </c>
      <c r="P36">
        <v>4.71350052706218</v>
      </c>
      <c r="Q36">
        <f t="shared" si="2"/>
        <v>5.27133611298776</v>
      </c>
      <c r="T36">
        <v>0.0088</v>
      </c>
      <c r="U36">
        <v>7.06291272727273</v>
      </c>
      <c r="V36">
        <f t="shared" si="3"/>
        <v>3.51787520337716</v>
      </c>
      <c r="Y36">
        <v>15607.061045</v>
      </c>
      <c r="Z36">
        <v>15.607061045</v>
      </c>
      <c r="AA36">
        <v>1.59200027956895</v>
      </c>
      <c r="AD36">
        <v>0.00255272</v>
      </c>
      <c r="AE36">
        <v>24.3480021310602</v>
      </c>
      <c r="AF36">
        <f t="shared" si="4"/>
        <v>1.02047163513238</v>
      </c>
      <c r="AI36">
        <v>2.50151</v>
      </c>
      <c r="AJ36">
        <v>24.8464455468897</v>
      </c>
    </row>
    <row r="37" spans="1:36">
      <c r="A37">
        <f t="shared" si="5"/>
        <v>36</v>
      </c>
      <c r="B37" t="s">
        <v>64</v>
      </c>
      <c r="C37">
        <v>3646748</v>
      </c>
      <c r="E37">
        <v>6.678</v>
      </c>
      <c r="F37">
        <v>0.546083857442348</v>
      </c>
      <c r="G37">
        <f t="shared" si="0"/>
        <v>14.0566095323094</v>
      </c>
      <c r="J37">
        <v>0.580093</v>
      </c>
      <c r="K37">
        <v>6.28648854580214</v>
      </c>
      <c r="L37">
        <f t="shared" si="1"/>
        <v>1.22104534193261</v>
      </c>
      <c r="O37">
        <v>3.8713</v>
      </c>
      <c r="P37">
        <v>0.941995712034717</v>
      </c>
      <c r="Q37">
        <f t="shared" si="2"/>
        <v>8.14874999736886</v>
      </c>
      <c r="T37">
        <v>0.00302</v>
      </c>
      <c r="U37">
        <v>1.20753245033113</v>
      </c>
      <c r="V37">
        <f t="shared" si="3"/>
        <v>6.35683749439565</v>
      </c>
      <c r="Y37">
        <v>4119.472639</v>
      </c>
      <c r="Z37">
        <v>4.119472639</v>
      </c>
      <c r="AA37">
        <v>1.86336655893599</v>
      </c>
      <c r="AD37">
        <v>0.0056066</v>
      </c>
      <c r="AE37">
        <v>0.650438411871723</v>
      </c>
      <c r="AF37">
        <f t="shared" si="4"/>
        <v>11.8014056609532</v>
      </c>
      <c r="AI37">
        <v>0.475079</v>
      </c>
      <c r="AJ37">
        <v>7.67608755596438</v>
      </c>
    </row>
    <row r="38" spans="1:36">
      <c r="A38">
        <f t="shared" si="5"/>
        <v>37</v>
      </c>
      <c r="B38" t="s">
        <v>65</v>
      </c>
      <c r="C38">
        <v>4092266</v>
      </c>
      <c r="E38">
        <v>3.242</v>
      </c>
      <c r="F38">
        <v>1.26226588525601</v>
      </c>
      <c r="G38">
        <f t="shared" si="0"/>
        <v>11.078268892344</v>
      </c>
      <c r="J38">
        <v>0.295278</v>
      </c>
      <c r="K38">
        <v>13.8590277636668</v>
      </c>
      <c r="L38">
        <f t="shared" si="1"/>
        <v>1.00899724922688</v>
      </c>
      <c r="O38">
        <v>2.2852</v>
      </c>
      <c r="P38">
        <v>1.79076929809207</v>
      </c>
      <c r="Q38">
        <f t="shared" si="2"/>
        <v>7.80877855422097</v>
      </c>
      <c r="T38">
        <v>0.0026</v>
      </c>
      <c r="U38">
        <v>1.57394846153846</v>
      </c>
      <c r="V38">
        <f t="shared" si="3"/>
        <v>8.88448461446462</v>
      </c>
      <c r="Y38">
        <v>7467.244259</v>
      </c>
      <c r="Z38">
        <v>7.467244259</v>
      </c>
      <c r="AA38">
        <v>1.87267489926349</v>
      </c>
      <c r="AD38">
        <v>0.00476523</v>
      </c>
      <c r="AE38">
        <v>0.858776176595883</v>
      </c>
      <c r="AF38">
        <f t="shared" si="4"/>
        <v>16.2833125459174</v>
      </c>
      <c r="AI38">
        <v>0.292645</v>
      </c>
      <c r="AJ38">
        <v>13.9837208904987</v>
      </c>
    </row>
    <row r="39" spans="1:36">
      <c r="A39">
        <f t="shared" si="5"/>
        <v>38</v>
      </c>
      <c r="B39" t="s">
        <v>66</v>
      </c>
      <c r="C39">
        <v>1698240</v>
      </c>
      <c r="E39">
        <v>4.354</v>
      </c>
      <c r="F39">
        <v>0.390041341295361</v>
      </c>
      <c r="G39">
        <f t="shared" si="0"/>
        <v>4.86330472390635</v>
      </c>
      <c r="J39">
        <v>0.517989</v>
      </c>
      <c r="K39">
        <v>3.27852521964752</v>
      </c>
      <c r="L39">
        <f t="shared" si="1"/>
        <v>0.578580236709126</v>
      </c>
      <c r="O39">
        <v>3.7748</v>
      </c>
      <c r="P39">
        <v>0.449888735827064</v>
      </c>
      <c r="Q39">
        <f t="shared" si="2"/>
        <v>4.21635339269676</v>
      </c>
      <c r="T39">
        <v>0.002831</v>
      </c>
      <c r="U39">
        <v>0.59987283645355</v>
      </c>
      <c r="V39">
        <f t="shared" si="3"/>
        <v>3.16215334712423</v>
      </c>
      <c r="Y39">
        <v>2477.934439</v>
      </c>
      <c r="Z39">
        <v>2.477934439</v>
      </c>
      <c r="AA39">
        <v>0.765512544555461</v>
      </c>
      <c r="AD39">
        <v>0.00357669</v>
      </c>
      <c r="AE39">
        <v>0.474807713276801</v>
      </c>
      <c r="AF39">
        <f t="shared" si="4"/>
        <v>3.99506967683708</v>
      </c>
      <c r="AI39">
        <v>0.895276</v>
      </c>
      <c r="AJ39">
        <v>1.8968898976405</v>
      </c>
    </row>
    <row r="40" spans="1:36">
      <c r="A40">
        <f t="shared" si="5"/>
        <v>39</v>
      </c>
      <c r="B40" t="s">
        <v>67</v>
      </c>
      <c r="C40">
        <v>1083918</v>
      </c>
      <c r="E40">
        <v>1.997</v>
      </c>
      <c r="F40">
        <v>0.542773159739609</v>
      </c>
      <c r="G40">
        <f t="shared" si="0"/>
        <v>2.29963150621833</v>
      </c>
      <c r="J40">
        <v>0.351325</v>
      </c>
      <c r="K40">
        <v>3.08522877677364</v>
      </c>
      <c r="L40">
        <f t="shared" si="1"/>
        <v>0.404565868263473</v>
      </c>
      <c r="O40">
        <v>3.06</v>
      </c>
      <c r="P40">
        <v>0.354221568627451</v>
      </c>
      <c r="Q40">
        <f t="shared" si="2"/>
        <v>3.52372178719484</v>
      </c>
      <c r="T40">
        <v>0.003073</v>
      </c>
      <c r="U40">
        <v>0.352723071916694</v>
      </c>
      <c r="V40">
        <f t="shared" si="3"/>
        <v>3.53869184707507</v>
      </c>
      <c r="Y40">
        <v>980.169765</v>
      </c>
      <c r="Z40">
        <v>0.980169765</v>
      </c>
      <c r="AA40">
        <v>1.27343068867961</v>
      </c>
      <c r="AD40">
        <v>0.00123993</v>
      </c>
      <c r="AE40">
        <v>0.874176768043357</v>
      </c>
      <c r="AF40">
        <f t="shared" si="4"/>
        <v>1.42783279594657</v>
      </c>
      <c r="AI40">
        <v>0.8684</v>
      </c>
      <c r="AJ40">
        <v>1.24817825886688</v>
      </c>
    </row>
    <row r="41" spans="1:36">
      <c r="A41">
        <f t="shared" si="5"/>
        <v>40</v>
      </c>
      <c r="B41" t="s">
        <v>68</v>
      </c>
      <c r="C41">
        <v>1807022</v>
      </c>
      <c r="E41">
        <v>2.741</v>
      </c>
      <c r="F41">
        <v>0.659256475738782</v>
      </c>
      <c r="G41">
        <f t="shared" si="0"/>
        <v>8.53577645670296</v>
      </c>
      <c r="J41">
        <v>0.259972</v>
      </c>
      <c r="K41">
        <v>6.95083316664872</v>
      </c>
      <c r="L41">
        <f t="shared" si="1"/>
        <v>0.809581494710683</v>
      </c>
      <c r="O41">
        <v>2.669</v>
      </c>
      <c r="P41">
        <v>0.677040839265643</v>
      </c>
      <c r="Q41">
        <f t="shared" si="2"/>
        <v>8.31156051183517</v>
      </c>
      <c r="T41">
        <v>0.003013</v>
      </c>
      <c r="U41">
        <v>0.599741785595752</v>
      </c>
      <c r="V41">
        <f t="shared" si="3"/>
        <v>9.38281447064795</v>
      </c>
      <c r="Y41">
        <v>4264.622059</v>
      </c>
      <c r="Z41">
        <v>4.264622059</v>
      </c>
      <c r="AA41">
        <v>1.31952276818162</v>
      </c>
      <c r="AD41">
        <v>0.00130998</v>
      </c>
      <c r="AE41">
        <v>1.37942716682697</v>
      </c>
      <c r="AF41">
        <f t="shared" si="4"/>
        <v>4.07942227024874</v>
      </c>
      <c r="AI41">
        <v>0.321119</v>
      </c>
      <c r="AJ41">
        <v>5.62726590454006</v>
      </c>
    </row>
    <row r="42" spans="1:36">
      <c r="A42">
        <f t="shared" si="5"/>
        <v>41</v>
      </c>
      <c r="B42" t="s">
        <v>69</v>
      </c>
      <c r="C42">
        <v>1199210</v>
      </c>
      <c r="E42">
        <v>1.603</v>
      </c>
      <c r="F42">
        <v>0.748103555832814</v>
      </c>
      <c r="G42">
        <f t="shared" si="0"/>
        <v>4.54581546768302</v>
      </c>
      <c r="J42">
        <v>0.338125</v>
      </c>
      <c r="K42">
        <v>3.54664695009242</v>
      </c>
      <c r="L42">
        <f t="shared" si="1"/>
        <v>0.958860795390094</v>
      </c>
      <c r="O42">
        <v>2.0064</v>
      </c>
      <c r="P42">
        <v>0.597692384370016</v>
      </c>
      <c r="Q42">
        <f t="shared" si="2"/>
        <v>5.68978425100387</v>
      </c>
      <c r="T42">
        <v>0.002928</v>
      </c>
      <c r="U42">
        <v>0.409566256830601</v>
      </c>
      <c r="V42">
        <f t="shared" si="3"/>
        <v>8.30327366773293</v>
      </c>
      <c r="Y42">
        <v>1698.641043</v>
      </c>
      <c r="Z42">
        <v>1.698641043</v>
      </c>
      <c r="AA42">
        <v>2.00203611560413</v>
      </c>
      <c r="AD42">
        <v>0.00166889</v>
      </c>
      <c r="AE42">
        <v>0.718567431046983</v>
      </c>
      <c r="AF42">
        <f t="shared" si="4"/>
        <v>4.73266748338211</v>
      </c>
      <c r="AI42">
        <v>0.352632</v>
      </c>
      <c r="AJ42">
        <v>3.40074071553347</v>
      </c>
    </row>
    <row r="43" spans="1:36">
      <c r="A43">
        <f t="shared" si="5"/>
        <v>42</v>
      </c>
      <c r="B43" t="s">
        <v>70</v>
      </c>
      <c r="C43">
        <v>7641406</v>
      </c>
      <c r="E43">
        <v>7.694</v>
      </c>
      <c r="F43">
        <v>0.993164283857551</v>
      </c>
      <c r="G43">
        <f t="shared" si="0"/>
        <v>19.5182587298165</v>
      </c>
      <c r="J43">
        <v>0.638369</v>
      </c>
      <c r="K43">
        <v>11.9702021871363</v>
      </c>
      <c r="L43">
        <f t="shared" si="1"/>
        <v>1.619424396555</v>
      </c>
      <c r="O43">
        <v>2.9656</v>
      </c>
      <c r="P43">
        <v>2.57668127866199</v>
      </c>
      <c r="Q43">
        <f t="shared" si="2"/>
        <v>7.52318015195527</v>
      </c>
      <c r="T43">
        <v>0.002316</v>
      </c>
      <c r="U43">
        <v>3.29939810017271</v>
      </c>
      <c r="V43">
        <f t="shared" si="3"/>
        <v>5.87526478012153</v>
      </c>
      <c r="Y43">
        <v>11429.636599</v>
      </c>
      <c r="Z43">
        <v>11.429636599</v>
      </c>
      <c r="AA43">
        <v>1.69601520447646</v>
      </c>
      <c r="AD43">
        <v>0.0151491</v>
      </c>
      <c r="AE43">
        <v>0.504413199463995</v>
      </c>
      <c r="AF43">
        <f t="shared" si="4"/>
        <v>38.430472228212</v>
      </c>
      <c r="AI43">
        <v>0.394195</v>
      </c>
      <c r="AJ43">
        <v>19.3848374535446</v>
      </c>
    </row>
    <row r="44" spans="1:36">
      <c r="A44">
        <f t="shared" si="5"/>
        <v>43</v>
      </c>
      <c r="B44" t="s">
        <v>71</v>
      </c>
      <c r="C44">
        <v>54947426</v>
      </c>
      <c r="E44">
        <v>60.956</v>
      </c>
      <c r="F44">
        <v>0.901427685543671</v>
      </c>
      <c r="G44">
        <f t="shared" si="0"/>
        <v>14.3073416782655</v>
      </c>
      <c r="J44">
        <v>5.001259</v>
      </c>
      <c r="K44">
        <v>10.9867187442202</v>
      </c>
      <c r="L44">
        <f t="shared" si="1"/>
        <v>1.17387494806911</v>
      </c>
      <c r="O44">
        <v>24.024</v>
      </c>
      <c r="P44">
        <v>2.28718889443889</v>
      </c>
      <c r="Q44">
        <f t="shared" si="2"/>
        <v>5.63881449699212</v>
      </c>
      <c r="T44">
        <v>0.012294</v>
      </c>
      <c r="U44">
        <v>4.46945062632178</v>
      </c>
      <c r="V44">
        <f t="shared" si="3"/>
        <v>2.88559712895526</v>
      </c>
      <c r="Y44">
        <v>9875.8451</v>
      </c>
      <c r="Z44">
        <v>9.8758451</v>
      </c>
      <c r="AA44">
        <v>1.30591698884801</v>
      </c>
      <c r="AD44">
        <v>0.000993347</v>
      </c>
      <c r="AE44">
        <v>55.3154396197905</v>
      </c>
      <c r="AF44">
        <f t="shared" si="4"/>
        <v>0.233154323349302</v>
      </c>
      <c r="AI44">
        <v>4.26047</v>
      </c>
      <c r="AJ44">
        <v>12.8970338953214</v>
      </c>
    </row>
    <row r="45" spans="1:36">
      <c r="A45">
        <f t="shared" si="5"/>
        <v>44</v>
      </c>
      <c r="B45" t="s">
        <v>72</v>
      </c>
      <c r="C45">
        <v>10316460</v>
      </c>
      <c r="E45">
        <v>8.765</v>
      </c>
      <c r="F45">
        <v>1.17700627495722</v>
      </c>
      <c r="G45">
        <f t="shared" si="0"/>
        <v>19.1909792544747</v>
      </c>
      <c r="J45">
        <v>0.63577</v>
      </c>
      <c r="K45">
        <v>16.2267172090536</v>
      </c>
      <c r="L45">
        <f t="shared" si="1"/>
        <v>1.3920192676118</v>
      </c>
      <c r="O45">
        <v>3.5678</v>
      </c>
      <c r="P45">
        <v>2.89154661135714</v>
      </c>
      <c r="Q45">
        <f t="shared" si="2"/>
        <v>7.81170288466802</v>
      </c>
      <c r="T45">
        <v>0.004032</v>
      </c>
      <c r="U45">
        <v>2.55864583333333</v>
      </c>
      <c r="V45">
        <f t="shared" si="3"/>
        <v>8.82806940719253</v>
      </c>
      <c r="Y45">
        <v>11684.470533</v>
      </c>
      <c r="Z45">
        <v>11.684470533</v>
      </c>
      <c r="AA45">
        <v>1.93315588766273</v>
      </c>
      <c r="AD45">
        <v>0.0104497</v>
      </c>
      <c r="AE45">
        <v>0.987249394719466</v>
      </c>
      <c r="AF45">
        <f t="shared" si="4"/>
        <v>22.8796321637747</v>
      </c>
      <c r="AI45">
        <v>0.456725</v>
      </c>
      <c r="AJ45">
        <v>22.5879030050906</v>
      </c>
    </row>
    <row r="46" spans="1:36">
      <c r="A46">
        <f t="shared" si="5"/>
        <v>45</v>
      </c>
      <c r="B46" t="s">
        <v>73</v>
      </c>
      <c r="C46">
        <v>3645632</v>
      </c>
      <c r="E46">
        <v>6.898</v>
      </c>
      <c r="F46">
        <v>0.528505653812699</v>
      </c>
      <c r="G46">
        <f t="shared" si="0"/>
        <v>5.54091829193844</v>
      </c>
      <c r="J46">
        <v>0.647155</v>
      </c>
      <c r="K46">
        <v>5.63332122907186</v>
      </c>
      <c r="L46">
        <f t="shared" si="1"/>
        <v>0.519836616007454</v>
      </c>
      <c r="O46">
        <v>4.1071</v>
      </c>
      <c r="P46">
        <v>0.887641401475494</v>
      </c>
      <c r="Q46">
        <f t="shared" si="2"/>
        <v>3.29908749156572</v>
      </c>
      <c r="T46">
        <v>0.002099</v>
      </c>
      <c r="U46">
        <v>1.73684230585993</v>
      </c>
      <c r="V46">
        <f t="shared" si="3"/>
        <v>1.68605211579861</v>
      </c>
      <c r="Y46">
        <v>4459.79323</v>
      </c>
      <c r="Z46">
        <v>4.45979323</v>
      </c>
      <c r="AA46">
        <v>0.656623859802502</v>
      </c>
      <c r="AD46">
        <v>0.0032963</v>
      </c>
      <c r="AE46">
        <v>1.10597700452022</v>
      </c>
      <c r="AF46">
        <f t="shared" si="4"/>
        <v>2.64780066188992</v>
      </c>
      <c r="AI46">
        <v>1.24492</v>
      </c>
      <c r="AJ46">
        <v>2.92840664460367</v>
      </c>
    </row>
    <row r="47" spans="1:36">
      <c r="A47">
        <f t="shared" si="5"/>
        <v>46</v>
      </c>
      <c r="B47" t="s">
        <v>74</v>
      </c>
      <c r="C47">
        <v>10532754</v>
      </c>
      <c r="E47">
        <v>9.136</v>
      </c>
      <c r="F47">
        <v>1.15288463222417</v>
      </c>
      <c r="G47">
        <f t="shared" si="0"/>
        <v>22.1194050809745</v>
      </c>
      <c r="J47">
        <v>0.468534</v>
      </c>
      <c r="K47">
        <v>22.4802340918695</v>
      </c>
      <c r="L47">
        <f t="shared" si="1"/>
        <v>1.13437974389332</v>
      </c>
      <c r="O47">
        <v>4.2926</v>
      </c>
      <c r="P47">
        <v>2.45370032148348</v>
      </c>
      <c r="Q47">
        <f t="shared" si="2"/>
        <v>10.392924502035</v>
      </c>
      <c r="T47">
        <v>0.002974</v>
      </c>
      <c r="U47">
        <v>3.54161197041022</v>
      </c>
      <c r="V47">
        <f t="shared" si="3"/>
        <v>7.20042805503702</v>
      </c>
      <c r="Y47">
        <v>13866.693002</v>
      </c>
      <c r="Z47">
        <v>13.866693002</v>
      </c>
      <c r="AA47">
        <v>1.83901974235087</v>
      </c>
      <c r="AD47">
        <v>0.00670267</v>
      </c>
      <c r="AE47">
        <v>1.57142661058951</v>
      </c>
      <c r="AF47">
        <f t="shared" si="4"/>
        <v>16.2280070987408</v>
      </c>
      <c r="AI47">
        <v>0.413031</v>
      </c>
      <c r="AJ47">
        <v>25.5011221917967</v>
      </c>
    </row>
    <row r="48" spans="1:36">
      <c r="A48">
        <f t="shared" si="5"/>
        <v>47</v>
      </c>
      <c r="B48" t="s">
        <v>75</v>
      </c>
      <c r="C48">
        <v>10532754</v>
      </c>
      <c r="E48">
        <v>8.916</v>
      </c>
      <c r="F48">
        <v>1.18133176312248</v>
      </c>
      <c r="G48">
        <f t="shared" si="0"/>
        <v>11.4211344788627</v>
      </c>
      <c r="J48">
        <v>0.545598</v>
      </c>
      <c r="K48">
        <v>19.3049717924186</v>
      </c>
      <c r="L48">
        <f t="shared" si="1"/>
        <v>0.698895034701496</v>
      </c>
      <c r="O48">
        <v>3.4593</v>
      </c>
      <c r="P48">
        <v>3.04476454774087</v>
      </c>
      <c r="Q48">
        <f t="shared" si="2"/>
        <v>4.43126183296656</v>
      </c>
      <c r="T48">
        <v>0.003082</v>
      </c>
      <c r="U48">
        <v>3.41750616482803</v>
      </c>
      <c r="V48">
        <f t="shared" si="3"/>
        <v>3.94795159980428</v>
      </c>
      <c r="Y48">
        <v>14028.578602</v>
      </c>
      <c r="Z48">
        <v>14.028578602</v>
      </c>
      <c r="AA48">
        <v>0.961761651950275</v>
      </c>
      <c r="AD48">
        <v>0.00678761</v>
      </c>
      <c r="AE48">
        <v>1.55176181306822</v>
      </c>
      <c r="AF48">
        <f t="shared" si="4"/>
        <v>8.6947293180881</v>
      </c>
      <c r="AI48">
        <v>0.780658</v>
      </c>
      <c r="AJ48">
        <v>13.4921489307738</v>
      </c>
    </row>
    <row r="49" spans="1:36">
      <c r="A49">
        <f t="shared" si="5"/>
        <v>48</v>
      </c>
      <c r="B49" t="s">
        <v>76</v>
      </c>
      <c r="C49">
        <v>10532754</v>
      </c>
      <c r="E49">
        <v>8.828</v>
      </c>
      <c r="F49">
        <v>1.19310761214318</v>
      </c>
      <c r="G49">
        <f t="shared" si="0"/>
        <v>21.0218004738716</v>
      </c>
      <c r="J49">
        <v>0.492455</v>
      </c>
      <c r="K49">
        <v>21.3882567950371</v>
      </c>
      <c r="L49">
        <f t="shared" si="1"/>
        <v>1.17266546809701</v>
      </c>
      <c r="O49">
        <v>3.9072</v>
      </c>
      <c r="P49">
        <v>2.69572942260442</v>
      </c>
      <c r="Q49">
        <f t="shared" si="2"/>
        <v>9.30407553370085</v>
      </c>
      <c r="T49">
        <v>0.002909</v>
      </c>
      <c r="U49">
        <v>3.62074733585424</v>
      </c>
      <c r="V49">
        <f t="shared" si="3"/>
        <v>6.92709759611379</v>
      </c>
      <c r="Y49">
        <v>18056.778101</v>
      </c>
      <c r="Z49">
        <v>18.056778101</v>
      </c>
      <c r="AA49">
        <v>1.38902245051914</v>
      </c>
      <c r="AD49">
        <v>0.00685734</v>
      </c>
      <c r="AE49">
        <v>1.53598246550412</v>
      </c>
      <c r="AF49">
        <f t="shared" si="4"/>
        <v>16.3291383395444</v>
      </c>
      <c r="AI49">
        <v>0.419945</v>
      </c>
      <c r="AJ49">
        <v>25.0812701663313</v>
      </c>
    </row>
    <row r="50" spans="1:36">
      <c r="A50">
        <f t="shared" si="5"/>
        <v>49</v>
      </c>
      <c r="B50" t="s">
        <v>77</v>
      </c>
      <c r="C50">
        <v>10532754</v>
      </c>
      <c r="E50">
        <v>8.78</v>
      </c>
      <c r="F50">
        <v>1.19963029612756</v>
      </c>
      <c r="G50">
        <f t="shared" si="0"/>
        <v>19.9502380167918</v>
      </c>
      <c r="J50">
        <v>0.483502</v>
      </c>
      <c r="K50">
        <v>21.7843028570719</v>
      </c>
      <c r="L50">
        <f t="shared" si="1"/>
        <v>1.09863097740261</v>
      </c>
      <c r="O50">
        <v>3.2943</v>
      </c>
      <c r="P50">
        <v>3.19726618705036</v>
      </c>
      <c r="Q50">
        <f t="shared" si="2"/>
        <v>7.48542928231403</v>
      </c>
      <c r="T50">
        <v>0.00296</v>
      </c>
      <c r="U50">
        <v>3.55836283783784</v>
      </c>
      <c r="V50">
        <f t="shared" si="3"/>
        <v>6.72582056146967</v>
      </c>
      <c r="Y50">
        <v>13572.075482</v>
      </c>
      <c r="Z50">
        <v>13.572075482</v>
      </c>
      <c r="AA50">
        <v>1.76339351867298</v>
      </c>
      <c r="AD50">
        <v>0.00626838</v>
      </c>
      <c r="AE50">
        <v>1.68029921606539</v>
      </c>
      <c r="AF50">
        <f t="shared" si="4"/>
        <v>14.2432429361843</v>
      </c>
      <c r="AI50">
        <v>0.440095</v>
      </c>
      <c r="AJ50">
        <v>23.9329099398993</v>
      </c>
    </row>
    <row r="51" spans="1:36">
      <c r="A51">
        <f t="shared" si="5"/>
        <v>50</v>
      </c>
      <c r="B51" t="s">
        <v>78</v>
      </c>
      <c r="C51">
        <v>10532754</v>
      </c>
      <c r="E51">
        <v>8.954</v>
      </c>
      <c r="F51">
        <v>1.17631829350011</v>
      </c>
      <c r="G51">
        <f t="shared" si="0"/>
        <v>20.9863637855144</v>
      </c>
      <c r="J51">
        <v>0.544662</v>
      </c>
      <c r="K51">
        <v>19.3381473280677</v>
      </c>
      <c r="L51">
        <f t="shared" si="1"/>
        <v>1.27657749298032</v>
      </c>
      <c r="O51">
        <v>3.6352</v>
      </c>
      <c r="P51">
        <v>2.8974345290493</v>
      </c>
      <c r="Q51">
        <f t="shared" si="2"/>
        <v>8.52017306601538</v>
      </c>
      <c r="T51">
        <v>0.002915</v>
      </c>
      <c r="U51">
        <v>3.61329468267581</v>
      </c>
      <c r="V51">
        <f t="shared" si="3"/>
        <v>6.8321700284537</v>
      </c>
      <c r="Y51">
        <v>17576.751592</v>
      </c>
      <c r="Z51">
        <v>17.576751592</v>
      </c>
      <c r="AA51">
        <v>1.40450546312464</v>
      </c>
      <c r="AD51">
        <v>0.0066562</v>
      </c>
      <c r="AE51">
        <v>1.58239746401851</v>
      </c>
      <c r="AF51">
        <f t="shared" si="4"/>
        <v>15.6007856409583</v>
      </c>
      <c r="AI51">
        <v>0.426658</v>
      </c>
      <c r="AJ51">
        <v>24.6866436349488</v>
      </c>
    </row>
    <row r="52" spans="1:36">
      <c r="A52">
        <f t="shared" si="5"/>
        <v>51</v>
      </c>
      <c r="B52" t="s">
        <v>79</v>
      </c>
      <c r="C52">
        <v>1125312</v>
      </c>
      <c r="E52">
        <v>26.369</v>
      </c>
      <c r="F52">
        <v>0.0426755660055368</v>
      </c>
      <c r="G52">
        <f t="shared" si="0"/>
        <v>34.920462551449</v>
      </c>
      <c r="J52">
        <v>1.049835</v>
      </c>
      <c r="K52">
        <v>1.07189415479575</v>
      </c>
      <c r="L52">
        <f t="shared" si="1"/>
        <v>1.3902963253328</v>
      </c>
      <c r="O52">
        <v>5.4489</v>
      </c>
      <c r="P52">
        <v>0.206520949182404</v>
      </c>
      <c r="Q52">
        <f t="shared" si="2"/>
        <v>7.21597741274188</v>
      </c>
      <c r="T52">
        <v>0.004549</v>
      </c>
      <c r="U52">
        <v>0.247375686964168</v>
      </c>
      <c r="V52">
        <f t="shared" si="3"/>
        <v>6.02423998432029</v>
      </c>
      <c r="Y52">
        <v>761.173009</v>
      </c>
      <c r="Z52">
        <v>0.761173009</v>
      </c>
      <c r="AA52">
        <v>1.95783414143399</v>
      </c>
      <c r="AD52">
        <v>0.00303554</v>
      </c>
      <c r="AE52">
        <v>0.370712295011761</v>
      </c>
      <c r="AF52">
        <f t="shared" si="4"/>
        <v>4.01996514442814</v>
      </c>
      <c r="AI52">
        <v>0.755116</v>
      </c>
      <c r="AJ52">
        <v>1.49025050455824</v>
      </c>
    </row>
    <row r="53" spans="1:36">
      <c r="A53">
        <f t="shared" si="5"/>
        <v>52</v>
      </c>
      <c r="B53" t="s">
        <v>80</v>
      </c>
      <c r="C53">
        <v>1883016</v>
      </c>
      <c r="E53">
        <v>2.636</v>
      </c>
      <c r="F53">
        <v>0.71434597875569</v>
      </c>
      <c r="G53">
        <f t="shared" si="0"/>
        <v>6.07162024272661</v>
      </c>
      <c r="J53">
        <v>0.257821</v>
      </c>
      <c r="K53">
        <v>7.3035788395825</v>
      </c>
      <c r="L53">
        <f t="shared" si="1"/>
        <v>0.593850987329293</v>
      </c>
      <c r="O53">
        <v>2.5648</v>
      </c>
      <c r="P53">
        <v>0.734176543980037</v>
      </c>
      <c r="Q53">
        <f t="shared" si="2"/>
        <v>5.90762200248301</v>
      </c>
      <c r="T53">
        <v>0.002555</v>
      </c>
      <c r="U53">
        <v>0.736992563600783</v>
      </c>
      <c r="V53">
        <f t="shared" si="3"/>
        <v>5.8850492109888</v>
      </c>
      <c r="Y53">
        <v>4280.42987</v>
      </c>
      <c r="Z53">
        <v>4.28042987</v>
      </c>
      <c r="AA53">
        <v>1.01327147895158</v>
      </c>
      <c r="AD53">
        <v>0.00142431</v>
      </c>
      <c r="AE53">
        <v>1.32205488973608</v>
      </c>
      <c r="AF53">
        <f t="shared" si="4"/>
        <v>3.280678842154</v>
      </c>
      <c r="AI53">
        <v>0.434151</v>
      </c>
      <c r="AJ53">
        <v>4.3372375049234</v>
      </c>
    </row>
    <row r="54" spans="1:36">
      <c r="A54">
        <f t="shared" si="5"/>
        <v>53</v>
      </c>
      <c r="B54" t="s">
        <v>81</v>
      </c>
      <c r="C54">
        <v>47745340</v>
      </c>
      <c r="E54">
        <v>12.011</v>
      </c>
      <c r="F54">
        <v>3.97513446007826</v>
      </c>
      <c r="G54">
        <f t="shared" si="0"/>
        <v>10.491422382167</v>
      </c>
      <c r="J54">
        <v>2.879462</v>
      </c>
      <c r="K54">
        <v>16.5813405420874</v>
      </c>
      <c r="L54">
        <f t="shared" si="1"/>
        <v>2.51516543796513</v>
      </c>
      <c r="O54">
        <v>5.9091</v>
      </c>
      <c r="P54">
        <v>8.07996818466433</v>
      </c>
      <c r="Q54">
        <f t="shared" si="2"/>
        <v>5.16150728486077</v>
      </c>
      <c r="T54">
        <v>0.002344</v>
      </c>
      <c r="U54">
        <v>20.3691723549488</v>
      </c>
      <c r="V54">
        <f t="shared" si="3"/>
        <v>2.04744767827819</v>
      </c>
      <c r="Y54">
        <v>21428.836508</v>
      </c>
      <c r="Z54">
        <v>21.428836508</v>
      </c>
      <c r="AA54">
        <v>1.94620060827934</v>
      </c>
      <c r="AD54">
        <v>0.0027196</v>
      </c>
      <c r="AE54">
        <v>17.556015590528</v>
      </c>
      <c r="AF54">
        <f t="shared" si="4"/>
        <v>2.37552845812516</v>
      </c>
      <c r="AI54">
        <v>1.14484</v>
      </c>
      <c r="AJ54">
        <v>41.7048146465882</v>
      </c>
    </row>
    <row r="55" spans="1:36">
      <c r="A55">
        <f t="shared" si="5"/>
        <v>54</v>
      </c>
      <c r="B55" t="s">
        <v>82</v>
      </c>
      <c r="C55">
        <v>2245280</v>
      </c>
      <c r="E55">
        <v>4.755</v>
      </c>
      <c r="F55">
        <v>0.472193480546793</v>
      </c>
      <c r="G55">
        <f t="shared" si="0"/>
        <v>16.4449224788775</v>
      </c>
      <c r="J55">
        <v>0.327677</v>
      </c>
      <c r="K55">
        <v>6.85211351422285</v>
      </c>
      <c r="L55">
        <f t="shared" si="1"/>
        <v>1.13325401958173</v>
      </c>
      <c r="O55">
        <v>2.7849</v>
      </c>
      <c r="P55">
        <v>0.806233617005997</v>
      </c>
      <c r="Q55">
        <f t="shared" si="2"/>
        <v>9.63143314646183</v>
      </c>
      <c r="T55">
        <v>0.001741</v>
      </c>
      <c r="U55">
        <v>1.28964962665135</v>
      </c>
      <c r="V55">
        <f t="shared" si="3"/>
        <v>6.02115878774464</v>
      </c>
      <c r="Y55">
        <v>4655.090799</v>
      </c>
      <c r="Z55">
        <v>4.655090799</v>
      </c>
      <c r="AA55">
        <v>1.66810606235468</v>
      </c>
      <c r="AD55">
        <v>0.00361016</v>
      </c>
      <c r="AE55">
        <v>0.621933653910076</v>
      </c>
      <c r="AF55">
        <f t="shared" si="4"/>
        <v>12.485552331513</v>
      </c>
      <c r="AI55">
        <v>0.289147</v>
      </c>
      <c r="AJ55">
        <v>7.76518518262337</v>
      </c>
    </row>
    <row r="56" spans="1:36">
      <c r="A56">
        <f t="shared" si="5"/>
        <v>55</v>
      </c>
      <c r="B56" t="s">
        <v>83</v>
      </c>
      <c r="C56">
        <v>10532754</v>
      </c>
      <c r="E56">
        <v>9.88</v>
      </c>
      <c r="F56">
        <v>1.06606821862348</v>
      </c>
      <c r="G56">
        <f t="shared" si="0"/>
        <v>26.0544400668766</v>
      </c>
      <c r="J56">
        <v>0.488502</v>
      </c>
      <c r="K56">
        <v>21.5613323998674</v>
      </c>
      <c r="L56">
        <f t="shared" si="1"/>
        <v>1.28822328760621</v>
      </c>
      <c r="O56">
        <v>3.7137</v>
      </c>
      <c r="P56">
        <v>2.83618870668067</v>
      </c>
      <c r="Q56">
        <f t="shared" si="2"/>
        <v>9.79335770003639</v>
      </c>
      <c r="T56">
        <v>0.002849</v>
      </c>
      <c r="U56">
        <v>3.69700035100035</v>
      </c>
      <c r="V56">
        <f t="shared" si="3"/>
        <v>7.51306677636958</v>
      </c>
      <c r="Y56">
        <v>13890.18892</v>
      </c>
      <c r="Z56">
        <v>13.89018892</v>
      </c>
      <c r="AA56">
        <v>1.99967118296958</v>
      </c>
      <c r="AD56">
        <v>0.00784508</v>
      </c>
      <c r="AE56">
        <v>1.34259357457158</v>
      </c>
      <c r="AF56">
        <f t="shared" si="4"/>
        <v>20.6881747651672</v>
      </c>
      <c r="AI56">
        <v>0.379206</v>
      </c>
      <c r="AJ56">
        <v>27.7758105093274</v>
      </c>
    </row>
    <row r="57" spans="1:36">
      <c r="A57">
        <f t="shared" si="5"/>
        <v>56</v>
      </c>
      <c r="B57" t="s">
        <v>84</v>
      </c>
      <c r="C57">
        <v>10532754</v>
      </c>
      <c r="E57">
        <v>9.68</v>
      </c>
      <c r="F57">
        <v>1.0880944214876</v>
      </c>
      <c r="G57">
        <f t="shared" si="0"/>
        <v>24.5351501510636</v>
      </c>
      <c r="J57">
        <v>0.530777</v>
      </c>
      <c r="K57">
        <v>19.8440286598703</v>
      </c>
      <c r="L57">
        <f t="shared" si="1"/>
        <v>1.34531956526148</v>
      </c>
      <c r="O57">
        <v>3.9213</v>
      </c>
      <c r="P57">
        <v>2.68603626348405</v>
      </c>
      <c r="Q57">
        <f t="shared" si="2"/>
        <v>9.93901697183528</v>
      </c>
      <c r="T57">
        <v>0.002905</v>
      </c>
      <c r="U57">
        <v>3.62573287435456</v>
      </c>
      <c r="V57">
        <f t="shared" si="3"/>
        <v>7.36307966826856</v>
      </c>
      <c r="Y57">
        <v>13840.464175</v>
      </c>
      <c r="Z57">
        <v>13.840464175</v>
      </c>
      <c r="AA57">
        <v>1.92887750527579</v>
      </c>
      <c r="AD57">
        <v>0.00687296</v>
      </c>
      <c r="AE57">
        <v>1.5324916775305</v>
      </c>
      <c r="AF57">
        <f t="shared" si="4"/>
        <v>17.420362146927</v>
      </c>
      <c r="AI57">
        <v>0.394536</v>
      </c>
      <c r="AJ57">
        <v>26.696560009733</v>
      </c>
    </row>
    <row r="58" spans="1:36">
      <c r="A58">
        <f t="shared" si="5"/>
        <v>57</v>
      </c>
      <c r="B58" t="s">
        <v>85</v>
      </c>
      <c r="C58">
        <v>10532754</v>
      </c>
      <c r="E58">
        <v>9.627</v>
      </c>
      <c r="F58">
        <v>1.09408476160798</v>
      </c>
      <c r="G58">
        <f t="shared" si="0"/>
        <v>23.4158942040371</v>
      </c>
      <c r="J58">
        <v>0.488879</v>
      </c>
      <c r="K58">
        <v>21.5447053360852</v>
      </c>
      <c r="L58">
        <f t="shared" si="1"/>
        <v>1.18910760803734</v>
      </c>
      <c r="O58">
        <v>3.7326</v>
      </c>
      <c r="P58">
        <v>2.82182768043723</v>
      </c>
      <c r="Q58">
        <f t="shared" si="2"/>
        <v>9.078858076866</v>
      </c>
      <c r="T58">
        <v>0.002949</v>
      </c>
      <c r="U58">
        <v>3.57163580874873</v>
      </c>
      <c r="V58">
        <f t="shared" si="3"/>
        <v>7.17289623015534</v>
      </c>
      <c r="Y58">
        <v>18660.021706</v>
      </c>
      <c r="Z58">
        <v>18.660021706</v>
      </c>
      <c r="AA58">
        <v>1.37293372064106</v>
      </c>
      <c r="AD58">
        <v>0.00670313</v>
      </c>
      <c r="AE58">
        <v>1.57131877197667</v>
      </c>
      <c r="AF58">
        <f t="shared" si="4"/>
        <v>16.3041220438255</v>
      </c>
      <c r="AI58">
        <v>0.411131</v>
      </c>
      <c r="AJ58">
        <v>25.6189730280616</v>
      </c>
    </row>
    <row r="59" spans="1:36">
      <c r="A59">
        <f t="shared" si="5"/>
        <v>58</v>
      </c>
      <c r="B59" t="s">
        <v>86</v>
      </c>
      <c r="C59">
        <v>10532754</v>
      </c>
      <c r="E59">
        <v>9.4</v>
      </c>
      <c r="F59">
        <v>1.12050574468085</v>
      </c>
      <c r="G59">
        <f t="shared" si="0"/>
        <v>24.8554286635976</v>
      </c>
      <c r="J59">
        <v>0.516984</v>
      </c>
      <c r="K59">
        <v>20.373462234808</v>
      </c>
      <c r="L59">
        <f t="shared" si="1"/>
        <v>1.36700626938525</v>
      </c>
      <c r="O59">
        <v>3.7245</v>
      </c>
      <c r="P59">
        <v>2.82796455900121</v>
      </c>
      <c r="Q59">
        <f t="shared" si="2"/>
        <v>9.84830255931587</v>
      </c>
      <c r="T59">
        <v>0.003062</v>
      </c>
      <c r="U59">
        <v>3.43982821685173</v>
      </c>
      <c r="V59">
        <f t="shared" si="3"/>
        <v>8.09652367743999</v>
      </c>
      <c r="Y59">
        <v>18197.739722</v>
      </c>
      <c r="Z59">
        <v>18.197739722</v>
      </c>
      <c r="AA59">
        <v>1.53044559541625</v>
      </c>
      <c r="AD59">
        <v>0.00661256</v>
      </c>
      <c r="AE59">
        <v>1.59284059426304</v>
      </c>
      <c r="AF59">
        <f t="shared" si="4"/>
        <v>17.4848950386977</v>
      </c>
      <c r="AI59">
        <v>0.378187</v>
      </c>
      <c r="AJ59">
        <v>27.8506506040662</v>
      </c>
    </row>
    <row r="60" spans="1:36">
      <c r="A60">
        <f t="shared" si="5"/>
        <v>59</v>
      </c>
      <c r="B60" t="s">
        <v>87</v>
      </c>
      <c r="C60">
        <v>10532754</v>
      </c>
      <c r="E60">
        <v>9.518</v>
      </c>
      <c r="F60">
        <v>1.10661420466485</v>
      </c>
      <c r="G60">
        <f t="shared" si="0"/>
        <v>22.2776680304462</v>
      </c>
      <c r="J60">
        <v>0.618876</v>
      </c>
      <c r="K60">
        <v>17.0191670059915</v>
      </c>
      <c r="L60">
        <f t="shared" si="1"/>
        <v>1.44853058205616</v>
      </c>
      <c r="O60">
        <v>3.2949</v>
      </c>
      <c r="P60">
        <v>3.19668396612947</v>
      </c>
      <c r="Q60">
        <f t="shared" si="2"/>
        <v>7.71198659314117</v>
      </c>
      <c r="T60">
        <v>0.002972</v>
      </c>
      <c r="U60">
        <v>3.54399528936743</v>
      </c>
      <c r="V60">
        <f t="shared" si="3"/>
        <v>6.9562123751299</v>
      </c>
      <c r="Y60">
        <v>18500.244542</v>
      </c>
      <c r="Z60">
        <v>18.500244542</v>
      </c>
      <c r="AA60">
        <v>1.33256529843873</v>
      </c>
      <c r="AD60">
        <v>0.00705414</v>
      </c>
      <c r="AE60">
        <v>1.49313084231388</v>
      </c>
      <c r="AF60">
        <f t="shared" si="4"/>
        <v>16.5107994494949</v>
      </c>
      <c r="AI60">
        <v>0.427244</v>
      </c>
      <c r="AJ60">
        <v>24.6527838892998</v>
      </c>
    </row>
    <row r="61" spans="1:36">
      <c r="A61">
        <f t="shared" si="5"/>
        <v>60</v>
      </c>
      <c r="B61" t="s">
        <v>88</v>
      </c>
      <c r="C61">
        <v>10532754</v>
      </c>
      <c r="E61">
        <v>9.648</v>
      </c>
      <c r="F61">
        <v>1.09170335820896</v>
      </c>
      <c r="G61">
        <f t="shared" si="0"/>
        <v>15.5504050390533</v>
      </c>
      <c r="J61">
        <v>0.618904</v>
      </c>
      <c r="K61">
        <v>17.0183970373434</v>
      </c>
      <c r="L61">
        <f t="shared" si="1"/>
        <v>0.997533984275528</v>
      </c>
      <c r="O61">
        <v>3.2182</v>
      </c>
      <c r="P61">
        <v>3.27287117021938</v>
      </c>
      <c r="Q61">
        <f t="shared" si="2"/>
        <v>5.18701425131441</v>
      </c>
      <c r="T61">
        <v>0.002897</v>
      </c>
      <c r="U61">
        <v>3.63574525371074</v>
      </c>
      <c r="V61">
        <f t="shared" si="3"/>
        <v>4.66931212667263</v>
      </c>
      <c r="Y61">
        <v>18548.9629</v>
      </c>
      <c r="Z61">
        <v>18.5489629</v>
      </c>
      <c r="AA61">
        <v>0.915222564957742</v>
      </c>
      <c r="AD61">
        <v>0.00614484</v>
      </c>
      <c r="AE61">
        <v>1.71408108266448</v>
      </c>
      <c r="AF61">
        <f t="shared" si="4"/>
        <v>9.90409938849259</v>
      </c>
      <c r="AI61">
        <v>0.620434</v>
      </c>
      <c r="AJ61">
        <v>16.976429402644</v>
      </c>
    </row>
    <row r="62" spans="1:36">
      <c r="A62">
        <f t="shared" si="5"/>
        <v>61</v>
      </c>
      <c r="B62" t="s">
        <v>89</v>
      </c>
      <c r="C62">
        <v>2075630</v>
      </c>
      <c r="E62">
        <v>5.092</v>
      </c>
      <c r="F62">
        <v>0.40762568735271</v>
      </c>
      <c r="G62">
        <f t="shared" si="0"/>
        <v>14.7574526295045</v>
      </c>
      <c r="J62">
        <v>0.310098</v>
      </c>
      <c r="K62">
        <v>6.69346464666009</v>
      </c>
      <c r="L62">
        <f t="shared" si="1"/>
        <v>0.898714953948169</v>
      </c>
      <c r="O62">
        <v>3.0069</v>
      </c>
      <c r="P62">
        <v>0.690289001962154</v>
      </c>
      <c r="Q62">
        <f t="shared" si="2"/>
        <v>8.71449024188079</v>
      </c>
      <c r="T62">
        <v>0.003013</v>
      </c>
      <c r="U62">
        <v>0.688891470295387</v>
      </c>
      <c r="V62">
        <f t="shared" si="3"/>
        <v>8.73216904412745</v>
      </c>
      <c r="Y62">
        <v>3384.235115</v>
      </c>
      <c r="Z62">
        <v>3.384235115</v>
      </c>
      <c r="AA62">
        <v>1.77751148110666</v>
      </c>
      <c r="AD62">
        <v>0.00159627</v>
      </c>
      <c r="AE62">
        <v>1.30030007454879</v>
      </c>
      <c r="AF62">
        <f t="shared" si="4"/>
        <v>4.62625273151986</v>
      </c>
      <c r="AI62">
        <v>0.345046</v>
      </c>
      <c r="AJ62">
        <v>6.01551677167682</v>
      </c>
    </row>
    <row r="63" spans="1:36">
      <c r="A63">
        <f t="shared" si="5"/>
        <v>62</v>
      </c>
      <c r="B63" t="s">
        <v>90</v>
      </c>
      <c r="C63">
        <v>802816</v>
      </c>
      <c r="E63">
        <v>1.624</v>
      </c>
      <c r="F63">
        <v>0.494344827586207</v>
      </c>
      <c r="G63">
        <f t="shared" si="0"/>
        <v>1.59381317840108</v>
      </c>
      <c r="J63">
        <v>0.489194</v>
      </c>
      <c r="K63">
        <v>1.64109944112152</v>
      </c>
      <c r="L63">
        <f t="shared" si="1"/>
        <v>0.480100889159322</v>
      </c>
      <c r="O63">
        <v>1.9588</v>
      </c>
      <c r="P63">
        <v>0.40985092914029</v>
      </c>
      <c r="Q63">
        <f t="shared" si="2"/>
        <v>1.92238993463796</v>
      </c>
      <c r="T63">
        <v>0.00202</v>
      </c>
      <c r="U63">
        <v>0.397433663366337</v>
      </c>
      <c r="V63">
        <f t="shared" si="3"/>
        <v>1.9824523524447</v>
      </c>
      <c r="Y63">
        <v>1764.357566</v>
      </c>
      <c r="Z63">
        <v>1.764357566</v>
      </c>
      <c r="AA63">
        <v>0.446561012384554</v>
      </c>
      <c r="AD63">
        <v>0.0019726</v>
      </c>
      <c r="AE63">
        <v>0.406983676366217</v>
      </c>
      <c r="AF63">
        <f t="shared" si="4"/>
        <v>1.93593342100614</v>
      </c>
      <c r="AI63">
        <v>1.01894</v>
      </c>
      <c r="AJ63">
        <v>0.787893300881308</v>
      </c>
    </row>
    <row r="64" spans="1:36">
      <c r="A64">
        <f t="shared" si="5"/>
        <v>63</v>
      </c>
      <c r="B64" t="s">
        <v>91</v>
      </c>
      <c r="C64">
        <v>3272244</v>
      </c>
      <c r="E64">
        <v>3.949</v>
      </c>
      <c r="F64">
        <v>0.828625981261079</v>
      </c>
      <c r="G64">
        <f t="shared" si="0"/>
        <v>8.21616268376615</v>
      </c>
      <c r="J64">
        <v>0.404189</v>
      </c>
      <c r="K64">
        <v>8.09582645742462</v>
      </c>
      <c r="L64">
        <f t="shared" si="1"/>
        <v>0.840942663709486</v>
      </c>
      <c r="O64">
        <v>3.796</v>
      </c>
      <c r="P64">
        <v>0.862024236037935</v>
      </c>
      <c r="Q64">
        <f t="shared" si="2"/>
        <v>7.89783579325812</v>
      </c>
      <c r="T64">
        <v>0.001946</v>
      </c>
      <c r="U64">
        <v>1.68152312435766</v>
      </c>
      <c r="V64">
        <f t="shared" si="3"/>
        <v>4.04878515639628</v>
      </c>
      <c r="Y64">
        <v>3833.364363</v>
      </c>
      <c r="Z64">
        <v>3.833364363</v>
      </c>
      <c r="AA64">
        <v>1.7760184582893</v>
      </c>
      <c r="AD64">
        <v>0.0014565</v>
      </c>
      <c r="AE64">
        <v>2.24664881565396</v>
      </c>
      <c r="AF64">
        <f t="shared" si="4"/>
        <v>3.03034716356177</v>
      </c>
      <c r="AI64">
        <v>0.480638</v>
      </c>
      <c r="AJ64">
        <v>6.80812586603639</v>
      </c>
    </row>
    <row r="65" spans="1:36">
      <c r="A65">
        <f t="shared" si="5"/>
        <v>64</v>
      </c>
      <c r="B65" t="s">
        <v>92</v>
      </c>
      <c r="C65">
        <v>3272244</v>
      </c>
      <c r="E65">
        <v>3.876</v>
      </c>
      <c r="F65">
        <v>0.844232198142415</v>
      </c>
      <c r="G65">
        <f t="shared" si="0"/>
        <v>7.97803364935348</v>
      </c>
      <c r="J65">
        <v>0.3465</v>
      </c>
      <c r="K65">
        <v>9.44370562770563</v>
      </c>
      <c r="L65">
        <f t="shared" si="1"/>
        <v>0.713206568498705</v>
      </c>
      <c r="O65">
        <v>3.6033</v>
      </c>
      <c r="P65">
        <v>0.90812421946549</v>
      </c>
      <c r="Q65">
        <f t="shared" si="2"/>
        <v>7.41673081752203</v>
      </c>
      <c r="T65">
        <v>0.002365</v>
      </c>
      <c r="U65">
        <v>1.38361268498943</v>
      </c>
      <c r="V65">
        <f t="shared" si="3"/>
        <v>4.86791784848322</v>
      </c>
      <c r="Y65">
        <v>3864.510841</v>
      </c>
      <c r="Z65">
        <v>3.864510841</v>
      </c>
      <c r="AA65">
        <v>1.74286298105066</v>
      </c>
      <c r="AD65">
        <v>0.00143691</v>
      </c>
      <c r="AE65">
        <v>2.27727832640875</v>
      </c>
      <c r="AF65">
        <f t="shared" si="4"/>
        <v>2.95761515250065</v>
      </c>
      <c r="AI65">
        <v>0.485834</v>
      </c>
      <c r="AJ65">
        <v>6.73531288464784</v>
      </c>
    </row>
    <row r="66" spans="1:36">
      <c r="A66">
        <f t="shared" si="5"/>
        <v>65</v>
      </c>
      <c r="B66" t="s">
        <v>93</v>
      </c>
      <c r="C66">
        <v>4190266</v>
      </c>
      <c r="E66">
        <v>4.022</v>
      </c>
      <c r="F66">
        <v>1.04183639980109</v>
      </c>
      <c r="G66">
        <f t="shared" si="0"/>
        <v>12.47151118622</v>
      </c>
      <c r="J66">
        <v>0.510076</v>
      </c>
      <c r="K66">
        <v>8.21498364949537</v>
      </c>
      <c r="L66">
        <f t="shared" si="1"/>
        <v>1.5816555295431</v>
      </c>
      <c r="O66">
        <v>3.0687</v>
      </c>
      <c r="P66">
        <v>1.36548571056148</v>
      </c>
      <c r="Q66">
        <f t="shared" si="2"/>
        <v>9.51549636428472</v>
      </c>
      <c r="T66">
        <v>0.002895</v>
      </c>
      <c r="U66">
        <v>1.44741485319516</v>
      </c>
      <c r="V66">
        <f t="shared" si="3"/>
        <v>8.97688336253281</v>
      </c>
      <c r="Y66">
        <v>6813.845361</v>
      </c>
      <c r="Z66">
        <v>6.813845361</v>
      </c>
      <c r="AA66">
        <v>1.90689304290633</v>
      </c>
      <c r="AD66">
        <v>0.00177108</v>
      </c>
      <c r="AE66">
        <v>2.36593829753597</v>
      </c>
      <c r="AF66">
        <f t="shared" si="4"/>
        <v>5.4918060745128</v>
      </c>
      <c r="AI66">
        <v>0.322495</v>
      </c>
      <c r="AJ66">
        <v>12.9932743143305</v>
      </c>
    </row>
    <row r="67" spans="1:36">
      <c r="A67">
        <f t="shared" si="5"/>
        <v>66</v>
      </c>
      <c r="B67" t="s">
        <v>94</v>
      </c>
      <c r="C67">
        <v>1121648</v>
      </c>
      <c r="E67">
        <v>2.046</v>
      </c>
      <c r="F67">
        <v>0.548215053763441</v>
      </c>
      <c r="G67">
        <f t="shared" ref="G67:G130" si="6">AJ67/F67</f>
        <v>4.67317469816225</v>
      </c>
      <c r="J67">
        <v>0.374827</v>
      </c>
      <c r="K67">
        <v>2.99244184650519</v>
      </c>
      <c r="L67">
        <f t="shared" ref="L67:L130" si="7">AJ67/K67</f>
        <v>0.856125147892503</v>
      </c>
      <c r="O67">
        <v>1.9122</v>
      </c>
      <c r="P67">
        <v>0.586574626085138</v>
      </c>
      <c r="Q67">
        <f t="shared" ref="Q67:Q130" si="8">AJ67/P67</f>
        <v>4.36756825895692</v>
      </c>
      <c r="T67">
        <v>0.003211</v>
      </c>
      <c r="U67">
        <v>0.349314232326378</v>
      </c>
      <c r="V67">
        <f t="shared" ref="V67:V130" si="9">AJ67/U67</f>
        <v>7.33409773010703</v>
      </c>
      <c r="Y67">
        <v>2337.227747</v>
      </c>
      <c r="Z67">
        <v>2.337227747</v>
      </c>
      <c r="AA67">
        <v>1.09612968684261</v>
      </c>
      <c r="AD67">
        <v>0.0018223</v>
      </c>
      <c r="AE67">
        <v>0.615512264720408</v>
      </c>
      <c r="AF67">
        <f t="shared" ref="AF67:AF130" si="10">AJ67/AE67</f>
        <v>4.16223179494676</v>
      </c>
      <c r="AI67">
        <v>0.437818</v>
      </c>
      <c r="AJ67">
        <v>2.56190471839897</v>
      </c>
    </row>
    <row r="68" spans="1:36">
      <c r="A68">
        <f t="shared" ref="A68:A131" si="11">A67+1</f>
        <v>67</v>
      </c>
      <c r="B68" t="s">
        <v>95</v>
      </c>
      <c r="C68">
        <v>7073754</v>
      </c>
      <c r="E68">
        <v>3.512</v>
      </c>
      <c r="F68">
        <v>2.01416685649203</v>
      </c>
      <c r="G68">
        <f t="shared" si="6"/>
        <v>6.60453290606971</v>
      </c>
      <c r="J68">
        <v>0.423668</v>
      </c>
      <c r="K68">
        <v>16.6964557153243</v>
      </c>
      <c r="L68">
        <f t="shared" si="7"/>
        <v>0.796733840332785</v>
      </c>
      <c r="O68">
        <v>3.1742</v>
      </c>
      <c r="P68">
        <v>2.2285155314725</v>
      </c>
      <c r="Q68">
        <f t="shared" si="8"/>
        <v>5.96927914306562</v>
      </c>
      <c r="T68">
        <v>0.002829</v>
      </c>
      <c r="U68">
        <v>2.50044326617179</v>
      </c>
      <c r="V68">
        <f t="shared" si="9"/>
        <v>5.32010922302712</v>
      </c>
      <c r="Y68">
        <v>10380.168942</v>
      </c>
      <c r="Z68">
        <v>10.380168942</v>
      </c>
      <c r="AA68">
        <v>1.28154284928753</v>
      </c>
      <c r="AD68">
        <v>0.0017056</v>
      </c>
      <c r="AE68">
        <v>4.14736984052533</v>
      </c>
      <c r="AF68">
        <f t="shared" si="10"/>
        <v>3.20748614025983</v>
      </c>
      <c r="AI68">
        <v>0.531756</v>
      </c>
      <c r="AJ68">
        <v>13.3026312820166</v>
      </c>
    </row>
    <row r="69" spans="1:36">
      <c r="A69">
        <f t="shared" si="11"/>
        <v>68</v>
      </c>
      <c r="B69" t="s">
        <v>96</v>
      </c>
      <c r="C69">
        <v>7073754</v>
      </c>
      <c r="E69">
        <v>3.274</v>
      </c>
      <c r="F69">
        <v>2.16058460598656</v>
      </c>
      <c r="G69">
        <f t="shared" si="6"/>
        <v>6.09858320635714</v>
      </c>
      <c r="J69">
        <v>0.455467</v>
      </c>
      <c r="K69">
        <v>15.5307717134282</v>
      </c>
      <c r="L69">
        <f t="shared" si="7"/>
        <v>0.848412766417186</v>
      </c>
      <c r="O69">
        <v>4.5446</v>
      </c>
      <c r="P69">
        <v>1.55651850547903</v>
      </c>
      <c r="Q69">
        <f t="shared" si="8"/>
        <v>8.46536995711993</v>
      </c>
      <c r="T69">
        <v>0.002717</v>
      </c>
      <c r="U69">
        <v>2.60351637835848</v>
      </c>
      <c r="V69">
        <f t="shared" si="9"/>
        <v>5.06104171401111</v>
      </c>
      <c r="Y69">
        <v>8317.865323</v>
      </c>
      <c r="Z69">
        <v>8.317865323</v>
      </c>
      <c r="AA69">
        <v>1.58412098324658</v>
      </c>
      <c r="AD69">
        <v>0.0017033</v>
      </c>
      <c r="AE69">
        <v>4.15297011683203</v>
      </c>
      <c r="AF69">
        <f t="shared" si="10"/>
        <v>3.17279070720468</v>
      </c>
      <c r="AI69">
        <v>0.536846</v>
      </c>
      <c r="AJ69">
        <v>13.1765049939834</v>
      </c>
    </row>
    <row r="70" spans="1:36">
      <c r="A70">
        <f t="shared" si="11"/>
        <v>69</v>
      </c>
      <c r="B70" t="s">
        <v>97</v>
      </c>
      <c r="C70">
        <v>1599650</v>
      </c>
      <c r="E70">
        <v>3.518</v>
      </c>
      <c r="F70">
        <v>0.454704377487209</v>
      </c>
      <c r="G70">
        <f t="shared" si="6"/>
        <v>7.1585107530273</v>
      </c>
      <c r="J70">
        <v>0.535764</v>
      </c>
      <c r="K70">
        <v>2.98573625700868</v>
      </c>
      <c r="L70">
        <f t="shared" si="7"/>
        <v>1.09018543350907</v>
      </c>
      <c r="O70">
        <v>3.33</v>
      </c>
      <c r="P70">
        <v>0.480375375375375</v>
      </c>
      <c r="Q70">
        <f t="shared" si="8"/>
        <v>6.77596384524757</v>
      </c>
      <c r="T70">
        <v>0.003199</v>
      </c>
      <c r="U70">
        <v>0.500046889653017</v>
      </c>
      <c r="V70">
        <f t="shared" si="9"/>
        <v>6.50940190418827</v>
      </c>
      <c r="Y70">
        <v>2835.019174</v>
      </c>
      <c r="Z70">
        <v>2.835019174</v>
      </c>
      <c r="AA70">
        <v>1.14814256127171</v>
      </c>
      <c r="AD70">
        <v>0.00258002</v>
      </c>
      <c r="AE70">
        <v>0.620014573530438</v>
      </c>
      <c r="AF70">
        <f t="shared" si="10"/>
        <v>5.24988655856325</v>
      </c>
      <c r="AI70">
        <v>0.491443</v>
      </c>
      <c r="AJ70">
        <v>3.25500617569077</v>
      </c>
    </row>
    <row r="71" spans="1:36">
      <c r="A71">
        <f t="shared" si="11"/>
        <v>70</v>
      </c>
      <c r="B71" t="s">
        <v>98</v>
      </c>
      <c r="C71">
        <v>1600060</v>
      </c>
      <c r="E71">
        <v>4.062</v>
      </c>
      <c r="F71">
        <v>0.393909404234367</v>
      </c>
      <c r="G71">
        <f t="shared" si="6"/>
        <v>8.11293395808117</v>
      </c>
      <c r="J71">
        <v>0.812722</v>
      </c>
      <c r="K71">
        <v>1.96876668774809</v>
      </c>
      <c r="L71">
        <f t="shared" si="7"/>
        <v>1.62322991439676</v>
      </c>
      <c r="O71">
        <v>4.7643</v>
      </c>
      <c r="P71">
        <v>0.335843670633671</v>
      </c>
      <c r="Q71">
        <f t="shared" si="8"/>
        <v>9.51562069337423</v>
      </c>
      <c r="T71">
        <v>0.003222</v>
      </c>
      <c r="U71">
        <v>0.496604593420236</v>
      </c>
      <c r="V71">
        <f t="shared" si="9"/>
        <v>6.43522235670544</v>
      </c>
      <c r="Y71">
        <v>3005.151885</v>
      </c>
      <c r="Z71">
        <v>3.005151885</v>
      </c>
      <c r="AA71">
        <v>1.06342744204442</v>
      </c>
      <c r="AD71">
        <v>0.0026559</v>
      </c>
      <c r="AE71">
        <v>0.602454911706013</v>
      </c>
      <c r="AF71">
        <f t="shared" si="10"/>
        <v>5.30456457392117</v>
      </c>
      <c r="AI71">
        <v>0.500682</v>
      </c>
      <c r="AJ71">
        <v>3.19576098202052</v>
      </c>
    </row>
    <row r="72" spans="1:36">
      <c r="A72">
        <f t="shared" si="11"/>
        <v>71</v>
      </c>
      <c r="B72" t="s">
        <v>99</v>
      </c>
      <c r="C72">
        <v>1891702</v>
      </c>
      <c r="E72">
        <v>292.344</v>
      </c>
      <c r="F72">
        <v>0.00647080836275073</v>
      </c>
      <c r="G72">
        <f t="shared" si="6"/>
        <v>228.583045334418</v>
      </c>
      <c r="J72">
        <v>0.706038</v>
      </c>
      <c r="K72">
        <v>2.67932037652364</v>
      </c>
      <c r="L72">
        <f t="shared" si="7"/>
        <v>0.552049353370761</v>
      </c>
      <c r="O72">
        <v>6.8711</v>
      </c>
      <c r="P72">
        <v>0.27531283200652</v>
      </c>
      <c r="Q72">
        <f t="shared" si="8"/>
        <v>5.37249597322783</v>
      </c>
      <c r="T72">
        <v>0.003416</v>
      </c>
      <c r="U72">
        <v>0.553776932084309</v>
      </c>
      <c r="V72">
        <f t="shared" si="9"/>
        <v>2.67096189031542</v>
      </c>
      <c r="Y72">
        <v>851.381129</v>
      </c>
      <c r="Z72">
        <v>0.851381129</v>
      </c>
      <c r="AA72">
        <v>1.73731485341975</v>
      </c>
      <c r="AD72">
        <v>0.0107261</v>
      </c>
      <c r="AE72">
        <v>0.176364382207885</v>
      </c>
      <c r="AF72">
        <f t="shared" si="10"/>
        <v>8.3867108699392</v>
      </c>
      <c r="AI72">
        <v>1.27894</v>
      </c>
      <c r="AJ72">
        <v>1.47911708133298</v>
      </c>
    </row>
    <row r="73" spans="1:36">
      <c r="A73">
        <f t="shared" si="11"/>
        <v>72</v>
      </c>
      <c r="B73" t="s">
        <v>100</v>
      </c>
      <c r="C73">
        <v>5136112</v>
      </c>
      <c r="E73">
        <v>10.416</v>
      </c>
      <c r="F73">
        <v>0.493098310291859</v>
      </c>
      <c r="G73">
        <f t="shared" si="6"/>
        <v>21.0270893348488</v>
      </c>
      <c r="J73">
        <v>0.839639</v>
      </c>
      <c r="K73">
        <v>6.11704792178543</v>
      </c>
      <c r="L73">
        <f t="shared" si="7"/>
        <v>1.69500424942618</v>
      </c>
      <c r="O73">
        <v>4.4364</v>
      </c>
      <c r="P73">
        <v>1.1577206744207</v>
      </c>
      <c r="Q73">
        <f t="shared" si="8"/>
        <v>8.95589277314932</v>
      </c>
      <c r="T73">
        <v>0.003538</v>
      </c>
      <c r="U73">
        <v>1.45169926512154</v>
      </c>
      <c r="V73">
        <f t="shared" si="9"/>
        <v>7.14226594342309</v>
      </c>
      <c r="Y73">
        <v>7116.644041</v>
      </c>
      <c r="Z73">
        <v>7.116644041</v>
      </c>
      <c r="AA73">
        <v>1.45692578715978</v>
      </c>
      <c r="AD73">
        <v>0.0113678</v>
      </c>
      <c r="AE73">
        <v>0.451812311968895</v>
      </c>
      <c r="AF73">
        <f t="shared" si="10"/>
        <v>22.948516334552</v>
      </c>
      <c r="AI73">
        <v>0.495361</v>
      </c>
      <c r="AJ73">
        <v>10.3684222213699</v>
      </c>
    </row>
    <row r="74" spans="1:36">
      <c r="A74">
        <f t="shared" si="11"/>
        <v>73</v>
      </c>
      <c r="B74" t="s">
        <v>101</v>
      </c>
      <c r="C74">
        <v>4595084</v>
      </c>
      <c r="E74">
        <v>9.098</v>
      </c>
      <c r="F74">
        <v>0.505065289074522</v>
      </c>
      <c r="G74">
        <f t="shared" si="6"/>
        <v>8.09286603807151</v>
      </c>
      <c r="J74">
        <v>1.07838</v>
      </c>
      <c r="K74">
        <v>4.2610990559914</v>
      </c>
      <c r="L74">
        <f t="shared" si="7"/>
        <v>0.959242127735277</v>
      </c>
      <c r="O74">
        <v>4.6509</v>
      </c>
      <c r="P74">
        <v>0.987998881936829</v>
      </c>
      <c r="Q74">
        <f t="shared" si="8"/>
        <v>4.13707525351361</v>
      </c>
      <c r="T74">
        <v>0.001985</v>
      </c>
      <c r="U74">
        <v>2.31490377833753</v>
      </c>
      <c r="V74">
        <f t="shared" si="9"/>
        <v>1.76570005337129</v>
      </c>
      <c r="Y74">
        <v>4569.411792</v>
      </c>
      <c r="Z74">
        <v>4.569411792</v>
      </c>
      <c r="AA74">
        <v>0.894519012735101</v>
      </c>
      <c r="AD74">
        <v>0.00366247</v>
      </c>
      <c r="AE74">
        <v>1.25464072060659</v>
      </c>
      <c r="AF74">
        <f t="shared" si="10"/>
        <v>3.25784557907844</v>
      </c>
      <c r="AI74">
        <v>1.1242</v>
      </c>
      <c r="AJ74">
        <v>4.08742572495997</v>
      </c>
    </row>
    <row r="75" spans="1:36">
      <c r="A75">
        <f t="shared" si="11"/>
        <v>74</v>
      </c>
      <c r="B75" t="s">
        <v>102</v>
      </c>
      <c r="C75">
        <v>884736</v>
      </c>
      <c r="E75">
        <v>2.167</v>
      </c>
      <c r="F75">
        <v>0.408276880479926</v>
      </c>
      <c r="G75">
        <f t="shared" si="6"/>
        <v>1.65211756184958</v>
      </c>
      <c r="J75">
        <v>0.511264</v>
      </c>
      <c r="K75">
        <v>1.73048757589034</v>
      </c>
      <c r="L75">
        <f t="shared" si="7"/>
        <v>0.389786909617658</v>
      </c>
      <c r="O75">
        <v>2.2827</v>
      </c>
      <c r="P75">
        <v>0.387583125246419</v>
      </c>
      <c r="Q75">
        <f t="shared" si="8"/>
        <v>1.74032706895894</v>
      </c>
      <c r="T75">
        <v>0.001933</v>
      </c>
      <c r="U75">
        <v>0.457700982928091</v>
      </c>
      <c r="V75">
        <f t="shared" si="9"/>
        <v>1.47371631151603</v>
      </c>
      <c r="Y75">
        <v>1043.407234</v>
      </c>
      <c r="Z75">
        <v>1.043407234</v>
      </c>
      <c r="AA75">
        <v>0.646460348709877</v>
      </c>
      <c r="AD75">
        <v>0.00162278</v>
      </c>
      <c r="AE75">
        <v>0.545197747076005</v>
      </c>
      <c r="AF75">
        <f t="shared" si="10"/>
        <v>1.23720504707811</v>
      </c>
      <c r="AI75">
        <v>1.31165</v>
      </c>
      <c r="AJ75">
        <v>0.674521404338048</v>
      </c>
    </row>
    <row r="76" spans="1:36">
      <c r="A76">
        <f t="shared" si="11"/>
        <v>75</v>
      </c>
      <c r="B76" t="s">
        <v>103</v>
      </c>
      <c r="C76">
        <v>1076636</v>
      </c>
      <c r="E76">
        <v>4.239</v>
      </c>
      <c r="F76">
        <v>0.253983486671385</v>
      </c>
      <c r="G76">
        <f t="shared" si="6"/>
        <v>5.43967846996049</v>
      </c>
      <c r="J76">
        <v>0.77037</v>
      </c>
      <c r="K76">
        <v>1.39755701805626</v>
      </c>
      <c r="L76">
        <f t="shared" si="7"/>
        <v>0.988573980397137</v>
      </c>
      <c r="O76">
        <v>3.9959</v>
      </c>
      <c r="P76">
        <v>0.269435171050327</v>
      </c>
      <c r="Q76">
        <f t="shared" si="8"/>
        <v>5.12772144329208</v>
      </c>
      <c r="T76">
        <v>0.002049</v>
      </c>
      <c r="U76">
        <v>0.525444607125427</v>
      </c>
      <c r="V76">
        <f t="shared" si="9"/>
        <v>2.62937041400072</v>
      </c>
      <c r="Y76">
        <v>770.442814</v>
      </c>
      <c r="Z76">
        <v>0.770442814</v>
      </c>
      <c r="AA76">
        <v>1.79323952286461</v>
      </c>
      <c r="AD76">
        <v>0.00362003</v>
      </c>
      <c r="AE76">
        <v>0.297410794938163</v>
      </c>
      <c r="AF76">
        <f t="shared" si="10"/>
        <v>4.64538788667401</v>
      </c>
      <c r="AI76">
        <v>0.779274</v>
      </c>
      <c r="AJ76">
        <v>1.38158850417183</v>
      </c>
    </row>
    <row r="77" spans="1:36">
      <c r="A77">
        <f t="shared" si="11"/>
        <v>76</v>
      </c>
      <c r="B77" t="s">
        <v>104</v>
      </c>
      <c r="C77">
        <v>323280496</v>
      </c>
      <c r="E77">
        <v>98.952</v>
      </c>
      <c r="F77">
        <v>3.26704357668364</v>
      </c>
      <c r="G77">
        <f t="shared" si="6"/>
        <v>5.62806067603615</v>
      </c>
      <c r="J77">
        <v>30.662311</v>
      </c>
      <c r="K77">
        <v>10.5432527900457</v>
      </c>
      <c r="L77">
        <f t="shared" si="7"/>
        <v>1.74397027625001</v>
      </c>
      <c r="O77">
        <v>44.5495</v>
      </c>
      <c r="P77">
        <v>7.25665823409915</v>
      </c>
      <c r="Q77">
        <f t="shared" si="8"/>
        <v>2.53382740204414</v>
      </c>
      <c r="T77">
        <v>0.03106</v>
      </c>
      <c r="U77">
        <v>10.4082580811333</v>
      </c>
      <c r="V77">
        <f t="shared" si="9"/>
        <v>1.76658950397852</v>
      </c>
      <c r="Y77">
        <v>29100.534514</v>
      </c>
      <c r="Z77">
        <v>29.100534514</v>
      </c>
      <c r="AA77">
        <v>0.631848170073434</v>
      </c>
      <c r="AD77">
        <v>0.00114253</v>
      </c>
      <c r="AE77">
        <v>282.951428846507</v>
      </c>
      <c r="AF77">
        <f t="shared" si="10"/>
        <v>0.0649833066960909</v>
      </c>
      <c r="AI77">
        <v>17.5819</v>
      </c>
      <c r="AJ77">
        <v>18.3871194808297</v>
      </c>
    </row>
    <row r="78" spans="1:36">
      <c r="A78">
        <f t="shared" si="11"/>
        <v>77</v>
      </c>
      <c r="B78" t="s">
        <v>105</v>
      </c>
      <c r="C78">
        <v>5109908</v>
      </c>
      <c r="E78">
        <v>6.676</v>
      </c>
      <c r="F78">
        <v>0.765414619532654</v>
      </c>
      <c r="G78">
        <f t="shared" si="6"/>
        <v>11.399806018879</v>
      </c>
      <c r="J78">
        <v>0.628312</v>
      </c>
      <c r="K78">
        <v>8.13275570098932</v>
      </c>
      <c r="L78">
        <f t="shared" si="7"/>
        <v>1.07289318743767</v>
      </c>
      <c r="O78">
        <v>3.472</v>
      </c>
      <c r="P78">
        <v>1.47174769585253</v>
      </c>
      <c r="Q78">
        <f t="shared" si="8"/>
        <v>5.92871876835651</v>
      </c>
      <c r="T78">
        <v>0.00193</v>
      </c>
      <c r="U78">
        <v>2.6476207253886</v>
      </c>
      <c r="V78">
        <f t="shared" si="9"/>
        <v>3.29562996052075</v>
      </c>
      <c r="Y78">
        <v>6598.894303</v>
      </c>
      <c r="Z78">
        <v>6.598894303</v>
      </c>
      <c r="AA78">
        <v>1.32227882218382</v>
      </c>
      <c r="AD78">
        <v>0.00271075</v>
      </c>
      <c r="AE78">
        <v>1.88505321405515</v>
      </c>
      <c r="AF78">
        <f t="shared" si="10"/>
        <v>4.62882327227027</v>
      </c>
      <c r="AI78">
        <v>0.585624</v>
      </c>
      <c r="AJ78">
        <v>8.72557818668634</v>
      </c>
    </row>
    <row r="79" spans="1:36">
      <c r="A79">
        <f t="shared" si="11"/>
        <v>78</v>
      </c>
      <c r="B79" t="s">
        <v>106</v>
      </c>
      <c r="C79">
        <v>385191344</v>
      </c>
      <c r="E79">
        <v>220.885</v>
      </c>
      <c r="F79">
        <v>1.74385469361885</v>
      </c>
      <c r="G79">
        <f t="shared" si="6"/>
        <v>8.03618529958563</v>
      </c>
      <c r="J79">
        <v>80.409614</v>
      </c>
      <c r="K79">
        <v>4.79036429648823</v>
      </c>
      <c r="L79">
        <f t="shared" si="7"/>
        <v>2.92544336633159</v>
      </c>
      <c r="O79">
        <v>133.2352</v>
      </c>
      <c r="P79">
        <v>2.89106290229609</v>
      </c>
      <c r="Q79">
        <f t="shared" si="8"/>
        <v>4.84733121591484</v>
      </c>
      <c r="T79">
        <v>0.087105</v>
      </c>
      <c r="U79">
        <v>4.42214963549739</v>
      </c>
      <c r="V79">
        <f t="shared" si="9"/>
        <v>3.16903330022593</v>
      </c>
      <c r="Y79">
        <v>11981.331896</v>
      </c>
      <c r="Z79">
        <v>11.981331896</v>
      </c>
      <c r="AA79">
        <v>1.16964788014526</v>
      </c>
      <c r="AD79">
        <v>0.0368144</v>
      </c>
      <c r="AE79">
        <v>10.4630618453649</v>
      </c>
      <c r="AF79">
        <f t="shared" si="10"/>
        <v>1.33937270567519</v>
      </c>
      <c r="AI79">
        <v>27.4863</v>
      </c>
      <c r="AJ79">
        <v>14.0139394534732</v>
      </c>
    </row>
    <row r="80" spans="1:36">
      <c r="A80">
        <f t="shared" si="11"/>
        <v>79</v>
      </c>
      <c r="B80" t="s">
        <v>107</v>
      </c>
      <c r="C80">
        <v>4449732</v>
      </c>
      <c r="E80">
        <v>10.364</v>
      </c>
      <c r="F80">
        <v>0.429345040524894</v>
      </c>
      <c r="G80">
        <f t="shared" si="6"/>
        <v>12.2893329206849</v>
      </c>
      <c r="J80">
        <v>0.593537</v>
      </c>
      <c r="K80">
        <v>7.49697491479048</v>
      </c>
      <c r="L80">
        <f t="shared" si="7"/>
        <v>0.703799092410709</v>
      </c>
      <c r="O80">
        <v>4.2924</v>
      </c>
      <c r="P80">
        <v>1.03665362035225</v>
      </c>
      <c r="Q80">
        <f t="shared" si="8"/>
        <v>5.08980438332189</v>
      </c>
      <c r="T80">
        <v>0.00397</v>
      </c>
      <c r="U80">
        <v>1.12083929471033</v>
      </c>
      <c r="V80">
        <f t="shared" si="9"/>
        <v>4.70751174209949</v>
      </c>
      <c r="Y80">
        <v>5251.613509</v>
      </c>
      <c r="Z80">
        <v>5.251613509</v>
      </c>
      <c r="AA80">
        <v>1.00471295761064</v>
      </c>
      <c r="AD80">
        <v>0.00195244</v>
      </c>
      <c r="AE80">
        <v>2.27906209665854</v>
      </c>
      <c r="AF80">
        <f t="shared" si="10"/>
        <v>2.31514716013722</v>
      </c>
      <c r="AI80">
        <v>0.843333</v>
      </c>
      <c r="AJ80">
        <v>5.27636414085539</v>
      </c>
    </row>
    <row r="81" spans="1:36">
      <c r="A81">
        <f t="shared" si="11"/>
        <v>80</v>
      </c>
      <c r="B81" t="s">
        <v>108</v>
      </c>
      <c r="C81">
        <v>201720030</v>
      </c>
      <c r="E81">
        <v>134.087</v>
      </c>
      <c r="F81">
        <v>1.504396623088</v>
      </c>
      <c r="G81">
        <f t="shared" si="6"/>
        <v>5.60562037784121</v>
      </c>
      <c r="J81">
        <v>79.028183</v>
      </c>
      <c r="K81">
        <v>2.55250750229194</v>
      </c>
      <c r="L81">
        <f t="shared" si="7"/>
        <v>3.30383999230772</v>
      </c>
      <c r="O81">
        <v>73.6022</v>
      </c>
      <c r="P81">
        <v>2.7406793546932</v>
      </c>
      <c r="Q81">
        <f t="shared" si="8"/>
        <v>3.07700218644571</v>
      </c>
      <c r="T81">
        <v>0.0548</v>
      </c>
      <c r="U81">
        <v>3.68102244525547</v>
      </c>
      <c r="V81">
        <f t="shared" si="9"/>
        <v>2.29096032207224</v>
      </c>
      <c r="Y81">
        <v>5947.685493</v>
      </c>
      <c r="Z81">
        <v>5.947685493</v>
      </c>
      <c r="AA81">
        <v>1.41787530236135</v>
      </c>
      <c r="AD81">
        <v>0.00133637</v>
      </c>
      <c r="AE81">
        <v>150.946242432859</v>
      </c>
      <c r="AF81">
        <f t="shared" si="10"/>
        <v>0.0558680774745926</v>
      </c>
      <c r="AI81">
        <v>23.9201</v>
      </c>
      <c r="AJ81">
        <v>8.4330763667376</v>
      </c>
    </row>
    <row r="82" spans="1:36">
      <c r="A82">
        <f t="shared" si="11"/>
        <v>81</v>
      </c>
      <c r="B82" t="s">
        <v>109</v>
      </c>
      <c r="C82">
        <v>4344174</v>
      </c>
      <c r="E82">
        <v>6.531</v>
      </c>
      <c r="F82">
        <v>0.665162149747359</v>
      </c>
      <c r="G82">
        <f t="shared" si="6"/>
        <v>4.71477454844718</v>
      </c>
      <c r="J82">
        <v>0.702309</v>
      </c>
      <c r="K82">
        <v>6.18555934780844</v>
      </c>
      <c r="L82">
        <f t="shared" si="7"/>
        <v>0.507001775891195</v>
      </c>
      <c r="O82">
        <v>4.0541</v>
      </c>
      <c r="P82">
        <v>1.07155077575787</v>
      </c>
      <c r="Q82">
        <f t="shared" si="8"/>
        <v>2.92668312614604</v>
      </c>
      <c r="T82">
        <v>0.003792</v>
      </c>
      <c r="U82">
        <v>1.14561550632911</v>
      </c>
      <c r="V82">
        <f t="shared" si="9"/>
        <v>2.73747130419718</v>
      </c>
      <c r="Y82">
        <v>4046.013677</v>
      </c>
      <c r="Z82">
        <v>4.046013677</v>
      </c>
      <c r="AA82">
        <v>0.77510602399757</v>
      </c>
      <c r="AD82">
        <v>0.00729698</v>
      </c>
      <c r="AE82">
        <v>0.595338619538494</v>
      </c>
      <c r="AF82">
        <f t="shared" si="10"/>
        <v>5.26774086426705</v>
      </c>
      <c r="AI82">
        <v>1.38522</v>
      </c>
      <c r="AJ82">
        <v>3.13608957421926</v>
      </c>
    </row>
    <row r="83" spans="1:36">
      <c r="A83">
        <f t="shared" si="11"/>
        <v>82</v>
      </c>
      <c r="B83" t="s">
        <v>110</v>
      </c>
      <c r="C83">
        <v>4347284</v>
      </c>
      <c r="E83">
        <v>7.292</v>
      </c>
      <c r="F83">
        <v>0.596171695008228</v>
      </c>
      <c r="G83">
        <f t="shared" si="6"/>
        <v>12.9314625391916</v>
      </c>
      <c r="J83">
        <v>0.864859</v>
      </c>
      <c r="K83">
        <v>5.02658121150384</v>
      </c>
      <c r="L83">
        <f t="shared" si="7"/>
        <v>1.53372075701903</v>
      </c>
      <c r="O83">
        <v>3.5406</v>
      </c>
      <c r="P83">
        <v>1.22783821951082</v>
      </c>
      <c r="Q83">
        <f t="shared" si="8"/>
        <v>6.27881737057896</v>
      </c>
      <c r="T83">
        <v>0.003388</v>
      </c>
      <c r="U83">
        <v>1.28314167650531</v>
      </c>
      <c r="V83">
        <f t="shared" si="9"/>
        <v>6.0082000936343</v>
      </c>
      <c r="Y83">
        <v>5270.105071</v>
      </c>
      <c r="Z83">
        <v>5.270105071</v>
      </c>
      <c r="AA83">
        <v>1.46284976050059</v>
      </c>
      <c r="AD83">
        <v>0.00356254</v>
      </c>
      <c r="AE83">
        <v>1.22027654426336</v>
      </c>
      <c r="AF83">
        <f t="shared" si="10"/>
        <v>6.31772525430223</v>
      </c>
      <c r="AI83">
        <v>0.563896</v>
      </c>
      <c r="AJ83">
        <v>7.70937194092528</v>
      </c>
    </row>
    <row r="84" spans="1:36">
      <c r="A84">
        <f t="shared" si="11"/>
        <v>83</v>
      </c>
      <c r="B84" t="s">
        <v>111</v>
      </c>
      <c r="C84">
        <v>3193930</v>
      </c>
      <c r="E84">
        <v>23.307</v>
      </c>
      <c r="F84">
        <v>0.137037370746986</v>
      </c>
      <c r="G84">
        <f t="shared" si="6"/>
        <v>26.4486800058101</v>
      </c>
      <c r="J84">
        <v>0.441491</v>
      </c>
      <c r="K84">
        <v>7.23441700963327</v>
      </c>
      <c r="L84">
        <f t="shared" si="7"/>
        <v>0.50100202447527</v>
      </c>
      <c r="O84">
        <v>4.9357</v>
      </c>
      <c r="P84">
        <v>0.647107806390178</v>
      </c>
      <c r="Q84">
        <f t="shared" si="8"/>
        <v>5.60101042196238</v>
      </c>
      <c r="T84">
        <v>0.003486</v>
      </c>
      <c r="U84">
        <v>0.916216293746414</v>
      </c>
      <c r="V84">
        <f t="shared" si="9"/>
        <v>3.95589730554144</v>
      </c>
      <c r="Y84">
        <v>4332.705801</v>
      </c>
      <c r="Z84">
        <v>4.332705801</v>
      </c>
      <c r="AA84">
        <v>0.836534427721371</v>
      </c>
      <c r="AD84">
        <v>0.00667155</v>
      </c>
      <c r="AE84">
        <v>0.478738823811558</v>
      </c>
      <c r="AF84">
        <f t="shared" si="10"/>
        <v>7.57084528651318</v>
      </c>
      <c r="AI84">
        <v>0.881216</v>
      </c>
      <c r="AJ84">
        <v>3.6244575677246</v>
      </c>
    </row>
    <row r="85" spans="1:36">
      <c r="A85">
        <f t="shared" si="11"/>
        <v>84</v>
      </c>
      <c r="B85" t="s">
        <v>112</v>
      </c>
      <c r="C85">
        <v>3193930</v>
      </c>
      <c r="E85">
        <v>23.644</v>
      </c>
      <c r="F85">
        <v>0.135084165115886</v>
      </c>
      <c r="G85">
        <f t="shared" si="6"/>
        <v>24.9797945115025</v>
      </c>
      <c r="J85">
        <v>0.537922</v>
      </c>
      <c r="K85">
        <v>5.93753369447615</v>
      </c>
      <c r="L85">
        <f t="shared" si="7"/>
        <v>0.568312511555426</v>
      </c>
      <c r="O85">
        <v>4.1604</v>
      </c>
      <c r="P85">
        <v>0.767697817517546</v>
      </c>
      <c r="Q85">
        <f t="shared" si="8"/>
        <v>4.39544650167719</v>
      </c>
      <c r="T85">
        <v>0.003453</v>
      </c>
      <c r="U85">
        <v>0.924972487691862</v>
      </c>
      <c r="V85">
        <f t="shared" si="9"/>
        <v>3.64808113890283</v>
      </c>
      <c r="Y85">
        <v>3836.321094</v>
      </c>
      <c r="Z85">
        <v>3.836321094</v>
      </c>
      <c r="AA85">
        <v>0.879586093987343</v>
      </c>
      <c r="AD85">
        <v>0.00636637</v>
      </c>
      <c r="AE85">
        <v>0.501687774980091</v>
      </c>
      <c r="AF85">
        <f t="shared" si="10"/>
        <v>6.72604527085919</v>
      </c>
      <c r="AI85">
        <v>0.946525</v>
      </c>
      <c r="AJ85">
        <v>3.37437468635271</v>
      </c>
    </row>
    <row r="86" spans="1:36">
      <c r="A86">
        <f t="shared" si="11"/>
        <v>85</v>
      </c>
      <c r="B86" t="s">
        <v>113</v>
      </c>
      <c r="C86">
        <v>5299604</v>
      </c>
      <c r="E86">
        <v>11.226</v>
      </c>
      <c r="F86">
        <v>0.4720830215571</v>
      </c>
      <c r="G86">
        <f t="shared" si="6"/>
        <v>10.2788078560637</v>
      </c>
      <c r="J86">
        <v>0.966954</v>
      </c>
      <c r="K86">
        <v>5.48071986878383</v>
      </c>
      <c r="L86">
        <f t="shared" si="7"/>
        <v>0.885367394588656</v>
      </c>
      <c r="O86">
        <v>5.4569</v>
      </c>
      <c r="P86">
        <v>0.971174842859499</v>
      </c>
      <c r="Q86">
        <f t="shared" si="8"/>
        <v>4.9964748431992</v>
      </c>
      <c r="T86">
        <v>0.003752</v>
      </c>
      <c r="U86">
        <v>1.41247441364606</v>
      </c>
      <c r="V86">
        <f t="shared" si="9"/>
        <v>3.43542553678523</v>
      </c>
      <c r="Y86">
        <v>4979.070555</v>
      </c>
      <c r="Z86">
        <v>4.979070555</v>
      </c>
      <c r="AA86">
        <v>0.97456957419946</v>
      </c>
      <c r="AD86">
        <v>0.00332242</v>
      </c>
      <c r="AE86">
        <v>1.59510356908518</v>
      </c>
      <c r="AF86">
        <f t="shared" si="10"/>
        <v>3.04209128782677</v>
      </c>
      <c r="AI86">
        <v>1.09215</v>
      </c>
      <c r="AJ86">
        <v>4.85245067069542</v>
      </c>
    </row>
    <row r="87" spans="1:36">
      <c r="A87">
        <f t="shared" si="11"/>
        <v>86</v>
      </c>
      <c r="B87" t="s">
        <v>114</v>
      </c>
      <c r="C87">
        <v>6855086</v>
      </c>
      <c r="E87">
        <v>5.447</v>
      </c>
      <c r="F87">
        <v>1.2585067009363</v>
      </c>
      <c r="G87">
        <f t="shared" si="6"/>
        <v>9.66112457121769</v>
      </c>
      <c r="J87">
        <v>0.481217</v>
      </c>
      <c r="K87">
        <v>14.2453113668054</v>
      </c>
      <c r="L87">
        <f t="shared" si="7"/>
        <v>0.853515216226856</v>
      </c>
      <c r="O87">
        <v>3.6223</v>
      </c>
      <c r="P87">
        <v>1.89246776909698</v>
      </c>
      <c r="Q87">
        <f t="shared" si="8"/>
        <v>6.42472765454783</v>
      </c>
      <c r="T87">
        <v>0.002793</v>
      </c>
      <c r="U87">
        <v>2.45438095238095</v>
      </c>
      <c r="V87">
        <f t="shared" si="9"/>
        <v>4.9538316371234</v>
      </c>
      <c r="Y87">
        <v>8046.192517</v>
      </c>
      <c r="Z87">
        <v>8.046192517</v>
      </c>
      <c r="AA87">
        <v>1.51109857063066</v>
      </c>
      <c r="AD87">
        <v>0.00773425</v>
      </c>
      <c r="AE87">
        <v>0.886328473995539</v>
      </c>
      <c r="AF87">
        <f t="shared" si="10"/>
        <v>13.7179277978595</v>
      </c>
      <c r="AI87">
        <v>0.563806</v>
      </c>
      <c r="AJ87">
        <v>12.1585900114578</v>
      </c>
    </row>
    <row r="88" spans="1:36">
      <c r="A88">
        <f t="shared" si="11"/>
        <v>87</v>
      </c>
      <c r="B88" t="s">
        <v>115</v>
      </c>
      <c r="C88">
        <v>407765828</v>
      </c>
      <c r="E88">
        <v>234.084</v>
      </c>
      <c r="F88">
        <v>1.74196368824866</v>
      </c>
      <c r="G88">
        <f t="shared" si="6"/>
        <v>8.04625278853856</v>
      </c>
      <c r="J88">
        <v>86.558632</v>
      </c>
      <c r="K88">
        <v>4.71086266705324</v>
      </c>
      <c r="L88">
        <f t="shared" si="7"/>
        <v>2.9753107179563</v>
      </c>
      <c r="O88">
        <v>147.2015</v>
      </c>
      <c r="P88">
        <v>2.77012005991787</v>
      </c>
      <c r="Q88">
        <f t="shared" si="8"/>
        <v>5.05980964035157</v>
      </c>
      <c r="T88">
        <v>0.093897</v>
      </c>
      <c r="U88">
        <v>4.34269282298689</v>
      </c>
      <c r="V88">
        <f t="shared" si="9"/>
        <v>3.22755505752381</v>
      </c>
      <c r="Y88">
        <v>11101.037693</v>
      </c>
      <c r="Z88">
        <v>11.101037693</v>
      </c>
      <c r="AA88">
        <v>1.26260990834595</v>
      </c>
      <c r="AD88">
        <v>0.0294772</v>
      </c>
      <c r="AE88">
        <v>13.8332619109006</v>
      </c>
      <c r="AF88">
        <f t="shared" si="10"/>
        <v>1.01323030492605</v>
      </c>
      <c r="AI88">
        <v>29.0923</v>
      </c>
      <c r="AJ88">
        <v>14.0162801841037</v>
      </c>
    </row>
    <row r="89" spans="1:36">
      <c r="A89">
        <f t="shared" si="11"/>
        <v>88</v>
      </c>
      <c r="B89" t="s">
        <v>116</v>
      </c>
      <c r="C89">
        <v>2128552</v>
      </c>
      <c r="E89">
        <v>5.906</v>
      </c>
      <c r="F89">
        <v>0.360405011852354</v>
      </c>
      <c r="G89">
        <f t="shared" si="6"/>
        <v>4.74980296279614</v>
      </c>
      <c r="J89">
        <v>0.710201</v>
      </c>
      <c r="K89">
        <v>2.99711208517025</v>
      </c>
      <c r="L89">
        <f t="shared" si="7"/>
        <v>0.571167425326921</v>
      </c>
      <c r="O89">
        <v>2.9456</v>
      </c>
      <c r="P89">
        <v>0.722620858229223</v>
      </c>
      <c r="Q89">
        <f t="shared" si="8"/>
        <v>2.36895015360859</v>
      </c>
      <c r="T89">
        <v>0.003186</v>
      </c>
      <c r="U89">
        <v>0.66809541745135</v>
      </c>
      <c r="V89">
        <f t="shared" si="9"/>
        <v>2.56228788341831</v>
      </c>
      <c r="Y89">
        <v>3062.064718</v>
      </c>
      <c r="Z89">
        <v>3.062064718</v>
      </c>
      <c r="AA89">
        <v>0.559051800257505</v>
      </c>
      <c r="AD89">
        <v>0.00305058</v>
      </c>
      <c r="AE89">
        <v>0.697753214142884</v>
      </c>
      <c r="AF89">
        <f t="shared" si="10"/>
        <v>2.45337858487076</v>
      </c>
      <c r="AI89">
        <v>1.24342</v>
      </c>
      <c r="AJ89">
        <v>1.71185279310289</v>
      </c>
    </row>
    <row r="90" spans="1:36">
      <c r="A90">
        <f t="shared" si="11"/>
        <v>89</v>
      </c>
      <c r="B90" t="s">
        <v>117</v>
      </c>
      <c r="C90">
        <v>6855086</v>
      </c>
      <c r="E90">
        <v>5.126</v>
      </c>
      <c r="F90">
        <v>1.33731681623098</v>
      </c>
      <c r="G90">
        <f t="shared" si="6"/>
        <v>9.97355820211342</v>
      </c>
      <c r="J90">
        <v>0.685575</v>
      </c>
      <c r="K90">
        <v>9.999031469934</v>
      </c>
      <c r="L90">
        <f t="shared" si="7"/>
        <v>1.33390990331914</v>
      </c>
      <c r="O90">
        <v>3.6373</v>
      </c>
      <c r="P90">
        <v>1.88466334918758</v>
      </c>
      <c r="Q90">
        <f t="shared" si="8"/>
        <v>7.07702365363778</v>
      </c>
      <c r="T90">
        <v>0.004283</v>
      </c>
      <c r="U90">
        <v>1.60053373803409</v>
      </c>
      <c r="V90">
        <f t="shared" si="9"/>
        <v>8.33334954733745</v>
      </c>
      <c r="Y90">
        <v>8313.198654</v>
      </c>
      <c r="Z90">
        <v>8.313198654</v>
      </c>
      <c r="AA90">
        <v>1.60441337401784</v>
      </c>
      <c r="AD90">
        <v>0.00703935</v>
      </c>
      <c r="AE90">
        <v>0.973823719519558</v>
      </c>
      <c r="AF90">
        <f t="shared" si="10"/>
        <v>13.696325971527</v>
      </c>
      <c r="AI90">
        <v>0.513959</v>
      </c>
      <c r="AJ90">
        <v>13.3378071013447</v>
      </c>
    </row>
    <row r="91" spans="1:36">
      <c r="A91">
        <f t="shared" si="11"/>
        <v>90</v>
      </c>
      <c r="B91" t="s">
        <v>118</v>
      </c>
      <c r="C91">
        <v>6011316</v>
      </c>
      <c r="E91">
        <v>12.273</v>
      </c>
      <c r="F91">
        <v>0.489800048887803</v>
      </c>
      <c r="G91">
        <f t="shared" si="6"/>
        <v>7.23264324735249</v>
      </c>
      <c r="J91">
        <v>1.399666</v>
      </c>
      <c r="K91">
        <v>4.29482176462099</v>
      </c>
      <c r="L91">
        <f t="shared" si="7"/>
        <v>0.824841916682871</v>
      </c>
      <c r="O91">
        <v>6.0539</v>
      </c>
      <c r="P91">
        <v>0.992965856720461</v>
      </c>
      <c r="Q91">
        <f t="shared" si="8"/>
        <v>3.56764433758228</v>
      </c>
      <c r="T91">
        <v>0.002247</v>
      </c>
      <c r="U91">
        <v>2.67526301735648</v>
      </c>
      <c r="V91">
        <f t="shared" si="9"/>
        <v>1.3241871895055</v>
      </c>
      <c r="Y91">
        <v>2923.913137</v>
      </c>
      <c r="Z91">
        <v>2.923913137</v>
      </c>
      <c r="AA91">
        <v>1.21157806342223</v>
      </c>
      <c r="AD91">
        <v>0.00370701</v>
      </c>
      <c r="AE91">
        <v>1.62160771079657</v>
      </c>
      <c r="AF91">
        <f t="shared" si="10"/>
        <v>2.18459063345296</v>
      </c>
      <c r="AI91">
        <v>1.69689</v>
      </c>
      <c r="AJ91">
        <v>3.54254901614129</v>
      </c>
    </row>
    <row r="92" spans="1:36">
      <c r="A92">
        <f t="shared" si="11"/>
        <v>91</v>
      </c>
      <c r="B92" t="s">
        <v>119</v>
      </c>
      <c r="C92">
        <v>11161552</v>
      </c>
      <c r="E92">
        <v>36.884</v>
      </c>
      <c r="F92">
        <v>0.3026122980154</v>
      </c>
      <c r="G92">
        <f t="shared" si="6"/>
        <v>13.8954712758863</v>
      </c>
      <c r="J92">
        <v>2.996098</v>
      </c>
      <c r="K92">
        <v>3.72536278853362</v>
      </c>
      <c r="L92">
        <f t="shared" si="7"/>
        <v>1.12873315526354</v>
      </c>
      <c r="O92">
        <v>7.53</v>
      </c>
      <c r="P92">
        <v>1.48227782204515</v>
      </c>
      <c r="Q92">
        <f t="shared" si="8"/>
        <v>2.83680996387118</v>
      </c>
      <c r="T92">
        <v>0.003217</v>
      </c>
      <c r="U92">
        <v>3.46955299968915</v>
      </c>
      <c r="V92">
        <f t="shared" si="9"/>
        <v>1.2119545356937</v>
      </c>
      <c r="Y92">
        <v>4902.350471</v>
      </c>
      <c r="Z92">
        <v>4.902350471</v>
      </c>
      <c r="AA92">
        <v>0.857739673994628</v>
      </c>
      <c r="AD92">
        <v>0.00121106</v>
      </c>
      <c r="AE92">
        <v>9.21634931382425</v>
      </c>
      <c r="AF92">
        <f t="shared" si="10"/>
        <v>0.45624795150675</v>
      </c>
      <c r="AI92">
        <v>2.65439</v>
      </c>
      <c r="AJ92">
        <v>4.20494049480295</v>
      </c>
    </row>
    <row r="93" spans="1:36">
      <c r="A93">
        <f t="shared" si="11"/>
        <v>92</v>
      </c>
      <c r="B93" t="s">
        <v>120</v>
      </c>
      <c r="C93">
        <v>6274168</v>
      </c>
      <c r="E93">
        <v>11.667</v>
      </c>
      <c r="F93">
        <v>0.537770463701037</v>
      </c>
      <c r="G93">
        <f t="shared" si="6"/>
        <v>9.57567301378858</v>
      </c>
      <c r="J93">
        <v>1.235831</v>
      </c>
      <c r="K93">
        <v>5.07688187138856</v>
      </c>
      <c r="L93">
        <f t="shared" si="7"/>
        <v>1.01430646749836</v>
      </c>
      <c r="O93">
        <v>5.1656</v>
      </c>
      <c r="P93">
        <v>1.21460585411182</v>
      </c>
      <c r="Q93">
        <f t="shared" si="8"/>
        <v>4.23965856861456</v>
      </c>
      <c r="T93">
        <v>0.002273</v>
      </c>
      <c r="U93">
        <v>2.76030268367796</v>
      </c>
      <c r="V93">
        <f t="shared" si="9"/>
        <v>1.86556139198949</v>
      </c>
      <c r="Y93">
        <v>5555.07632</v>
      </c>
      <c r="Z93">
        <v>5.55507632</v>
      </c>
      <c r="AA93">
        <v>0.926992505635744</v>
      </c>
      <c r="AD93">
        <v>0.00399697</v>
      </c>
      <c r="AE93">
        <v>1.5697310712865</v>
      </c>
      <c r="AF93">
        <f t="shared" si="10"/>
        <v>3.280507222587</v>
      </c>
      <c r="AI93">
        <v>1.2184</v>
      </c>
      <c r="AJ93">
        <v>5.14951411687459</v>
      </c>
    </row>
    <row r="94" spans="1:36">
      <c r="A94">
        <f t="shared" si="11"/>
        <v>93</v>
      </c>
      <c r="B94" t="s">
        <v>121</v>
      </c>
      <c r="C94">
        <v>2459588</v>
      </c>
      <c r="E94">
        <v>4.914</v>
      </c>
      <c r="F94">
        <v>0.500526658526658</v>
      </c>
      <c r="G94">
        <f t="shared" si="6"/>
        <v>11.3343066905624</v>
      </c>
      <c r="J94">
        <v>0.365762</v>
      </c>
      <c r="K94">
        <v>6.7245585927461</v>
      </c>
      <c r="L94">
        <f t="shared" si="7"/>
        <v>0.843642385786218</v>
      </c>
      <c r="O94">
        <v>4.4916</v>
      </c>
      <c r="P94">
        <v>0.547597292724196</v>
      </c>
      <c r="Q94">
        <f t="shared" si="8"/>
        <v>10.3600268480525</v>
      </c>
      <c r="T94">
        <v>0.00184</v>
      </c>
      <c r="U94">
        <v>1.33673260869565</v>
      </c>
      <c r="V94">
        <f t="shared" si="9"/>
        <v>4.24402204123622</v>
      </c>
      <c r="Y94">
        <v>4680.804822</v>
      </c>
      <c r="Z94">
        <v>4.680804822</v>
      </c>
      <c r="AA94">
        <v>1.21199726762363</v>
      </c>
      <c r="AD94">
        <v>0.00357842</v>
      </c>
      <c r="AE94">
        <v>0.687339104968114</v>
      </c>
      <c r="AF94">
        <f t="shared" si="10"/>
        <v>8.25374638739158</v>
      </c>
      <c r="AI94">
        <v>0.433551</v>
      </c>
      <c r="AJ94">
        <v>5.67312265454353</v>
      </c>
    </row>
    <row r="95" spans="1:36">
      <c r="A95">
        <f t="shared" si="11"/>
        <v>94</v>
      </c>
      <c r="B95" t="s">
        <v>122</v>
      </c>
      <c r="C95">
        <v>15297700</v>
      </c>
      <c r="E95">
        <v>7.654</v>
      </c>
      <c r="F95">
        <v>1.99865429840606</v>
      </c>
      <c r="G95">
        <f t="shared" si="6"/>
        <v>20.0286272775564</v>
      </c>
      <c r="J95">
        <v>0.558078</v>
      </c>
      <c r="K95">
        <v>27.4114012736571</v>
      </c>
      <c r="L95">
        <f t="shared" si="7"/>
        <v>1.46035226728561</v>
      </c>
      <c r="O95">
        <v>5.0987</v>
      </c>
      <c r="P95">
        <v>3.00031380547983</v>
      </c>
      <c r="Q95">
        <f t="shared" si="8"/>
        <v>13.3420383982331</v>
      </c>
      <c r="T95">
        <v>0.002681</v>
      </c>
      <c r="U95">
        <v>5.70596792241701</v>
      </c>
      <c r="V95">
        <f t="shared" si="9"/>
        <v>7.01551472839412</v>
      </c>
      <c r="Y95">
        <v>26410.571543</v>
      </c>
      <c r="Z95">
        <v>26.410571543</v>
      </c>
      <c r="AA95">
        <v>1.51569237849647</v>
      </c>
      <c r="AD95">
        <v>0.00261807</v>
      </c>
      <c r="AE95">
        <v>5.84312107774047</v>
      </c>
      <c r="AF95">
        <f t="shared" si="10"/>
        <v>6.85084246362059</v>
      </c>
      <c r="AI95">
        <v>0.382153</v>
      </c>
      <c r="AJ95">
        <v>40.0303019994609</v>
      </c>
    </row>
    <row r="96" spans="1:36">
      <c r="A96">
        <f t="shared" si="11"/>
        <v>95</v>
      </c>
      <c r="B96" t="s">
        <v>123</v>
      </c>
      <c r="C96">
        <v>15919468</v>
      </c>
      <c r="E96">
        <v>8.684</v>
      </c>
      <c r="F96">
        <v>1.83319530170428</v>
      </c>
      <c r="G96">
        <f t="shared" si="6"/>
        <v>14.8715182340501</v>
      </c>
      <c r="J96">
        <v>0.604174</v>
      </c>
      <c r="K96">
        <v>26.3491444517639</v>
      </c>
      <c r="L96">
        <f t="shared" si="7"/>
        <v>1.03465967958763</v>
      </c>
      <c r="O96">
        <v>2.6579</v>
      </c>
      <c r="P96">
        <v>5.98949095150307</v>
      </c>
      <c r="Q96">
        <f t="shared" si="8"/>
        <v>4.55170524116554</v>
      </c>
      <c r="T96">
        <v>0.002652</v>
      </c>
      <c r="U96">
        <v>6.00281598793364</v>
      </c>
      <c r="V96">
        <f t="shared" si="9"/>
        <v>4.54160137686557</v>
      </c>
      <c r="Y96">
        <v>26484.45956</v>
      </c>
      <c r="Z96">
        <v>26.48445956</v>
      </c>
      <c r="AA96">
        <v>1.02937336871488</v>
      </c>
      <c r="AD96">
        <v>0.00240228</v>
      </c>
      <c r="AE96">
        <v>6.62681619128495</v>
      </c>
      <c r="AF96">
        <f t="shared" si="10"/>
        <v>4.11395103907113</v>
      </c>
      <c r="AI96">
        <v>0.583935</v>
      </c>
      <c r="AJ96">
        <v>27.2623973558701</v>
      </c>
    </row>
    <row r="97" spans="1:36">
      <c r="A97">
        <f t="shared" si="11"/>
        <v>96</v>
      </c>
      <c r="B97" t="s">
        <v>124</v>
      </c>
      <c r="C97">
        <v>2339364</v>
      </c>
      <c r="E97">
        <v>6.917</v>
      </c>
      <c r="F97">
        <v>0.33820500216857</v>
      </c>
      <c r="G97">
        <f t="shared" si="6"/>
        <v>10.2791891373774</v>
      </c>
      <c r="J97">
        <v>0.555955</v>
      </c>
      <c r="K97">
        <v>4.20782977039509</v>
      </c>
      <c r="L97">
        <f t="shared" si="7"/>
        <v>0.826191498752439</v>
      </c>
      <c r="O97">
        <v>3.442</v>
      </c>
      <c r="P97">
        <v>0.679652527600232</v>
      </c>
      <c r="Q97">
        <f t="shared" si="8"/>
        <v>5.11507431124084</v>
      </c>
      <c r="T97">
        <v>0.001979</v>
      </c>
      <c r="U97">
        <v>1.18209398686205</v>
      </c>
      <c r="V97">
        <f t="shared" si="9"/>
        <v>2.94094481753214</v>
      </c>
      <c r="Y97">
        <v>2730.329944</v>
      </c>
      <c r="Z97">
        <v>2.730329944</v>
      </c>
      <c r="AA97">
        <v>1.27327951412522</v>
      </c>
      <c r="AD97">
        <v>0.00343336</v>
      </c>
      <c r="AE97">
        <v>0.681362863201063</v>
      </c>
      <c r="AF97">
        <f t="shared" si="10"/>
        <v>5.10223461279541</v>
      </c>
      <c r="AI97">
        <v>0.672913</v>
      </c>
      <c r="AJ97">
        <v>3.47647318449785</v>
      </c>
    </row>
    <row r="98" spans="1:36">
      <c r="A98">
        <f t="shared" si="11"/>
        <v>97</v>
      </c>
      <c r="B98" t="s">
        <v>125</v>
      </c>
      <c r="C98">
        <v>2339364</v>
      </c>
      <c r="E98">
        <v>7.975</v>
      </c>
      <c r="F98">
        <v>0.293337178683386</v>
      </c>
      <c r="G98">
        <f t="shared" si="6"/>
        <v>12.1498260175384</v>
      </c>
      <c r="J98">
        <v>0.479087</v>
      </c>
      <c r="K98">
        <v>4.88296280216328</v>
      </c>
      <c r="L98">
        <f t="shared" si="7"/>
        <v>0.729883849186762</v>
      </c>
      <c r="O98">
        <v>3.5098</v>
      </c>
      <c r="P98">
        <v>0.666523448629552</v>
      </c>
      <c r="Q98">
        <f t="shared" si="8"/>
        <v>5.34714223904154</v>
      </c>
      <c r="T98">
        <v>0.001917</v>
      </c>
      <c r="U98">
        <v>1.2203255086072</v>
      </c>
      <c r="V98">
        <f t="shared" si="9"/>
        <v>2.92052871167663</v>
      </c>
      <c r="Y98">
        <v>2488.070099</v>
      </c>
      <c r="Z98">
        <v>2.488070099</v>
      </c>
      <c r="AA98">
        <v>1.43243379152024</v>
      </c>
      <c r="AD98">
        <v>0.00404696</v>
      </c>
      <c r="AE98">
        <v>0.578054638543499</v>
      </c>
      <c r="AF98">
        <f t="shared" si="10"/>
        <v>6.16549967397332</v>
      </c>
      <c r="AI98">
        <v>0.656388</v>
      </c>
      <c r="AJ98">
        <v>3.56399568547871</v>
      </c>
    </row>
    <row r="99" spans="1:36">
      <c r="A99">
        <f t="shared" si="11"/>
        <v>98</v>
      </c>
      <c r="B99" t="s">
        <v>126</v>
      </c>
      <c r="C99">
        <v>115027306</v>
      </c>
      <c r="E99">
        <v>51.68</v>
      </c>
      <c r="F99">
        <v>2.22576056501548</v>
      </c>
      <c r="G99">
        <f t="shared" si="6"/>
        <v>6.76388441715158</v>
      </c>
      <c r="J99">
        <v>10.539712</v>
      </c>
      <c r="K99">
        <v>10.9137048526563</v>
      </c>
      <c r="L99">
        <f t="shared" si="7"/>
        <v>1.3794387337087</v>
      </c>
      <c r="O99">
        <v>36.6483</v>
      </c>
      <c r="P99">
        <v>3.13868053907002</v>
      </c>
      <c r="Q99">
        <f t="shared" si="8"/>
        <v>4.79653377099645</v>
      </c>
      <c r="T99">
        <v>0.020239</v>
      </c>
      <c r="U99">
        <v>5.68344809526162</v>
      </c>
      <c r="V99">
        <f t="shared" si="9"/>
        <v>2.64888267644603</v>
      </c>
      <c r="Y99">
        <v>27365.807734</v>
      </c>
      <c r="Z99">
        <v>27.365807734</v>
      </c>
      <c r="AA99">
        <v>0.550131293340713</v>
      </c>
      <c r="AD99">
        <v>0.00123202</v>
      </c>
      <c r="AE99">
        <v>93.3648041427899</v>
      </c>
      <c r="AF99">
        <f t="shared" si="10"/>
        <v>0.161246921045261</v>
      </c>
      <c r="AI99">
        <v>7.64058</v>
      </c>
      <c r="AJ99">
        <v>15.0547872020187</v>
      </c>
    </row>
    <row r="100" spans="1:36">
      <c r="A100">
        <f t="shared" si="11"/>
        <v>99</v>
      </c>
      <c r="B100" t="s">
        <v>127</v>
      </c>
      <c r="C100">
        <v>13447552</v>
      </c>
      <c r="E100">
        <v>31.211</v>
      </c>
      <c r="F100">
        <v>0.430859376501874</v>
      </c>
      <c r="G100">
        <f t="shared" si="6"/>
        <v>14.7659801959588</v>
      </c>
      <c r="J100">
        <v>2.528995</v>
      </c>
      <c r="K100">
        <v>5.31735017269706</v>
      </c>
      <c r="L100">
        <f t="shared" si="7"/>
        <v>1.19647207989743</v>
      </c>
      <c r="O100">
        <v>7.8481</v>
      </c>
      <c r="P100">
        <v>1.71347867636753</v>
      </c>
      <c r="Q100">
        <f t="shared" si="8"/>
        <v>3.71295021549787</v>
      </c>
      <c r="T100">
        <v>0.004641</v>
      </c>
      <c r="U100">
        <v>2.89755483731954</v>
      </c>
      <c r="V100">
        <f t="shared" si="9"/>
        <v>2.19566544133301</v>
      </c>
      <c r="Y100">
        <v>5603.332745</v>
      </c>
      <c r="Z100">
        <v>5.603332745</v>
      </c>
      <c r="AA100">
        <v>1.13540660713873</v>
      </c>
      <c r="AD100">
        <v>0.00121225</v>
      </c>
      <c r="AE100">
        <v>11.0930517632502</v>
      </c>
      <c r="AF100">
        <f t="shared" si="10"/>
        <v>0.573517653793565</v>
      </c>
      <c r="AI100">
        <v>2.11371</v>
      </c>
      <c r="AJ100">
        <v>6.36206102066982</v>
      </c>
    </row>
    <row r="101" spans="1:36">
      <c r="A101">
        <f t="shared" si="11"/>
        <v>100</v>
      </c>
      <c r="B101" t="s">
        <v>128</v>
      </c>
      <c r="C101">
        <v>1644146</v>
      </c>
      <c r="E101">
        <v>3.678</v>
      </c>
      <c r="F101">
        <v>0.447021750951604</v>
      </c>
      <c r="G101">
        <f t="shared" si="6"/>
        <v>3.59077995489559</v>
      </c>
      <c r="J101">
        <v>0.428061</v>
      </c>
      <c r="K101">
        <v>3.8409151966659</v>
      </c>
      <c r="L101">
        <f t="shared" si="7"/>
        <v>0.417909966903904</v>
      </c>
      <c r="O101">
        <v>3.2583</v>
      </c>
      <c r="P101">
        <v>0.504602400024553</v>
      </c>
      <c r="Q101">
        <f t="shared" si="8"/>
        <v>3.18103271534429</v>
      </c>
      <c r="T101">
        <v>0.001842</v>
      </c>
      <c r="U101">
        <v>0.892587404994571</v>
      </c>
      <c r="V101">
        <f t="shared" si="9"/>
        <v>1.79831883548605</v>
      </c>
      <c r="Y101">
        <v>1613.965442</v>
      </c>
      <c r="Z101">
        <v>1.613965442</v>
      </c>
      <c r="AA101">
        <v>0.994542200810859</v>
      </c>
      <c r="AD101">
        <v>0.00225209</v>
      </c>
      <c r="AE101">
        <v>0.730053417048164</v>
      </c>
      <c r="AF101">
        <f t="shared" si="10"/>
        <v>2.19868396645482</v>
      </c>
      <c r="AI101">
        <v>1.02429</v>
      </c>
      <c r="AJ101">
        <v>1.60515674271935</v>
      </c>
    </row>
    <row r="102" spans="1:36">
      <c r="A102">
        <f t="shared" si="11"/>
        <v>101</v>
      </c>
      <c r="B102" t="s">
        <v>129</v>
      </c>
      <c r="C102">
        <v>1644146</v>
      </c>
      <c r="E102">
        <v>3.369</v>
      </c>
      <c r="F102">
        <v>0.48802196497477</v>
      </c>
      <c r="G102">
        <f t="shared" si="6"/>
        <v>4.09247114072926</v>
      </c>
      <c r="J102">
        <v>0.459169</v>
      </c>
      <c r="K102">
        <v>3.5806990454495</v>
      </c>
      <c r="L102">
        <f t="shared" si="7"/>
        <v>0.557772597571241</v>
      </c>
      <c r="O102">
        <v>3.1509</v>
      </c>
      <c r="P102">
        <v>0.521802024818306</v>
      </c>
      <c r="Q102">
        <f t="shared" si="8"/>
        <v>3.82753556465533</v>
      </c>
      <c r="T102">
        <v>0.002031</v>
      </c>
      <c r="U102">
        <v>0.809525356967011</v>
      </c>
      <c r="V102">
        <f t="shared" si="9"/>
        <v>2.46714422286172</v>
      </c>
      <c r="Y102">
        <v>2058.821439</v>
      </c>
      <c r="Z102">
        <v>2.058821439</v>
      </c>
      <c r="AA102">
        <v>0.970077234415874</v>
      </c>
      <c r="AD102">
        <v>0.00215845</v>
      </c>
      <c r="AE102">
        <v>0.761725312145289</v>
      </c>
      <c r="AF102">
        <f t="shared" si="10"/>
        <v>2.62196329287832</v>
      </c>
      <c r="AI102">
        <v>0.823219</v>
      </c>
      <c r="AJ102">
        <v>1.99721580770123</v>
      </c>
    </row>
    <row r="103" spans="1:36">
      <c r="A103">
        <f t="shared" si="11"/>
        <v>102</v>
      </c>
      <c r="B103" t="s">
        <v>130</v>
      </c>
      <c r="C103">
        <v>5556240</v>
      </c>
      <c r="E103">
        <v>6.341</v>
      </c>
      <c r="F103">
        <v>0.876240340640277</v>
      </c>
      <c r="G103">
        <f t="shared" si="6"/>
        <v>18.6735066495471</v>
      </c>
      <c r="J103">
        <v>0.291576</v>
      </c>
      <c r="K103">
        <v>19.055889373611</v>
      </c>
      <c r="L103">
        <f t="shared" si="7"/>
        <v>0.858657368687641</v>
      </c>
      <c r="O103">
        <v>3.1373</v>
      </c>
      <c r="P103">
        <v>1.77102604150065</v>
      </c>
      <c r="Q103">
        <f t="shared" si="8"/>
        <v>9.23898319060465</v>
      </c>
      <c r="T103">
        <v>0.002357</v>
      </c>
      <c r="U103">
        <v>2.35733559609673</v>
      </c>
      <c r="V103">
        <f t="shared" si="9"/>
        <v>6.94109054927968</v>
      </c>
      <c r="Y103">
        <v>14405.037474</v>
      </c>
      <c r="Z103">
        <v>14.405037474</v>
      </c>
      <c r="AA103">
        <v>1.13588596052462</v>
      </c>
      <c r="AD103">
        <v>0.00659681</v>
      </c>
      <c r="AE103">
        <v>0.842261638579859</v>
      </c>
      <c r="AF103">
        <f t="shared" si="10"/>
        <v>19.4268373128526</v>
      </c>
      <c r="AI103">
        <v>0.339572</v>
      </c>
      <c r="AJ103">
        <v>16.3624798275476</v>
      </c>
    </row>
    <row r="104" spans="1:36">
      <c r="A104">
        <f t="shared" si="11"/>
        <v>103</v>
      </c>
      <c r="B104" t="s">
        <v>131</v>
      </c>
      <c r="C104">
        <v>9566300</v>
      </c>
      <c r="E104">
        <v>5.664</v>
      </c>
      <c r="F104">
        <v>1.68896539548023</v>
      </c>
      <c r="G104">
        <f t="shared" si="6"/>
        <v>11.5057874273271</v>
      </c>
      <c r="J104">
        <v>0.674379</v>
      </c>
      <c r="K104">
        <v>14.1853468153664</v>
      </c>
      <c r="L104">
        <f t="shared" si="7"/>
        <v>1.36992609806734</v>
      </c>
      <c r="O104">
        <v>3.6338</v>
      </c>
      <c r="P104">
        <v>2.63258847487479</v>
      </c>
      <c r="Q104">
        <f t="shared" si="8"/>
        <v>7.38166143245429</v>
      </c>
      <c r="T104">
        <v>0.004257</v>
      </c>
      <c r="U104">
        <v>2.24719285882077</v>
      </c>
      <c r="V104">
        <f t="shared" si="9"/>
        <v>8.64762307170397</v>
      </c>
      <c r="Y104">
        <v>11247.773176</v>
      </c>
      <c r="Z104">
        <v>11.247773176</v>
      </c>
      <c r="AA104">
        <v>1.72770881030673</v>
      </c>
      <c r="AD104">
        <v>0.00261031</v>
      </c>
      <c r="AE104">
        <v>3.66481375775291</v>
      </c>
      <c r="AF104">
        <f t="shared" si="10"/>
        <v>5.30255508111338</v>
      </c>
      <c r="AI104">
        <v>0.492274</v>
      </c>
      <c r="AJ104">
        <v>19.4328768125069</v>
      </c>
    </row>
    <row r="105" spans="1:36">
      <c r="A105">
        <f t="shared" si="11"/>
        <v>104</v>
      </c>
      <c r="B105" t="s">
        <v>132</v>
      </c>
      <c r="C105">
        <v>22590686</v>
      </c>
      <c r="E105">
        <v>31.186</v>
      </c>
      <c r="F105">
        <v>0.724385493490669</v>
      </c>
      <c r="G105">
        <f t="shared" si="6"/>
        <v>12.7725103925624</v>
      </c>
      <c r="J105">
        <v>2.60177</v>
      </c>
      <c r="K105">
        <v>8.68281439174101</v>
      </c>
      <c r="L105">
        <f t="shared" si="7"/>
        <v>1.06557860463211</v>
      </c>
      <c r="O105">
        <v>7.0898</v>
      </c>
      <c r="P105">
        <v>3.18636435442467</v>
      </c>
      <c r="Q105">
        <f t="shared" si="8"/>
        <v>2.90369217537321</v>
      </c>
      <c r="T105">
        <v>0.002656</v>
      </c>
      <c r="U105">
        <v>8.50552936746988</v>
      </c>
      <c r="V105">
        <f t="shared" si="9"/>
        <v>1.08778899514673</v>
      </c>
      <c r="Y105">
        <v>10788.762402</v>
      </c>
      <c r="Z105">
        <v>10.788762402</v>
      </c>
      <c r="AA105">
        <v>0.857579479377158</v>
      </c>
      <c r="AD105">
        <v>0.0064013</v>
      </c>
      <c r="AE105">
        <v>3.52907784356303</v>
      </c>
      <c r="AF105">
        <f t="shared" si="10"/>
        <v>2.62171072840087</v>
      </c>
      <c r="AI105">
        <v>2.44165</v>
      </c>
      <c r="AJ105">
        <v>9.25222124383102</v>
      </c>
    </row>
    <row r="106" spans="1:36">
      <c r="A106">
        <f t="shared" si="11"/>
        <v>105</v>
      </c>
      <c r="B106" t="s">
        <v>133</v>
      </c>
      <c r="C106">
        <v>2329272</v>
      </c>
      <c r="E106">
        <v>4.045</v>
      </c>
      <c r="F106">
        <v>0.575839802224969</v>
      </c>
      <c r="G106">
        <f t="shared" si="6"/>
        <v>4.52370780761773</v>
      </c>
      <c r="J106">
        <v>0.584192</v>
      </c>
      <c r="K106">
        <v>3.98716860210342</v>
      </c>
      <c r="L106">
        <f t="shared" si="7"/>
        <v>0.653328531903044</v>
      </c>
      <c r="O106">
        <v>3.7475</v>
      </c>
      <c r="P106">
        <v>0.621553569046031</v>
      </c>
      <c r="Q106">
        <f t="shared" si="8"/>
        <v>4.19100000223669</v>
      </c>
      <c r="T106">
        <v>0.001858</v>
      </c>
      <c r="U106">
        <v>1.25364477933262</v>
      </c>
      <c r="V106">
        <f t="shared" si="9"/>
        <v>2.07788605848052</v>
      </c>
      <c r="Y106">
        <v>2945.519138</v>
      </c>
      <c r="Z106">
        <v>2.945519138</v>
      </c>
      <c r="AA106">
        <v>0.884370763596831</v>
      </c>
      <c r="AD106">
        <v>0.000651415</v>
      </c>
      <c r="AE106">
        <v>3.57571133609143</v>
      </c>
      <c r="AF106">
        <f t="shared" si="10"/>
        <v>0.728507075772386</v>
      </c>
      <c r="AI106">
        <v>0.894178</v>
      </c>
      <c r="AJ106">
        <v>2.60493100926214</v>
      </c>
    </row>
    <row r="107" spans="1:36">
      <c r="A107">
        <f t="shared" si="11"/>
        <v>106</v>
      </c>
      <c r="B107" t="s">
        <v>134</v>
      </c>
      <c r="C107">
        <v>26124212</v>
      </c>
      <c r="E107">
        <v>8.106</v>
      </c>
      <c r="F107">
        <v>3.22282408092771</v>
      </c>
      <c r="G107">
        <f t="shared" si="6"/>
        <v>12.087177988393</v>
      </c>
      <c r="J107">
        <v>1.072904</v>
      </c>
      <c r="K107">
        <v>24.3490675773415</v>
      </c>
      <c r="L107">
        <f t="shared" si="7"/>
        <v>1.59984969312346</v>
      </c>
      <c r="O107">
        <v>3.5106</v>
      </c>
      <c r="P107">
        <v>7.44152338631573</v>
      </c>
      <c r="Q107">
        <f t="shared" si="8"/>
        <v>5.2347948490072</v>
      </c>
      <c r="T107">
        <v>0.001821</v>
      </c>
      <c r="U107">
        <v>14.3460801757276</v>
      </c>
      <c r="V107">
        <f t="shared" si="9"/>
        <v>2.71536529939102</v>
      </c>
      <c r="Y107">
        <v>30402.749518</v>
      </c>
      <c r="Z107">
        <v>30.402749518</v>
      </c>
      <c r="AA107">
        <v>1.28129359709354</v>
      </c>
      <c r="AD107">
        <v>0.00710106</v>
      </c>
      <c r="AE107">
        <v>3.67891723207521</v>
      </c>
      <c r="AF107">
        <f t="shared" si="10"/>
        <v>10.5886721103205</v>
      </c>
      <c r="AI107">
        <v>0.670628</v>
      </c>
      <c r="AJ107">
        <v>38.9548482914522</v>
      </c>
    </row>
    <row r="108" spans="1:36">
      <c r="A108">
        <f t="shared" si="11"/>
        <v>107</v>
      </c>
      <c r="B108" t="s">
        <v>135</v>
      </c>
      <c r="C108">
        <v>26124212</v>
      </c>
      <c r="E108">
        <v>8.353</v>
      </c>
      <c r="F108">
        <v>3.12752448222196</v>
      </c>
      <c r="G108">
        <f t="shared" si="6"/>
        <v>9.36487471270809</v>
      </c>
      <c r="J108">
        <v>0.927829</v>
      </c>
      <c r="K108">
        <v>28.1562787970628</v>
      </c>
      <c r="L108">
        <f t="shared" si="7"/>
        <v>1.04022534895454</v>
      </c>
      <c r="O108">
        <v>4.1611</v>
      </c>
      <c r="P108">
        <v>6.27819855326716</v>
      </c>
      <c r="Q108">
        <f t="shared" si="8"/>
        <v>4.6651718145636</v>
      </c>
      <c r="T108">
        <v>0.00167</v>
      </c>
      <c r="U108">
        <v>15.6432407185629</v>
      </c>
      <c r="V108">
        <f t="shared" si="9"/>
        <v>1.87230225909524</v>
      </c>
      <c r="Y108">
        <v>29703.793994</v>
      </c>
      <c r="Z108">
        <v>29.703793994</v>
      </c>
      <c r="AA108">
        <v>0.986031445775987</v>
      </c>
      <c r="AD108">
        <v>0.00665621</v>
      </c>
      <c r="AE108">
        <v>3.9247878297109</v>
      </c>
      <c r="AF108">
        <f t="shared" si="10"/>
        <v>7.46253713773193</v>
      </c>
      <c r="AI108">
        <v>0.89195</v>
      </c>
      <c r="AJ108">
        <v>29.2888749369359</v>
      </c>
    </row>
    <row r="109" spans="1:36">
      <c r="A109">
        <f t="shared" si="11"/>
        <v>108</v>
      </c>
      <c r="B109" t="s">
        <v>136</v>
      </c>
      <c r="C109">
        <v>195901372</v>
      </c>
      <c r="E109">
        <v>86.661</v>
      </c>
      <c r="F109">
        <v>2.26054825123181</v>
      </c>
      <c r="G109">
        <f t="shared" si="6"/>
        <v>20.7101001797117</v>
      </c>
      <c r="J109">
        <v>12.37809</v>
      </c>
      <c r="K109">
        <v>15.8264620793677</v>
      </c>
      <c r="L109">
        <f t="shared" si="7"/>
        <v>2.95809515160784</v>
      </c>
      <c r="O109">
        <v>30.3837</v>
      </c>
      <c r="P109">
        <v>6.4475811701669</v>
      </c>
      <c r="Q109">
        <f t="shared" si="8"/>
        <v>7.26104557794517</v>
      </c>
      <c r="T109">
        <v>0.014284</v>
      </c>
      <c r="U109">
        <v>13.7147418090171</v>
      </c>
      <c r="V109">
        <f t="shared" si="9"/>
        <v>3.41356632126333</v>
      </c>
      <c r="Y109">
        <v>22613.467257</v>
      </c>
      <c r="Z109">
        <v>22.613467257</v>
      </c>
      <c r="AA109">
        <v>2.07027875080019</v>
      </c>
      <c r="AD109">
        <v>0.00105595</v>
      </c>
      <c r="AE109">
        <v>185.521447038212</v>
      </c>
      <c r="AF109">
        <f t="shared" si="10"/>
        <v>0.252349156884488</v>
      </c>
      <c r="AI109">
        <v>4.18448</v>
      </c>
      <c r="AJ109">
        <v>46.8161807440829</v>
      </c>
    </row>
    <row r="110" spans="1:36">
      <c r="A110">
        <f t="shared" si="11"/>
        <v>109</v>
      </c>
      <c r="B110" t="s">
        <v>137</v>
      </c>
      <c r="C110">
        <v>2397676</v>
      </c>
      <c r="E110">
        <v>5.744</v>
      </c>
      <c r="F110">
        <v>0.417422701949861</v>
      </c>
      <c r="G110">
        <f t="shared" si="6"/>
        <v>16.9902122889164</v>
      </c>
      <c r="J110">
        <v>0.521496</v>
      </c>
      <c r="K110">
        <v>4.59768818936291</v>
      </c>
      <c r="L110">
        <f t="shared" si="7"/>
        <v>1.54253616779609</v>
      </c>
      <c r="O110">
        <v>3.5054</v>
      </c>
      <c r="P110">
        <v>0.683994979174987</v>
      </c>
      <c r="Q110">
        <f t="shared" si="8"/>
        <v>10.3686438296601</v>
      </c>
      <c r="T110">
        <v>0.003313</v>
      </c>
      <c r="U110">
        <v>0.723717476607305</v>
      </c>
      <c r="V110">
        <f t="shared" si="9"/>
        <v>9.79954270772633</v>
      </c>
      <c r="Y110">
        <v>3196.555078</v>
      </c>
      <c r="Z110">
        <v>3.196555078</v>
      </c>
      <c r="AA110">
        <v>2.21866983276839</v>
      </c>
      <c r="AD110">
        <v>0.00288434</v>
      </c>
      <c r="AE110">
        <v>0.831273705596428</v>
      </c>
      <c r="AF110">
        <f t="shared" si="10"/>
        <v>8.5316067049814</v>
      </c>
      <c r="AI110">
        <v>0.338077</v>
      </c>
      <c r="AJ110">
        <v>7.09210032034122</v>
      </c>
    </row>
    <row r="111" spans="1:36">
      <c r="A111">
        <f t="shared" si="11"/>
        <v>110</v>
      </c>
      <c r="B111" t="s">
        <v>138</v>
      </c>
      <c r="C111">
        <v>5762866</v>
      </c>
      <c r="E111">
        <v>4.197</v>
      </c>
      <c r="F111">
        <v>1.37309173218966</v>
      </c>
      <c r="G111">
        <f t="shared" si="6"/>
        <v>11.0509311798455</v>
      </c>
      <c r="J111">
        <v>0.530352</v>
      </c>
      <c r="K111">
        <v>10.8661153347211</v>
      </c>
      <c r="L111">
        <f t="shared" si="7"/>
        <v>1.3964459025717</v>
      </c>
      <c r="O111">
        <v>4.0087</v>
      </c>
      <c r="P111">
        <v>1.43758974231047</v>
      </c>
      <c r="Q111">
        <f t="shared" si="8"/>
        <v>10.5551269527393</v>
      </c>
      <c r="T111">
        <v>0.003711</v>
      </c>
      <c r="U111">
        <v>1.55291457828079</v>
      </c>
      <c r="V111">
        <f t="shared" si="9"/>
        <v>9.77126652571042</v>
      </c>
      <c r="Y111">
        <v>8021.720753</v>
      </c>
      <c r="Z111">
        <v>8.021720753</v>
      </c>
      <c r="AA111">
        <v>1.89160688875488</v>
      </c>
      <c r="AD111">
        <v>0.0018671</v>
      </c>
      <c r="AE111">
        <v>3.08653312623855</v>
      </c>
      <c r="AF111">
        <f t="shared" si="10"/>
        <v>4.91617669904446</v>
      </c>
      <c r="AI111">
        <v>0.379787</v>
      </c>
      <c r="AJ111">
        <v>15.1739422360428</v>
      </c>
    </row>
    <row r="112" spans="1:36">
      <c r="A112">
        <f t="shared" si="11"/>
        <v>111</v>
      </c>
      <c r="B112" t="s">
        <v>139</v>
      </c>
      <c r="C112">
        <v>5762866</v>
      </c>
      <c r="E112">
        <v>3.995</v>
      </c>
      <c r="F112">
        <v>1.44251964956195</v>
      </c>
      <c r="G112">
        <f t="shared" si="6"/>
        <v>11.7987566266484</v>
      </c>
      <c r="J112">
        <v>0.460258</v>
      </c>
      <c r="K112">
        <v>12.520946947147</v>
      </c>
      <c r="L112">
        <f t="shared" si="7"/>
        <v>1.35931717833991</v>
      </c>
      <c r="O112">
        <v>3.1194</v>
      </c>
      <c r="P112">
        <v>1.84742771045714</v>
      </c>
      <c r="Q112">
        <f t="shared" si="8"/>
        <v>9.21277632569887</v>
      </c>
      <c r="T112">
        <v>0.003522</v>
      </c>
      <c r="U112">
        <v>1.63624815445769</v>
      </c>
      <c r="V112">
        <f t="shared" si="9"/>
        <v>10.4018074691003</v>
      </c>
      <c r="Y112">
        <v>7500.367575</v>
      </c>
      <c r="Z112">
        <v>7.500367575</v>
      </c>
      <c r="AA112">
        <v>2.26921388907258</v>
      </c>
      <c r="AD112">
        <v>0.00168911</v>
      </c>
      <c r="AE112">
        <v>3.41177661608776</v>
      </c>
      <c r="AF112">
        <f t="shared" si="10"/>
        <v>4.98858518288813</v>
      </c>
      <c r="AI112">
        <v>0.338595</v>
      </c>
      <c r="AJ112">
        <v>17.0199382743396</v>
      </c>
    </row>
    <row r="113" spans="1:36">
      <c r="A113">
        <f t="shared" si="11"/>
        <v>112</v>
      </c>
      <c r="B113" t="s">
        <v>140</v>
      </c>
      <c r="C113">
        <v>5762866</v>
      </c>
      <c r="E113">
        <v>4.553</v>
      </c>
      <c r="F113">
        <v>1.26572940918076</v>
      </c>
      <c r="G113">
        <f t="shared" si="6"/>
        <v>11.7487072035341</v>
      </c>
      <c r="J113">
        <v>0.462828</v>
      </c>
      <c r="K113">
        <v>12.4514203980744</v>
      </c>
      <c r="L113">
        <f t="shared" si="7"/>
        <v>1.1942962129579</v>
      </c>
      <c r="O113">
        <v>2.964</v>
      </c>
      <c r="P113">
        <v>1.94428677462888</v>
      </c>
      <c r="Q113">
        <f t="shared" si="8"/>
        <v>7.64840064820452</v>
      </c>
      <c r="T113">
        <v>0.003694</v>
      </c>
      <c r="U113">
        <v>1.56006118029237</v>
      </c>
      <c r="V113">
        <f t="shared" si="9"/>
        <v>9.53211605751263</v>
      </c>
      <c r="Y113">
        <v>8518.784311</v>
      </c>
      <c r="Z113">
        <v>8.518784311</v>
      </c>
      <c r="AA113">
        <v>1.74563455118414</v>
      </c>
      <c r="AD113">
        <v>0.00179471</v>
      </c>
      <c r="AE113">
        <v>3.21102907990706</v>
      </c>
      <c r="AF113">
        <f t="shared" si="10"/>
        <v>4.63112723594438</v>
      </c>
      <c r="AI113">
        <v>0.387532</v>
      </c>
      <c r="AJ113">
        <v>14.870684227367</v>
      </c>
    </row>
    <row r="114" spans="1:36">
      <c r="A114">
        <f t="shared" si="11"/>
        <v>113</v>
      </c>
      <c r="B114" t="s">
        <v>141</v>
      </c>
      <c r="C114">
        <v>2418468</v>
      </c>
      <c r="E114">
        <v>3.743</v>
      </c>
      <c r="F114">
        <v>0.64613091103393</v>
      </c>
      <c r="G114">
        <f t="shared" si="6"/>
        <v>4.86329376087354</v>
      </c>
      <c r="J114">
        <v>0.443377</v>
      </c>
      <c r="K114">
        <v>5.45465371455894</v>
      </c>
      <c r="L114">
        <f t="shared" si="7"/>
        <v>0.576081377989535</v>
      </c>
      <c r="O114">
        <v>3.3456</v>
      </c>
      <c r="P114">
        <v>0.722880200860832</v>
      </c>
      <c r="Q114">
        <f t="shared" si="8"/>
        <v>4.34695046924353</v>
      </c>
      <c r="T114">
        <v>0.003293</v>
      </c>
      <c r="U114">
        <v>0.734426966292135</v>
      </c>
      <c r="V114">
        <f t="shared" si="9"/>
        <v>4.27860709445807</v>
      </c>
      <c r="Y114">
        <v>3579.543971</v>
      </c>
      <c r="Z114">
        <v>3.579543971</v>
      </c>
      <c r="AA114">
        <v>0.877856077141858</v>
      </c>
      <c r="AD114">
        <v>0.00266276</v>
      </c>
      <c r="AE114">
        <v>0.908256095179438</v>
      </c>
      <c r="AF114">
        <f t="shared" si="10"/>
        <v>3.45973392858767</v>
      </c>
      <c r="AI114">
        <v>0.769643</v>
      </c>
      <c r="AJ114">
        <v>3.14232442833885</v>
      </c>
    </row>
    <row r="115" spans="1:36">
      <c r="A115">
        <f t="shared" si="11"/>
        <v>114</v>
      </c>
      <c r="B115" t="s">
        <v>142</v>
      </c>
      <c r="C115">
        <v>2418880</v>
      </c>
      <c r="E115">
        <v>3.424</v>
      </c>
      <c r="F115">
        <v>0.706448598130841</v>
      </c>
      <c r="G115">
        <f t="shared" si="6"/>
        <v>4.2936268983687</v>
      </c>
      <c r="J115">
        <v>0.380477</v>
      </c>
      <c r="K115">
        <v>6.35749335702289</v>
      </c>
      <c r="L115">
        <f t="shared" si="7"/>
        <v>0.477110479383945</v>
      </c>
      <c r="O115">
        <v>3.7939</v>
      </c>
      <c r="P115">
        <v>0.637570837396874</v>
      </c>
      <c r="Q115">
        <f t="shared" si="8"/>
        <v>4.75747403321291</v>
      </c>
      <c r="T115">
        <v>0.003223</v>
      </c>
      <c r="U115">
        <v>0.750505739993795</v>
      </c>
      <c r="V115">
        <f t="shared" si="9"/>
        <v>4.04157695486049</v>
      </c>
      <c r="Y115">
        <v>3244.36772</v>
      </c>
      <c r="Z115">
        <v>3.24436772</v>
      </c>
      <c r="AA115">
        <v>0.934920750367175</v>
      </c>
      <c r="AD115">
        <v>0.00271136</v>
      </c>
      <c r="AE115">
        <v>0.892127935796058</v>
      </c>
      <c r="AF115">
        <f t="shared" si="10"/>
        <v>3.39999072054935</v>
      </c>
      <c r="AI115">
        <v>0.797461</v>
      </c>
      <c r="AJ115">
        <v>3.03322670324944</v>
      </c>
    </row>
    <row r="116" spans="1:36">
      <c r="A116">
        <f t="shared" si="11"/>
        <v>115</v>
      </c>
      <c r="B116" t="s">
        <v>143</v>
      </c>
      <c r="C116">
        <v>3312964</v>
      </c>
      <c r="E116">
        <v>8.636</v>
      </c>
      <c r="F116">
        <v>0.383622510421491</v>
      </c>
      <c r="G116">
        <f t="shared" si="6"/>
        <v>6.82100008688166</v>
      </c>
      <c r="J116">
        <v>1.982657</v>
      </c>
      <c r="K116">
        <v>1.6709718322433</v>
      </c>
      <c r="L116">
        <f t="shared" si="7"/>
        <v>1.56596845405934</v>
      </c>
      <c r="O116">
        <v>4.3025</v>
      </c>
      <c r="P116">
        <v>0.770009064497385</v>
      </c>
      <c r="Q116">
        <f t="shared" si="8"/>
        <v>3.39825762781476</v>
      </c>
      <c r="T116">
        <v>0.002255</v>
      </c>
      <c r="U116">
        <v>1.46916363636364</v>
      </c>
      <c r="V116">
        <f t="shared" si="9"/>
        <v>1.78107401527537</v>
      </c>
      <c r="Y116">
        <v>2002.575177</v>
      </c>
      <c r="Z116">
        <v>2.002575177</v>
      </c>
      <c r="AA116">
        <v>1.30666214530569</v>
      </c>
      <c r="AD116">
        <v>0.00328186</v>
      </c>
      <c r="AE116">
        <v>1.0094775523636</v>
      </c>
      <c r="AF116">
        <f t="shared" si="10"/>
        <v>2.59212220300294</v>
      </c>
      <c r="AI116">
        <v>1.26609</v>
      </c>
      <c r="AJ116">
        <v>2.61668917691475</v>
      </c>
    </row>
    <row r="117" spans="1:36">
      <c r="A117">
        <f t="shared" si="11"/>
        <v>116</v>
      </c>
      <c r="B117" t="s">
        <v>144</v>
      </c>
      <c r="C117">
        <v>1068740</v>
      </c>
      <c r="E117">
        <v>2.286</v>
      </c>
      <c r="F117">
        <v>0.467515310586177</v>
      </c>
      <c r="G117">
        <f t="shared" si="6"/>
        <v>3.94240569527585</v>
      </c>
      <c r="J117">
        <v>0.574289</v>
      </c>
      <c r="K117">
        <v>1.86097940235665</v>
      </c>
      <c r="L117">
        <f t="shared" si="7"/>
        <v>0.990411296734154</v>
      </c>
      <c r="O117">
        <v>4.1621</v>
      </c>
      <c r="P117">
        <v>0.256779029816679</v>
      </c>
      <c r="Q117">
        <f t="shared" si="8"/>
        <v>7.17790321273299</v>
      </c>
      <c r="T117">
        <v>0.002083</v>
      </c>
      <c r="U117">
        <v>0.513077292366779</v>
      </c>
      <c r="V117">
        <f t="shared" si="9"/>
        <v>3.59231455085721</v>
      </c>
      <c r="Y117">
        <v>2528.092722</v>
      </c>
      <c r="Z117">
        <v>2.528092722</v>
      </c>
      <c r="AA117">
        <v>0.729061480634886</v>
      </c>
      <c r="AD117">
        <v>0.00194863</v>
      </c>
      <c r="AE117">
        <v>0.548457121156915</v>
      </c>
      <c r="AF117">
        <f t="shared" si="10"/>
        <v>3.36058180664277</v>
      </c>
      <c r="AI117">
        <v>0.579849</v>
      </c>
      <c r="AJ117">
        <v>1.8431350230836</v>
      </c>
    </row>
    <row r="118" spans="1:36">
      <c r="A118">
        <f t="shared" si="11"/>
        <v>117</v>
      </c>
      <c r="B118" t="s">
        <v>145</v>
      </c>
      <c r="C118">
        <v>26845174</v>
      </c>
      <c r="E118">
        <v>156.046</v>
      </c>
      <c r="F118">
        <v>0.17203372082591</v>
      </c>
      <c r="G118">
        <f t="shared" si="6"/>
        <v>57.4746596735224</v>
      </c>
      <c r="J118">
        <v>6.240937</v>
      </c>
      <c r="K118">
        <v>4.30146530881501</v>
      </c>
      <c r="L118">
        <f t="shared" si="7"/>
        <v>2.29865379515587</v>
      </c>
      <c r="O118">
        <v>15.0182</v>
      </c>
      <c r="P118">
        <v>1.78750942190143</v>
      </c>
      <c r="Q118">
        <f t="shared" si="8"/>
        <v>5.53148388237373</v>
      </c>
      <c r="T118">
        <v>0.008497</v>
      </c>
      <c r="U118">
        <v>3.15937083676592</v>
      </c>
      <c r="V118">
        <f t="shared" si="9"/>
        <v>3.12960398373504</v>
      </c>
      <c r="Y118">
        <v>7240.256137</v>
      </c>
      <c r="Z118">
        <v>7.240256137</v>
      </c>
      <c r="AA118">
        <v>1.36563947044778</v>
      </c>
      <c r="AD118">
        <v>0.00130308</v>
      </c>
      <c r="AE118">
        <v>20.6013245541333</v>
      </c>
      <c r="AF118">
        <f t="shared" si="10"/>
        <v>0.479948730037126</v>
      </c>
      <c r="AI118">
        <v>2.71504</v>
      </c>
      <c r="AJ118">
        <v>9.88757955683894</v>
      </c>
    </row>
    <row r="119" spans="1:36">
      <c r="A119">
        <f t="shared" si="11"/>
        <v>118</v>
      </c>
      <c r="B119" t="s">
        <v>146</v>
      </c>
      <c r="C119">
        <v>13973776</v>
      </c>
      <c r="E119">
        <v>7.037</v>
      </c>
      <c r="F119">
        <v>1.98575756714509</v>
      </c>
      <c r="G119">
        <f t="shared" si="6"/>
        <v>13.7322858001491</v>
      </c>
      <c r="J119">
        <v>0.764161</v>
      </c>
      <c r="K119">
        <v>18.2864291687223</v>
      </c>
      <c r="L119">
        <f t="shared" si="7"/>
        <v>1.4912146155077</v>
      </c>
      <c r="O119">
        <v>3.9394</v>
      </c>
      <c r="P119">
        <v>3.54718383510179</v>
      </c>
      <c r="Q119">
        <f t="shared" si="8"/>
        <v>7.68750414681076</v>
      </c>
      <c r="T119">
        <v>0.00372</v>
      </c>
      <c r="U119">
        <v>3.75639139784946</v>
      </c>
      <c r="V119">
        <f t="shared" si="9"/>
        <v>7.2593581322374</v>
      </c>
      <c r="Y119">
        <v>18848.20632</v>
      </c>
      <c r="Z119">
        <v>18.84820632</v>
      </c>
      <c r="AA119">
        <v>1.44676846055689</v>
      </c>
      <c r="AD119">
        <v>0.0135133</v>
      </c>
      <c r="AE119">
        <v>1.03407576239705</v>
      </c>
      <c r="AF119">
        <f t="shared" si="10"/>
        <v>26.3703989914955</v>
      </c>
      <c r="AI119">
        <v>0.512442</v>
      </c>
      <c r="AJ119">
        <v>27.2689904418451</v>
      </c>
    </row>
    <row r="120" spans="1:36">
      <c r="A120">
        <f t="shared" si="11"/>
        <v>119</v>
      </c>
      <c r="B120" t="s">
        <v>147</v>
      </c>
      <c r="C120">
        <v>7654280</v>
      </c>
      <c r="E120">
        <v>14.568</v>
      </c>
      <c r="F120">
        <v>0.525417353102691</v>
      </c>
      <c r="G120">
        <f t="shared" si="6"/>
        <v>12.6604499986964</v>
      </c>
      <c r="J120">
        <v>0.90513</v>
      </c>
      <c r="K120">
        <v>8.45655320230243</v>
      </c>
      <c r="L120">
        <f t="shared" si="7"/>
        <v>0.786611278646353</v>
      </c>
      <c r="O120">
        <v>4.3009</v>
      </c>
      <c r="P120">
        <v>1.77969262247437</v>
      </c>
      <c r="Q120">
        <f t="shared" si="8"/>
        <v>3.73773540632848</v>
      </c>
      <c r="T120">
        <v>0.003806</v>
      </c>
      <c r="U120">
        <v>2.01110877561745</v>
      </c>
      <c r="V120">
        <f t="shared" si="9"/>
        <v>3.307638158638</v>
      </c>
      <c r="Y120">
        <v>10316.907108</v>
      </c>
      <c r="Z120">
        <v>10.316907108</v>
      </c>
      <c r="AA120">
        <v>0.644768830209383</v>
      </c>
      <c r="AD120">
        <v>0.00943272</v>
      </c>
      <c r="AE120">
        <v>0.811460533123002</v>
      </c>
      <c r="AF120">
        <f t="shared" si="10"/>
        <v>8.19758923062215</v>
      </c>
      <c r="AI120">
        <v>1.15067</v>
      </c>
      <c r="AJ120">
        <v>6.65202012740403</v>
      </c>
    </row>
    <row r="121" spans="1:36">
      <c r="A121">
        <f t="shared" si="11"/>
        <v>120</v>
      </c>
      <c r="B121" t="s">
        <v>148</v>
      </c>
      <c r="C121">
        <v>7654280</v>
      </c>
      <c r="E121">
        <v>16</v>
      </c>
      <c r="F121">
        <v>0.4783925</v>
      </c>
      <c r="G121">
        <f t="shared" si="6"/>
        <v>19.5999887300065</v>
      </c>
      <c r="J121">
        <v>0.859866</v>
      </c>
      <c r="K121">
        <v>8.90171259242719</v>
      </c>
      <c r="L121">
        <f t="shared" si="7"/>
        <v>1.05333524433223</v>
      </c>
      <c r="O121">
        <v>4.1323</v>
      </c>
      <c r="P121">
        <v>1.85230501173681</v>
      </c>
      <c r="Q121">
        <f t="shared" si="8"/>
        <v>5.06206458931285</v>
      </c>
      <c r="T121">
        <v>0.003651</v>
      </c>
      <c r="U121">
        <v>2.09648863325116</v>
      </c>
      <c r="V121">
        <f t="shared" si="9"/>
        <v>4.47247242832836</v>
      </c>
      <c r="Y121">
        <v>10897.743324</v>
      </c>
      <c r="Z121">
        <v>10.897743324</v>
      </c>
      <c r="AA121">
        <v>0.860406354760611</v>
      </c>
      <c r="AD121">
        <v>0.00913809</v>
      </c>
      <c r="AE121">
        <v>0.83762361718915</v>
      </c>
      <c r="AF121">
        <f t="shared" si="10"/>
        <v>11.1941538133616</v>
      </c>
      <c r="AI121">
        <v>0.816327</v>
      </c>
      <c r="AJ121">
        <v>9.37648760851962</v>
      </c>
    </row>
    <row r="122" spans="1:36">
      <c r="A122">
        <f t="shared" si="11"/>
        <v>121</v>
      </c>
      <c r="B122" t="s">
        <v>149</v>
      </c>
      <c r="C122">
        <v>8255048</v>
      </c>
      <c r="E122">
        <v>17.735</v>
      </c>
      <c r="F122">
        <v>0.465466478714407</v>
      </c>
      <c r="G122">
        <f t="shared" si="6"/>
        <v>6.96230111216233</v>
      </c>
      <c r="J122">
        <v>2.157737</v>
      </c>
      <c r="K122">
        <v>3.82578970467671</v>
      </c>
      <c r="L122">
        <f t="shared" si="7"/>
        <v>0.847071593732947</v>
      </c>
      <c r="O122">
        <v>7.6383</v>
      </c>
      <c r="P122">
        <v>1.08074414463951</v>
      </c>
      <c r="Q122">
        <f t="shared" si="8"/>
        <v>2.99859851057399</v>
      </c>
      <c r="T122">
        <v>0.002643</v>
      </c>
      <c r="U122">
        <v>3.12336284525161</v>
      </c>
      <c r="V122">
        <f t="shared" si="9"/>
        <v>1.03757326413561</v>
      </c>
      <c r="Y122">
        <v>3565.293515</v>
      </c>
      <c r="Z122">
        <v>3.565293515</v>
      </c>
      <c r="AA122">
        <v>0.90896240906763</v>
      </c>
      <c r="AD122">
        <v>0.0050206</v>
      </c>
      <c r="AE122">
        <v>1.64423535035653</v>
      </c>
      <c r="AF122">
        <f t="shared" si="10"/>
        <v>1.97095737038186</v>
      </c>
      <c r="AI122">
        <v>2.54729</v>
      </c>
      <c r="AJ122">
        <v>3.2407177824276</v>
      </c>
    </row>
    <row r="123" spans="1:36">
      <c r="A123">
        <f t="shared" si="11"/>
        <v>122</v>
      </c>
      <c r="B123" t="s">
        <v>150</v>
      </c>
      <c r="C123">
        <v>22087302</v>
      </c>
      <c r="E123">
        <v>37.521</v>
      </c>
      <c r="F123">
        <v>0.588665067562165</v>
      </c>
      <c r="G123">
        <f t="shared" si="6"/>
        <v>7.25410739350163</v>
      </c>
      <c r="J123">
        <v>2.808168</v>
      </c>
      <c r="K123">
        <v>7.86537771244455</v>
      </c>
      <c r="L123">
        <f t="shared" si="7"/>
        <v>0.542916027051377</v>
      </c>
      <c r="O123">
        <v>8.9175</v>
      </c>
      <c r="P123">
        <v>2.47684911690496</v>
      </c>
      <c r="Q123">
        <f t="shared" si="8"/>
        <v>1.72406126386692</v>
      </c>
      <c r="T123">
        <v>0.005212</v>
      </c>
      <c r="U123">
        <v>4.23777858787414</v>
      </c>
      <c r="V123">
        <f t="shared" si="9"/>
        <v>1.00765991671145</v>
      </c>
      <c r="Y123">
        <v>6509.477457</v>
      </c>
      <c r="Z123">
        <v>6.509477457</v>
      </c>
      <c r="AA123">
        <v>0.656003442228195</v>
      </c>
      <c r="AD123">
        <v>0.012938</v>
      </c>
      <c r="AE123">
        <v>1.70716509506879</v>
      </c>
      <c r="AF123">
        <f t="shared" si="10"/>
        <v>2.50136300890499</v>
      </c>
      <c r="AI123">
        <v>5.17238</v>
      </c>
      <c r="AJ123">
        <v>4.27023961889884</v>
      </c>
    </row>
    <row r="124" spans="1:36">
      <c r="A124">
        <f t="shared" si="11"/>
        <v>123</v>
      </c>
      <c r="B124" t="s">
        <v>151</v>
      </c>
      <c r="C124">
        <v>4058450</v>
      </c>
      <c r="E124">
        <v>30.475</v>
      </c>
      <c r="F124">
        <v>0.133173092698934</v>
      </c>
      <c r="G124">
        <f t="shared" si="6"/>
        <v>25.7444561774022</v>
      </c>
      <c r="J124">
        <v>0.815739</v>
      </c>
      <c r="K124">
        <v>4.97518201287422</v>
      </c>
      <c r="L124">
        <f t="shared" si="7"/>
        <v>0.689114255543822</v>
      </c>
      <c r="O124">
        <v>4.2725</v>
      </c>
      <c r="P124">
        <v>0.949900526623757</v>
      </c>
      <c r="Q124">
        <f t="shared" si="8"/>
        <v>3.60929250263991</v>
      </c>
      <c r="T124">
        <v>0.002308</v>
      </c>
      <c r="U124">
        <v>1.75842720970537</v>
      </c>
      <c r="V124">
        <f t="shared" si="9"/>
        <v>1.94973600844773</v>
      </c>
      <c r="Y124">
        <v>3799.318822</v>
      </c>
      <c r="Z124">
        <v>3.799318822</v>
      </c>
      <c r="AA124">
        <v>0.902390404602067</v>
      </c>
      <c r="AD124">
        <v>0.00877801</v>
      </c>
      <c r="AE124">
        <v>0.462342831689643</v>
      </c>
      <c r="AF124">
        <f t="shared" si="10"/>
        <v>7.41542555438225</v>
      </c>
      <c r="AI124">
        <v>1.18375</v>
      </c>
      <c r="AJ124">
        <v>3.42846884899683</v>
      </c>
    </row>
    <row r="125" spans="1:36">
      <c r="A125">
        <f t="shared" si="11"/>
        <v>124</v>
      </c>
      <c r="B125" t="s">
        <v>152</v>
      </c>
      <c r="C125">
        <v>4058450</v>
      </c>
      <c r="E125">
        <v>32.721</v>
      </c>
      <c r="F125">
        <v>0.124031967238165</v>
      </c>
      <c r="G125">
        <f t="shared" si="6"/>
        <v>28.9915296285796</v>
      </c>
      <c r="J125">
        <v>0.7398</v>
      </c>
      <c r="K125">
        <v>5.48587456069208</v>
      </c>
      <c r="L125">
        <f t="shared" si="7"/>
        <v>0.655479160759853</v>
      </c>
      <c r="O125">
        <v>4.7392</v>
      </c>
      <c r="P125">
        <v>0.856357613099257</v>
      </c>
      <c r="Q125">
        <f t="shared" si="8"/>
        <v>4.19903600793876</v>
      </c>
      <c r="T125">
        <v>0.002664</v>
      </c>
      <c r="U125">
        <v>1.52344219219219</v>
      </c>
      <c r="V125">
        <f t="shared" si="9"/>
        <v>2.36036291465835</v>
      </c>
      <c r="Y125">
        <v>3799.346647</v>
      </c>
      <c r="Z125">
        <v>3.799346647</v>
      </c>
      <c r="AA125">
        <v>0.946446004319087</v>
      </c>
      <c r="AD125">
        <v>0.00813919</v>
      </c>
      <c r="AE125">
        <v>0.498630699123623</v>
      </c>
      <c r="AF125">
        <f t="shared" si="10"/>
        <v>7.21150233909838</v>
      </c>
      <c r="AI125">
        <v>1.12864</v>
      </c>
      <c r="AJ125">
        <v>3.59587645307627</v>
      </c>
    </row>
    <row r="126" spans="1:36">
      <c r="A126">
        <f t="shared" si="11"/>
        <v>125</v>
      </c>
      <c r="B126" t="s">
        <v>153</v>
      </c>
      <c r="C126">
        <v>3608342</v>
      </c>
      <c r="E126">
        <v>8.441</v>
      </c>
      <c r="F126">
        <v>0.427478023930814</v>
      </c>
      <c r="G126">
        <f t="shared" si="6"/>
        <v>12.3481713266714</v>
      </c>
      <c r="J126">
        <v>1.072855</v>
      </c>
      <c r="K126">
        <v>3.3633081823732</v>
      </c>
      <c r="L126">
        <f t="shared" si="7"/>
        <v>1.56945828085251</v>
      </c>
      <c r="O126">
        <v>5.0414</v>
      </c>
      <c r="P126">
        <v>0.715742055778157</v>
      </c>
      <c r="Q126">
        <f t="shared" si="8"/>
        <v>7.37496397657637</v>
      </c>
      <c r="T126">
        <v>0.002015</v>
      </c>
      <c r="U126">
        <v>1.79074044665012</v>
      </c>
      <c r="V126">
        <f t="shared" si="9"/>
        <v>2.94770349760015</v>
      </c>
      <c r="Y126">
        <v>3707.665811</v>
      </c>
      <c r="Z126">
        <v>3.707665811</v>
      </c>
      <c r="AA126">
        <v>1.42369138616108</v>
      </c>
      <c r="AD126">
        <v>0.00583388</v>
      </c>
      <c r="AE126">
        <v>0.618514950598915</v>
      </c>
      <c r="AF126">
        <f t="shared" si="10"/>
        <v>8.53426723601963</v>
      </c>
      <c r="AI126">
        <v>0.683583</v>
      </c>
      <c r="AJ126">
        <v>5.27857187788462</v>
      </c>
    </row>
    <row r="127" spans="1:36">
      <c r="A127">
        <f t="shared" si="11"/>
        <v>126</v>
      </c>
      <c r="B127" t="s">
        <v>154</v>
      </c>
      <c r="C127">
        <v>1040987838</v>
      </c>
      <c r="E127">
        <v>331.118</v>
      </c>
      <c r="F127">
        <v>3.14385759155346</v>
      </c>
      <c r="G127">
        <f t="shared" si="6"/>
        <v>5.39812909810009</v>
      </c>
      <c r="J127">
        <v>235.940029</v>
      </c>
      <c r="K127">
        <v>4.41208659002072</v>
      </c>
      <c r="L127">
        <f t="shared" si="7"/>
        <v>3.84646783307304</v>
      </c>
      <c r="O127">
        <v>423.6953</v>
      </c>
      <c r="P127">
        <v>2.4569256208412</v>
      </c>
      <c r="Q127">
        <f t="shared" si="8"/>
        <v>6.90739231228217</v>
      </c>
      <c r="T127">
        <v>0.16398</v>
      </c>
      <c r="U127">
        <v>6.34826099524332</v>
      </c>
      <c r="V127">
        <f t="shared" si="9"/>
        <v>2.67332253005409</v>
      </c>
      <c r="Y127">
        <v>10640.522952</v>
      </c>
      <c r="Z127">
        <v>10.640522952</v>
      </c>
      <c r="AA127">
        <v>1.59493562692403</v>
      </c>
      <c r="AD127">
        <v>0.435288</v>
      </c>
      <c r="AE127">
        <v>2.3914921569168</v>
      </c>
      <c r="AF127">
        <f t="shared" si="10"/>
        <v>7.09638503148059</v>
      </c>
      <c r="AI127">
        <v>61.3394</v>
      </c>
      <c r="AJ127">
        <v>16.9709491452476</v>
      </c>
    </row>
    <row r="128" spans="1:36">
      <c r="A128">
        <f t="shared" si="11"/>
        <v>127</v>
      </c>
      <c r="B128" t="s">
        <v>155</v>
      </c>
      <c r="C128">
        <v>1040988978</v>
      </c>
      <c r="E128">
        <v>577.973</v>
      </c>
      <c r="F128">
        <v>1.80110312765475</v>
      </c>
      <c r="G128">
        <f t="shared" si="6"/>
        <v>10.4384347395778</v>
      </c>
      <c r="J128">
        <v>217.209533</v>
      </c>
      <c r="K128">
        <v>4.79255658636309</v>
      </c>
      <c r="L128">
        <f t="shared" si="7"/>
        <v>3.92289524776187</v>
      </c>
      <c r="O128">
        <v>422.4128</v>
      </c>
      <c r="P128">
        <v>2.46438786419351</v>
      </c>
      <c r="Q128">
        <f t="shared" si="8"/>
        <v>7.62895229701444</v>
      </c>
      <c r="T128">
        <v>0.164792</v>
      </c>
      <c r="U128">
        <v>6.31698734161853</v>
      </c>
      <c r="V128">
        <f t="shared" si="9"/>
        <v>2.97621262170465</v>
      </c>
      <c r="Y128">
        <v>10588.731288</v>
      </c>
      <c r="Z128">
        <v>10.588731288</v>
      </c>
      <c r="AA128">
        <v>1.77553825344308</v>
      </c>
      <c r="AD128">
        <v>0.423705</v>
      </c>
      <c r="AE128">
        <v>2.45687206429001</v>
      </c>
      <c r="AF128">
        <f t="shared" si="10"/>
        <v>7.65228997086857</v>
      </c>
      <c r="AI128">
        <v>55.3697</v>
      </c>
      <c r="AJ128">
        <v>18.8006974572736</v>
      </c>
    </row>
    <row r="129" spans="1:36">
      <c r="A129">
        <f t="shared" si="11"/>
        <v>128</v>
      </c>
      <c r="B129" t="s">
        <v>156</v>
      </c>
      <c r="C129">
        <v>1040988978</v>
      </c>
      <c r="E129">
        <v>560.93</v>
      </c>
      <c r="F129">
        <v>1.85582689105593</v>
      </c>
      <c r="G129">
        <f t="shared" si="6"/>
        <v>9.07194252749009</v>
      </c>
      <c r="J129">
        <v>182.779092</v>
      </c>
      <c r="K129">
        <v>5.6953394756989</v>
      </c>
      <c r="L129">
        <f t="shared" si="7"/>
        <v>2.95609330549414</v>
      </c>
      <c r="O129">
        <v>419.1903</v>
      </c>
      <c r="P129">
        <v>2.48333269639111</v>
      </c>
      <c r="Q129">
        <f t="shared" si="8"/>
        <v>6.77958089187839</v>
      </c>
      <c r="T129">
        <v>0.164415</v>
      </c>
      <c r="U129">
        <v>6.33147205546939</v>
      </c>
      <c r="V129">
        <f t="shared" si="9"/>
        <v>2.65909013719588</v>
      </c>
      <c r="Y129">
        <v>10621.441825</v>
      </c>
      <c r="Z129">
        <v>10.621441825</v>
      </c>
      <c r="AA129">
        <v>1.5850912874185</v>
      </c>
      <c r="AD129">
        <v>0.446328</v>
      </c>
      <c r="AE129">
        <v>2.33234074044201</v>
      </c>
      <c r="AF129">
        <f t="shared" si="10"/>
        <v>7.21847996079654</v>
      </c>
      <c r="AI129">
        <v>61.8313</v>
      </c>
      <c r="AJ129">
        <v>16.83595489663</v>
      </c>
    </row>
    <row r="130" spans="1:36">
      <c r="A130">
        <f t="shared" si="11"/>
        <v>129</v>
      </c>
      <c r="B130" t="s">
        <v>157</v>
      </c>
      <c r="C130">
        <v>50814278</v>
      </c>
      <c r="E130">
        <v>508.253</v>
      </c>
      <c r="F130">
        <v>0.0999783139499422</v>
      </c>
      <c r="G130">
        <f t="shared" si="6"/>
        <v>113.281178607647</v>
      </c>
      <c r="J130">
        <v>8.537856</v>
      </c>
      <c r="K130">
        <v>5.9516438318941</v>
      </c>
      <c r="L130">
        <f t="shared" si="7"/>
        <v>1.90294674200126</v>
      </c>
      <c r="O130">
        <v>34.645</v>
      </c>
      <c r="P130">
        <v>1.46671317650455</v>
      </c>
      <c r="Q130">
        <f t="shared" si="8"/>
        <v>7.72179688631826</v>
      </c>
      <c r="T130">
        <v>0.01637</v>
      </c>
      <c r="U130">
        <v>3.10410983506414</v>
      </c>
      <c r="V130">
        <f t="shared" si="9"/>
        <v>3.64860196360313</v>
      </c>
      <c r="Y130">
        <v>6891.622741</v>
      </c>
      <c r="Z130">
        <v>6.891622741</v>
      </c>
      <c r="AA130">
        <v>1.64339541862551</v>
      </c>
      <c r="AD130">
        <v>0.0280862</v>
      </c>
      <c r="AE130">
        <v>1.80922581196459</v>
      </c>
      <c r="AF130">
        <f t="shared" si="10"/>
        <v>6.25994895969153</v>
      </c>
      <c r="AI130">
        <v>4.48665</v>
      </c>
      <c r="AJ130">
        <v>11.3256612394548</v>
      </c>
    </row>
    <row r="131" spans="1:36">
      <c r="A131">
        <f t="shared" si="11"/>
        <v>130</v>
      </c>
      <c r="B131" t="s">
        <v>158</v>
      </c>
      <c r="C131">
        <v>47813606</v>
      </c>
      <c r="E131">
        <v>26.939</v>
      </c>
      <c r="F131">
        <v>1.77488421990423</v>
      </c>
      <c r="G131">
        <f t="shared" ref="G131:G194" si="12">AJ131/F131</f>
        <v>31.5269978957815</v>
      </c>
      <c r="J131">
        <v>1.863207</v>
      </c>
      <c r="K131">
        <v>25.6619935412437</v>
      </c>
      <c r="L131">
        <f t="shared" ref="L131:L194" si="13">AJ131/K131</f>
        <v>2.18053094652382</v>
      </c>
      <c r="O131">
        <v>4.8513</v>
      </c>
      <c r="P131">
        <v>9.85583369406138</v>
      </c>
      <c r="Q131">
        <f t="shared" ref="Q131:Q194" si="14">AJ131/P131</f>
        <v>5.67752792946304</v>
      </c>
      <c r="T131">
        <v>0.002206</v>
      </c>
      <c r="U131">
        <v>21.6743454215775</v>
      </c>
      <c r="V131">
        <f t="shared" ref="V131:V194" si="15">AJ131/U131</f>
        <v>2.5817052362038</v>
      </c>
      <c r="Y131">
        <v>36489.114218</v>
      </c>
      <c r="Z131">
        <v>36.489114218</v>
      </c>
      <c r="AA131">
        <v>1.53351957879463</v>
      </c>
      <c r="AD131">
        <v>0.00759823</v>
      </c>
      <c r="AE131">
        <v>6.29272949094723</v>
      </c>
      <c r="AF131">
        <f t="shared" ref="AF131:AF194" si="16">AJ131/AE131</f>
        <v>8.89228929142374</v>
      </c>
      <c r="AI131">
        <v>0.854474</v>
      </c>
      <c r="AJ131">
        <v>55.9567710661764</v>
      </c>
    </row>
    <row r="132" spans="1:36">
      <c r="A132">
        <f t="shared" ref="A132:A195" si="17">A131+1</f>
        <v>131</v>
      </c>
      <c r="B132" t="s">
        <v>159</v>
      </c>
      <c r="C132">
        <v>158448284</v>
      </c>
      <c r="E132">
        <v>96.912</v>
      </c>
      <c r="F132">
        <v>1.63497073633812</v>
      </c>
      <c r="G132">
        <f t="shared" si="12"/>
        <v>3.78296510266219</v>
      </c>
      <c r="J132">
        <v>24.719164</v>
      </c>
      <c r="K132">
        <v>6.40993700272388</v>
      </c>
      <c r="L132">
        <f t="shared" si="13"/>
        <v>0.964913888672028</v>
      </c>
      <c r="O132">
        <v>40.6979</v>
      </c>
      <c r="P132">
        <v>3.89327911268149</v>
      </c>
      <c r="Q132">
        <f t="shared" si="14"/>
        <v>1.58864470294324</v>
      </c>
      <c r="T132">
        <v>0.027011</v>
      </c>
      <c r="U132">
        <v>5.86606508459517</v>
      </c>
      <c r="V132">
        <f t="shared" si="15"/>
        <v>1.05437582949489</v>
      </c>
      <c r="Y132">
        <v>11886.014063</v>
      </c>
      <c r="Z132">
        <v>11.886014063</v>
      </c>
      <c r="AA132">
        <v>0.520362604878151</v>
      </c>
      <c r="AD132">
        <v>0.00351967</v>
      </c>
      <c r="AE132">
        <v>45.017937477093</v>
      </c>
      <c r="AF132">
        <f t="shared" si="16"/>
        <v>0.137390506674994</v>
      </c>
      <c r="AI132">
        <v>25.618</v>
      </c>
      <c r="AJ132">
        <v>6.18503723944102</v>
      </c>
    </row>
    <row r="133" spans="1:36">
      <c r="A133">
        <f t="shared" si="17"/>
        <v>132</v>
      </c>
      <c r="B133" t="s">
        <v>160</v>
      </c>
      <c r="C133">
        <v>7134236</v>
      </c>
      <c r="E133">
        <v>6.761</v>
      </c>
      <c r="F133">
        <v>1.05520425972489</v>
      </c>
      <c r="G133">
        <f t="shared" si="12"/>
        <v>15.9121290857057</v>
      </c>
      <c r="J133">
        <v>0.591987</v>
      </c>
      <c r="K133">
        <v>12.0513389652138</v>
      </c>
      <c r="L133">
        <f t="shared" si="13"/>
        <v>1.39325152507907</v>
      </c>
      <c r="O133">
        <v>2.5579</v>
      </c>
      <c r="P133">
        <v>2.78909887016693</v>
      </c>
      <c r="Q133">
        <f t="shared" si="14"/>
        <v>6.02006137972587</v>
      </c>
      <c r="T133">
        <v>0.003141</v>
      </c>
      <c r="U133">
        <v>2.27132632919452</v>
      </c>
      <c r="V133">
        <f t="shared" si="15"/>
        <v>7.39239719837326</v>
      </c>
      <c r="Y133">
        <v>8350.310382</v>
      </c>
      <c r="Z133">
        <v>8.350310382</v>
      </c>
      <c r="AA133">
        <v>2.01076913604587</v>
      </c>
      <c r="AD133">
        <v>0.00279347</v>
      </c>
      <c r="AE133">
        <v>2.55389748234275</v>
      </c>
      <c r="AF133">
        <f t="shared" si="16"/>
        <v>6.57447940201838</v>
      </c>
      <c r="AI133">
        <v>0.424896</v>
      </c>
      <c r="AJ133">
        <v>16.790546392529</v>
      </c>
    </row>
    <row r="134" spans="1:36">
      <c r="A134">
        <f t="shared" si="17"/>
        <v>133</v>
      </c>
      <c r="B134" t="s">
        <v>161</v>
      </c>
      <c r="C134">
        <v>7134236</v>
      </c>
      <c r="E134">
        <v>7.499</v>
      </c>
      <c r="F134">
        <v>0.951358314441926</v>
      </c>
      <c r="G134">
        <f t="shared" si="12"/>
        <v>15.5097921203885</v>
      </c>
      <c r="J134">
        <v>0.602086</v>
      </c>
      <c r="K134">
        <v>11.8491976229309</v>
      </c>
      <c r="L134">
        <f t="shared" si="13"/>
        <v>1.24526319490549</v>
      </c>
      <c r="O134">
        <v>2.8881</v>
      </c>
      <c r="P134">
        <v>2.47021779024272</v>
      </c>
      <c r="Q134">
        <f t="shared" si="14"/>
        <v>5.97330719067798</v>
      </c>
      <c r="T134">
        <v>0.003257</v>
      </c>
      <c r="U134">
        <v>2.19043168560025</v>
      </c>
      <c r="V134">
        <f t="shared" si="15"/>
        <v>6.73628389600018</v>
      </c>
      <c r="Y134">
        <v>9926.669638</v>
      </c>
      <c r="Z134">
        <v>9.926669638</v>
      </c>
      <c r="AA134">
        <v>1.48643706571164</v>
      </c>
      <c r="AD134">
        <v>0.00254582</v>
      </c>
      <c r="AE134">
        <v>2.80233323644248</v>
      </c>
      <c r="AF134">
        <f t="shared" si="16"/>
        <v>5.26538724842347</v>
      </c>
      <c r="AI134">
        <v>0.483501</v>
      </c>
      <c r="AJ134">
        <v>14.7553696889975</v>
      </c>
    </row>
    <row r="135" spans="1:36">
      <c r="A135">
        <f t="shared" si="17"/>
        <v>134</v>
      </c>
      <c r="B135" t="s">
        <v>162</v>
      </c>
      <c r="C135">
        <v>2478256</v>
      </c>
      <c r="E135">
        <v>6.176</v>
      </c>
      <c r="F135">
        <v>0.401272020725389</v>
      </c>
      <c r="G135">
        <f t="shared" si="12"/>
        <v>7.22566515079014</v>
      </c>
      <c r="J135">
        <v>0.605075</v>
      </c>
      <c r="K135">
        <v>4.09578316737595</v>
      </c>
      <c r="L135">
        <f t="shared" si="13"/>
        <v>0.707912781916182</v>
      </c>
      <c r="O135">
        <v>3.4684</v>
      </c>
      <c r="P135">
        <v>0.714524276323377</v>
      </c>
      <c r="Q135">
        <f t="shared" si="14"/>
        <v>4.05788487840034</v>
      </c>
      <c r="T135">
        <v>0.003794</v>
      </c>
      <c r="U135">
        <v>0.653204006325778</v>
      </c>
      <c r="V135">
        <f t="shared" si="15"/>
        <v>4.43882344269718</v>
      </c>
      <c r="Y135">
        <v>3310.428428</v>
      </c>
      <c r="Z135">
        <v>3.310428428</v>
      </c>
      <c r="AA135">
        <v>0.87585559368045</v>
      </c>
      <c r="AD135">
        <v>0.00274444</v>
      </c>
      <c r="AE135">
        <v>0.903009721473233</v>
      </c>
      <c r="AF135">
        <f t="shared" si="16"/>
        <v>3.21088155220766</v>
      </c>
      <c r="AI135">
        <v>0.854731</v>
      </c>
      <c r="AJ135">
        <v>2.89945725614258</v>
      </c>
    </row>
    <row r="136" spans="1:36">
      <c r="A136">
        <f t="shared" si="17"/>
        <v>135</v>
      </c>
      <c r="B136" t="s">
        <v>163</v>
      </c>
      <c r="C136">
        <v>1572864</v>
      </c>
      <c r="E136">
        <v>3.102</v>
      </c>
      <c r="F136">
        <v>0.50704835589942</v>
      </c>
      <c r="G136">
        <f t="shared" si="12"/>
        <v>5.47685929838996</v>
      </c>
      <c r="J136">
        <v>0.57241</v>
      </c>
      <c r="K136">
        <v>2.74779266609598</v>
      </c>
      <c r="L136">
        <f t="shared" si="13"/>
        <v>1.01064120921709</v>
      </c>
      <c r="O136">
        <v>2.8947</v>
      </c>
      <c r="P136">
        <v>0.543359933671883</v>
      </c>
      <c r="Q136">
        <f t="shared" si="14"/>
        <v>5.11085255030607</v>
      </c>
      <c r="T136">
        <v>0.002053</v>
      </c>
      <c r="U136">
        <v>0.766129566488066</v>
      </c>
      <c r="V136">
        <f t="shared" si="15"/>
        <v>3.62475568652308</v>
      </c>
      <c r="Y136">
        <v>1969.010982</v>
      </c>
      <c r="Z136">
        <v>1.969010982</v>
      </c>
      <c r="AA136">
        <v>1.41036923009964</v>
      </c>
      <c r="AD136">
        <v>0.00173603</v>
      </c>
      <c r="AE136">
        <v>0.906011992880307</v>
      </c>
      <c r="AF136">
        <f t="shared" si="16"/>
        <v>3.06511671430817</v>
      </c>
      <c r="AI136">
        <v>0.566383</v>
      </c>
      <c r="AJ136">
        <v>2.77703250274108</v>
      </c>
    </row>
    <row r="137" spans="1:36">
      <c r="A137">
        <f t="shared" si="17"/>
        <v>136</v>
      </c>
      <c r="B137" t="s">
        <v>164</v>
      </c>
      <c r="C137">
        <v>1966544</v>
      </c>
      <c r="E137">
        <v>2.832</v>
      </c>
      <c r="F137">
        <v>0.694401129943503</v>
      </c>
      <c r="G137">
        <f t="shared" si="12"/>
        <v>5.86091502294077</v>
      </c>
      <c r="J137">
        <v>0.430247</v>
      </c>
      <c r="K137">
        <v>4.57073262567781</v>
      </c>
      <c r="L137">
        <f t="shared" si="13"/>
        <v>0.890409995012428</v>
      </c>
      <c r="O137">
        <v>4.6348</v>
      </c>
      <c r="P137">
        <v>0.424299646155174</v>
      </c>
      <c r="Q137">
        <f t="shared" si="14"/>
        <v>9.59186756649924</v>
      </c>
      <c r="T137">
        <v>0.002117</v>
      </c>
      <c r="U137">
        <v>0.928929617383089</v>
      </c>
      <c r="V137">
        <f t="shared" si="15"/>
        <v>4.38119954221949</v>
      </c>
      <c r="Y137">
        <v>5278.204631</v>
      </c>
      <c r="Z137">
        <v>5.278204631</v>
      </c>
      <c r="AA137">
        <v>0.771062567474171</v>
      </c>
      <c r="AD137">
        <v>0.00191599</v>
      </c>
      <c r="AE137">
        <v>1.02638531516344</v>
      </c>
      <c r="AF137">
        <f t="shared" si="16"/>
        <v>3.96520288658343</v>
      </c>
      <c r="AI137">
        <v>0.483201</v>
      </c>
      <c r="AJ137">
        <v>4.06982601443292</v>
      </c>
    </row>
    <row r="138" spans="1:36">
      <c r="A138">
        <f t="shared" si="17"/>
        <v>137</v>
      </c>
      <c r="B138" t="s">
        <v>165</v>
      </c>
      <c r="C138">
        <v>1966544</v>
      </c>
      <c r="E138">
        <v>2.596</v>
      </c>
      <c r="F138">
        <v>0.757528505392912</v>
      </c>
      <c r="G138">
        <f t="shared" si="12"/>
        <v>5.75185062913636</v>
      </c>
      <c r="J138">
        <v>0.453707</v>
      </c>
      <c r="K138">
        <v>4.33439201951921</v>
      </c>
      <c r="L138">
        <f t="shared" si="13"/>
        <v>1.00525997434267</v>
      </c>
      <c r="O138">
        <v>5.4123</v>
      </c>
      <c r="P138">
        <v>0.363347190658315</v>
      </c>
      <c r="Q138">
        <f t="shared" si="14"/>
        <v>11.991810924528</v>
      </c>
      <c r="T138">
        <v>0.003361</v>
      </c>
      <c r="U138">
        <v>0.585106813448378</v>
      </c>
      <c r="V138">
        <f t="shared" si="15"/>
        <v>7.44682972439419</v>
      </c>
      <c r="Y138">
        <v>5595.055564</v>
      </c>
      <c r="Z138">
        <v>5.595055564</v>
      </c>
      <c r="AA138">
        <v>0.778757379706507</v>
      </c>
      <c r="AD138">
        <v>0.0019468</v>
      </c>
      <c r="AE138">
        <v>1.01014177111157</v>
      </c>
      <c r="AF138">
        <f t="shared" si="16"/>
        <v>4.31344484006265</v>
      </c>
      <c r="AI138">
        <v>0.451333</v>
      </c>
      <c r="AJ138">
        <v>4.35719081033295</v>
      </c>
    </row>
    <row r="139" spans="1:36">
      <c r="A139">
        <f t="shared" si="17"/>
        <v>138</v>
      </c>
      <c r="B139" t="s">
        <v>166</v>
      </c>
      <c r="C139">
        <v>164773726</v>
      </c>
      <c r="E139">
        <v>71.563</v>
      </c>
      <c r="F139">
        <v>2.30249886114333</v>
      </c>
      <c r="G139">
        <f t="shared" si="12"/>
        <v>4.54685812313359</v>
      </c>
      <c r="J139">
        <v>14.082037</v>
      </c>
      <c r="K139">
        <v>11.70098658312</v>
      </c>
      <c r="L139">
        <f t="shared" si="13"/>
        <v>0.894722472838172</v>
      </c>
      <c r="O139">
        <v>41.1464</v>
      </c>
      <c r="P139">
        <v>4.00457211323469</v>
      </c>
      <c r="Q139">
        <f t="shared" si="14"/>
        <v>2.61429569858313</v>
      </c>
      <c r="T139">
        <v>0.025763</v>
      </c>
      <c r="U139">
        <v>6.39575072778791</v>
      </c>
      <c r="V139">
        <f t="shared" si="15"/>
        <v>1.6368892559883</v>
      </c>
      <c r="Y139">
        <v>32418.045731</v>
      </c>
      <c r="Z139">
        <v>32.418045731</v>
      </c>
      <c r="AA139">
        <v>0.32294160287041</v>
      </c>
      <c r="AD139">
        <v>0.00117357</v>
      </c>
      <c r="AE139">
        <v>140.403832749644</v>
      </c>
      <c r="AF139">
        <f t="shared" si="16"/>
        <v>0.0745644577165002</v>
      </c>
      <c r="AI139">
        <v>15.739</v>
      </c>
      <c r="AJ139">
        <v>10.4691356502954</v>
      </c>
    </row>
    <row r="140" spans="1:36">
      <c r="A140">
        <f t="shared" si="17"/>
        <v>139</v>
      </c>
      <c r="B140" t="s">
        <v>167</v>
      </c>
      <c r="C140">
        <v>26132542</v>
      </c>
      <c r="E140">
        <v>33.107</v>
      </c>
      <c r="F140">
        <v>0.789335850424382</v>
      </c>
      <c r="G140">
        <f t="shared" si="12"/>
        <v>15.9087195948218</v>
      </c>
      <c r="J140">
        <v>2.585309</v>
      </c>
      <c r="K140">
        <v>10.1080923015392</v>
      </c>
      <c r="L140">
        <f t="shared" si="13"/>
        <v>1.24230392203973</v>
      </c>
      <c r="O140">
        <v>6.5279</v>
      </c>
      <c r="P140">
        <v>4.00320807610411</v>
      </c>
      <c r="Q140">
        <f t="shared" si="14"/>
        <v>3.13681489241059</v>
      </c>
      <c r="T140">
        <v>0.003296</v>
      </c>
      <c r="U140">
        <v>7.9285625</v>
      </c>
      <c r="V140">
        <f t="shared" si="15"/>
        <v>1.5838082515641</v>
      </c>
      <c r="Y140">
        <v>11030.840446</v>
      </c>
      <c r="Z140">
        <v>11.030840446</v>
      </c>
      <c r="AA140">
        <v>1.13838313336272</v>
      </c>
      <c r="AD140">
        <v>0.00727074</v>
      </c>
      <c r="AE140">
        <v>3.59420664196492</v>
      </c>
      <c r="AF140">
        <f t="shared" si="16"/>
        <v>3.49376759920424</v>
      </c>
      <c r="AI140">
        <v>2.08106</v>
      </c>
      <c r="AJ140">
        <v>12.5573227105417</v>
      </c>
    </row>
    <row r="141" spans="1:36">
      <c r="A141">
        <f t="shared" si="17"/>
        <v>140</v>
      </c>
      <c r="B141" t="s">
        <v>168</v>
      </c>
      <c r="C141">
        <v>1985616</v>
      </c>
      <c r="E141">
        <v>2.723</v>
      </c>
      <c r="F141">
        <v>0.729201615864855</v>
      </c>
      <c r="G141">
        <f t="shared" si="12"/>
        <v>6.79540418055861</v>
      </c>
      <c r="J141">
        <v>0.427237</v>
      </c>
      <c r="K141">
        <v>4.64757499935633</v>
      </c>
      <c r="L141">
        <f t="shared" si="13"/>
        <v>1.0661946734812</v>
      </c>
      <c r="O141">
        <v>3.088</v>
      </c>
      <c r="P141">
        <v>0.6430103626943</v>
      </c>
      <c r="Q141">
        <f t="shared" si="14"/>
        <v>7.70628281658649</v>
      </c>
      <c r="T141">
        <v>0.001975</v>
      </c>
      <c r="U141">
        <v>1.00537518987342</v>
      </c>
      <c r="V141">
        <f t="shared" si="15"/>
        <v>4.9287268661782</v>
      </c>
      <c r="Y141">
        <v>5588.791337</v>
      </c>
      <c r="Z141">
        <v>5.588791337</v>
      </c>
      <c r="AA141">
        <v>0.886635304508977</v>
      </c>
      <c r="AD141">
        <v>0.00168742</v>
      </c>
      <c r="AE141">
        <v>1.17671711844117</v>
      </c>
      <c r="AF141">
        <f t="shared" si="16"/>
        <v>4.21105432330452</v>
      </c>
      <c r="AI141">
        <v>0.400712</v>
      </c>
      <c r="AJ141">
        <v>4.95521970891813</v>
      </c>
    </row>
    <row r="142" spans="1:36">
      <c r="A142">
        <f t="shared" si="17"/>
        <v>141</v>
      </c>
      <c r="B142" t="s">
        <v>169</v>
      </c>
      <c r="C142">
        <v>6493570</v>
      </c>
      <c r="E142">
        <v>2.596</v>
      </c>
      <c r="F142">
        <v>2.50137519260401</v>
      </c>
      <c r="G142">
        <f t="shared" si="12"/>
        <v>5.56157797992176</v>
      </c>
      <c r="J142">
        <v>0.449488</v>
      </c>
      <c r="K142">
        <v>14.4465925675435</v>
      </c>
      <c r="L142">
        <f t="shared" si="13"/>
        <v>0.962967088998103</v>
      </c>
      <c r="O142">
        <v>3.0914</v>
      </c>
      <c r="P142">
        <v>2.10052726919842</v>
      </c>
      <c r="Q142">
        <f t="shared" si="14"/>
        <v>6.62290530320884</v>
      </c>
      <c r="T142">
        <v>0.003322</v>
      </c>
      <c r="U142">
        <v>1.95471703792896</v>
      </c>
      <c r="V142">
        <f t="shared" si="15"/>
        <v>7.11693453362869</v>
      </c>
      <c r="Y142">
        <v>11570.272911</v>
      </c>
      <c r="Z142">
        <v>11.570272911</v>
      </c>
      <c r="AA142">
        <v>1.20235653019758</v>
      </c>
      <c r="AD142">
        <v>0.00228688</v>
      </c>
      <c r="AE142">
        <v>2.83948873574477</v>
      </c>
      <c r="AF142">
        <f t="shared" si="16"/>
        <v>4.89933029688886</v>
      </c>
      <c r="AI142">
        <v>0.466774</v>
      </c>
      <c r="AJ142">
        <v>13.911593190709</v>
      </c>
    </row>
    <row r="143" spans="1:36">
      <c r="A143">
        <f t="shared" si="17"/>
        <v>142</v>
      </c>
      <c r="B143" t="s">
        <v>170</v>
      </c>
      <c r="C143">
        <v>15759436</v>
      </c>
      <c r="E143">
        <v>40.178</v>
      </c>
      <c r="F143">
        <v>0.392240430086117</v>
      </c>
      <c r="G143">
        <f t="shared" si="12"/>
        <v>12.7970085742314</v>
      </c>
      <c r="J143">
        <v>5.697016</v>
      </c>
      <c r="K143">
        <v>2.76626149549167</v>
      </c>
      <c r="L143">
        <f t="shared" si="13"/>
        <v>1.81454434266349</v>
      </c>
      <c r="O143">
        <v>10.7729</v>
      </c>
      <c r="P143">
        <v>1.46287777664324</v>
      </c>
      <c r="Q143">
        <f t="shared" si="14"/>
        <v>3.43125326470551</v>
      </c>
      <c r="T143">
        <v>0.006554</v>
      </c>
      <c r="U143">
        <v>2.40455233445224</v>
      </c>
      <c r="V143">
        <f t="shared" si="15"/>
        <v>2.08750047776178</v>
      </c>
      <c r="Y143">
        <v>6480.108961</v>
      </c>
      <c r="Z143">
        <v>6.480108961</v>
      </c>
      <c r="AA143">
        <v>0.774601812590148</v>
      </c>
      <c r="AD143">
        <v>0.00146695</v>
      </c>
      <c r="AE143">
        <v>10.742994648761</v>
      </c>
      <c r="AF143">
        <f t="shared" si="16"/>
        <v>0.467235097017494</v>
      </c>
      <c r="AI143">
        <v>3.13964</v>
      </c>
      <c r="AJ143">
        <v>5.01950414697226</v>
      </c>
    </row>
    <row r="144" spans="1:36">
      <c r="A144">
        <f t="shared" si="17"/>
        <v>143</v>
      </c>
      <c r="B144" t="s">
        <v>171</v>
      </c>
      <c r="C144">
        <v>18918676</v>
      </c>
      <c r="E144">
        <v>46.913</v>
      </c>
      <c r="F144">
        <v>0.403271502568584</v>
      </c>
      <c r="G144">
        <f t="shared" si="12"/>
        <v>12.0036435931355</v>
      </c>
      <c r="J144">
        <v>4.784455</v>
      </c>
      <c r="K144">
        <v>3.95419666398785</v>
      </c>
      <c r="L144">
        <f t="shared" si="13"/>
        <v>1.22419995752553</v>
      </c>
      <c r="O144">
        <v>12.1876</v>
      </c>
      <c r="P144">
        <v>1.55228888378352</v>
      </c>
      <c r="Q144">
        <f t="shared" si="14"/>
        <v>3.11844492263761</v>
      </c>
      <c r="T144">
        <v>0.006099</v>
      </c>
      <c r="U144">
        <v>3.10193080832923</v>
      </c>
      <c r="V144">
        <f t="shared" si="15"/>
        <v>1.560552986902</v>
      </c>
      <c r="Y144">
        <v>6785.590869</v>
      </c>
      <c r="Z144">
        <v>6.785590869</v>
      </c>
      <c r="AA144">
        <v>0.713383326751456</v>
      </c>
      <c r="AD144">
        <v>0.00123983</v>
      </c>
      <c r="AE144">
        <v>15.2590887460378</v>
      </c>
      <c r="AF144">
        <f t="shared" si="16"/>
        <v>0.317235679578734</v>
      </c>
      <c r="AI144">
        <v>3.90823</v>
      </c>
      <c r="AJ144">
        <v>4.84072738810152</v>
      </c>
    </row>
    <row r="145" spans="1:36">
      <c r="A145">
        <f t="shared" si="17"/>
        <v>144</v>
      </c>
      <c r="B145" t="s">
        <v>172</v>
      </c>
      <c r="C145">
        <v>2662888</v>
      </c>
      <c r="E145">
        <v>7.462</v>
      </c>
      <c r="F145">
        <v>0.356859823103726</v>
      </c>
      <c r="G145">
        <f t="shared" si="12"/>
        <v>5.26609220954276</v>
      </c>
      <c r="J145">
        <v>1.118329</v>
      </c>
      <c r="K145">
        <v>2.38113113404016</v>
      </c>
      <c r="L145">
        <f t="shared" si="13"/>
        <v>0.78922857606617</v>
      </c>
      <c r="O145">
        <v>4.5402</v>
      </c>
      <c r="P145">
        <v>0.58651336945509</v>
      </c>
      <c r="Q145">
        <f t="shared" si="14"/>
        <v>3.20411576651917</v>
      </c>
      <c r="T145">
        <v>0.003056</v>
      </c>
      <c r="U145">
        <v>0.87136387434555</v>
      </c>
      <c r="V145">
        <f t="shared" si="15"/>
        <v>2.1566842391266</v>
      </c>
      <c r="Y145">
        <v>1841.226238</v>
      </c>
      <c r="Z145">
        <v>1.841226238</v>
      </c>
      <c r="AA145">
        <v>1.02065498283723</v>
      </c>
      <c r="AD145">
        <v>0.00328053</v>
      </c>
      <c r="AE145">
        <v>0.811724934690431</v>
      </c>
      <c r="AF145">
        <f t="shared" si="16"/>
        <v>2.31513983867212</v>
      </c>
      <c r="AI145">
        <v>1.41699</v>
      </c>
      <c r="AJ145">
        <v>1.87925673434534</v>
      </c>
    </row>
    <row r="146" spans="1:36">
      <c r="A146">
        <f t="shared" si="17"/>
        <v>145</v>
      </c>
      <c r="B146" t="s">
        <v>173</v>
      </c>
      <c r="C146">
        <v>2034652</v>
      </c>
      <c r="E146">
        <v>2.61</v>
      </c>
      <c r="F146">
        <v>0.779560153256705</v>
      </c>
      <c r="G146">
        <f t="shared" si="12"/>
        <v>5.68159554876376</v>
      </c>
      <c r="J146">
        <v>0.585736</v>
      </c>
      <c r="K146">
        <v>3.47366731769944</v>
      </c>
      <c r="L146">
        <f t="shared" si="13"/>
        <v>1.27506323768226</v>
      </c>
      <c r="O146">
        <v>2.922</v>
      </c>
      <c r="P146">
        <v>0.696321697467488</v>
      </c>
      <c r="Q146">
        <f t="shared" si="14"/>
        <v>6.3607747867769</v>
      </c>
      <c r="T146">
        <v>0.002041</v>
      </c>
      <c r="U146">
        <v>0.996889759921607</v>
      </c>
      <c r="V146">
        <f t="shared" si="15"/>
        <v>4.44296418200262</v>
      </c>
      <c r="Y146">
        <v>4227.274459</v>
      </c>
      <c r="Z146">
        <v>4.227274459</v>
      </c>
      <c r="AA146">
        <v>1.04775441947165</v>
      </c>
      <c r="AD146">
        <v>0.0013436</v>
      </c>
      <c r="AE146">
        <v>1.5143286692468</v>
      </c>
      <c r="AF146">
        <f t="shared" si="16"/>
        <v>2.92482443652068</v>
      </c>
      <c r="AI146">
        <v>0.459378</v>
      </c>
      <c r="AJ146">
        <v>4.42914549673689</v>
      </c>
    </row>
    <row r="147" spans="1:36">
      <c r="A147">
        <f t="shared" si="17"/>
        <v>146</v>
      </c>
      <c r="B147" t="s">
        <v>174</v>
      </c>
      <c r="C147">
        <v>2511780</v>
      </c>
      <c r="E147">
        <v>5.532</v>
      </c>
      <c r="F147">
        <v>0.454045553145336</v>
      </c>
      <c r="G147">
        <f t="shared" si="12"/>
        <v>11.1379560280261</v>
      </c>
      <c r="J147">
        <v>0.638648</v>
      </c>
      <c r="K147">
        <v>3.93296463779735</v>
      </c>
      <c r="L147">
        <f t="shared" si="13"/>
        <v>1.28583393734396</v>
      </c>
      <c r="O147">
        <v>3.2595</v>
      </c>
      <c r="P147">
        <v>0.770602853198343</v>
      </c>
      <c r="Q147">
        <f t="shared" si="14"/>
        <v>6.56257550132883</v>
      </c>
      <c r="T147">
        <v>0.00193</v>
      </c>
      <c r="U147">
        <v>1.30144041450777</v>
      </c>
      <c r="V147">
        <f t="shared" si="15"/>
        <v>3.88580172344367</v>
      </c>
      <c r="Y147">
        <v>3252.848728</v>
      </c>
      <c r="Z147">
        <v>3.252848728</v>
      </c>
      <c r="AA147">
        <v>1.55468016760893</v>
      </c>
      <c r="AD147">
        <v>0.00237246</v>
      </c>
      <c r="AE147">
        <v>1.05872385625047</v>
      </c>
      <c r="AF147">
        <f t="shared" si="16"/>
        <v>4.77663686880891</v>
      </c>
      <c r="AI147">
        <v>0.49668</v>
      </c>
      <c r="AJ147">
        <v>5.05713940565354</v>
      </c>
    </row>
    <row r="148" spans="1:36">
      <c r="A148">
        <f t="shared" si="17"/>
        <v>147</v>
      </c>
      <c r="B148" t="s">
        <v>175</v>
      </c>
      <c r="C148">
        <v>3236648</v>
      </c>
      <c r="E148">
        <v>6.224</v>
      </c>
      <c r="F148">
        <v>0.520026992287918</v>
      </c>
      <c r="G148">
        <f t="shared" si="12"/>
        <v>16.7343317290888</v>
      </c>
      <c r="J148">
        <v>0.462682</v>
      </c>
      <c r="K148">
        <v>6.99540505141761</v>
      </c>
      <c r="L148">
        <f t="shared" si="13"/>
        <v>1.24400290377221</v>
      </c>
      <c r="O148">
        <v>3.3979</v>
      </c>
      <c r="P148">
        <v>0.952543629889049</v>
      </c>
      <c r="Q148">
        <f t="shared" si="14"/>
        <v>9.13585889817976</v>
      </c>
      <c r="T148">
        <v>0.003042</v>
      </c>
      <c r="U148">
        <v>1.06398685075608</v>
      </c>
      <c r="V148">
        <f t="shared" si="15"/>
        <v>8.17895840615171</v>
      </c>
      <c r="Y148">
        <v>6398.781872</v>
      </c>
      <c r="Z148">
        <v>6.398781872</v>
      </c>
      <c r="AA148">
        <v>1.35999388182087</v>
      </c>
      <c r="AD148">
        <v>0.00787787</v>
      </c>
      <c r="AE148">
        <v>0.410853187473264</v>
      </c>
      <c r="AF148">
        <f t="shared" si="16"/>
        <v>21.1810555749738</v>
      </c>
      <c r="AI148">
        <v>0.37193</v>
      </c>
      <c r="AJ148">
        <v>8.70230419702632</v>
      </c>
    </row>
    <row r="149" spans="1:36">
      <c r="A149">
        <f t="shared" si="17"/>
        <v>148</v>
      </c>
      <c r="B149" t="s">
        <v>176</v>
      </c>
      <c r="C149">
        <v>14661300</v>
      </c>
      <c r="E149">
        <v>9.994</v>
      </c>
      <c r="F149">
        <v>1.46701020612367</v>
      </c>
      <c r="G149">
        <f t="shared" si="12"/>
        <v>15.7544611892302</v>
      </c>
      <c r="J149">
        <v>0.820607</v>
      </c>
      <c r="K149">
        <v>17.8664086462826</v>
      </c>
      <c r="L149">
        <f t="shared" si="13"/>
        <v>1.29359827227442</v>
      </c>
      <c r="O149">
        <v>4.5388</v>
      </c>
      <c r="P149">
        <v>3.23021503481096</v>
      </c>
      <c r="Q149">
        <f t="shared" si="14"/>
        <v>7.15492780124852</v>
      </c>
      <c r="T149">
        <v>0.002402</v>
      </c>
      <c r="U149">
        <v>6.10378850957535</v>
      </c>
      <c r="V149">
        <f t="shared" si="15"/>
        <v>3.78649347373732</v>
      </c>
      <c r="Y149">
        <v>14413.71412</v>
      </c>
      <c r="Z149">
        <v>14.41371412</v>
      </c>
      <c r="AA149">
        <v>1.60346980411596</v>
      </c>
      <c r="AD149">
        <v>0.0172901</v>
      </c>
      <c r="AE149">
        <v>0.847959236788683</v>
      </c>
      <c r="AF149">
        <f t="shared" si="16"/>
        <v>27.2559745255061</v>
      </c>
      <c r="AI149">
        <v>0.63436</v>
      </c>
      <c r="AJ149">
        <v>23.1119553565799</v>
      </c>
    </row>
    <row r="150" spans="1:36">
      <c r="A150">
        <f t="shared" si="17"/>
        <v>149</v>
      </c>
      <c r="B150" t="s">
        <v>177</v>
      </c>
      <c r="C150">
        <v>16638718</v>
      </c>
      <c r="E150">
        <v>6.486</v>
      </c>
      <c r="F150">
        <v>2.56532809127351</v>
      </c>
      <c r="G150">
        <f t="shared" si="12"/>
        <v>15.6902019696211</v>
      </c>
      <c r="J150">
        <v>0.615125</v>
      </c>
      <c r="K150">
        <v>27.0493281853282</v>
      </c>
      <c r="L150">
        <f t="shared" si="13"/>
        <v>1.48804124060487</v>
      </c>
      <c r="O150">
        <v>3.6457</v>
      </c>
      <c r="P150">
        <v>4.56392956085251</v>
      </c>
      <c r="Q150">
        <f t="shared" si="14"/>
        <v>8.819267548666</v>
      </c>
      <c r="T150">
        <v>0.002222</v>
      </c>
      <c r="U150">
        <v>7.48817191719172</v>
      </c>
      <c r="V150">
        <f t="shared" si="15"/>
        <v>5.37521257732009</v>
      </c>
      <c r="Y150">
        <v>26124.696817</v>
      </c>
      <c r="Z150">
        <v>26.124696817</v>
      </c>
      <c r="AA150">
        <v>1.54070748274606</v>
      </c>
      <c r="AD150">
        <v>0.00504972</v>
      </c>
      <c r="AE150">
        <v>3.29497833543246</v>
      </c>
      <c r="AF150">
        <f t="shared" si="16"/>
        <v>12.2157148766628</v>
      </c>
      <c r="AI150">
        <v>0.413379</v>
      </c>
      <c r="AJ150">
        <v>40.250515870424</v>
      </c>
    </row>
    <row r="151" spans="1:36">
      <c r="A151">
        <f t="shared" si="17"/>
        <v>150</v>
      </c>
      <c r="B151" t="s">
        <v>178</v>
      </c>
      <c r="C151">
        <v>1148458</v>
      </c>
      <c r="E151">
        <v>3.054</v>
      </c>
      <c r="F151">
        <v>0.376050425671251</v>
      </c>
      <c r="G151">
        <f t="shared" si="12"/>
        <v>1.88542959272498</v>
      </c>
      <c r="J151">
        <v>2.254014</v>
      </c>
      <c r="K151">
        <v>0.509516799806922</v>
      </c>
      <c r="L151">
        <f t="shared" si="13"/>
        <v>1.39154705239568</v>
      </c>
      <c r="O151">
        <v>5.1464</v>
      </c>
      <c r="P151">
        <v>0.223157547023162</v>
      </c>
      <c r="Q151">
        <f t="shared" si="14"/>
        <v>3.1772019829731</v>
      </c>
      <c r="T151">
        <v>0.005297</v>
      </c>
      <c r="U151">
        <v>0.216812912969605</v>
      </c>
      <c r="V151">
        <f t="shared" si="15"/>
        <v>3.27017699825287</v>
      </c>
      <c r="Y151">
        <v>554.628661</v>
      </c>
      <c r="Z151">
        <v>0.554628661</v>
      </c>
      <c r="AA151">
        <v>1.27836271504441</v>
      </c>
      <c r="AD151">
        <v>0.00375666</v>
      </c>
      <c r="AE151">
        <v>0.305712521228964</v>
      </c>
      <c r="AF151">
        <f t="shared" si="16"/>
        <v>2.31922656640676</v>
      </c>
      <c r="AI151">
        <v>1.61979</v>
      </c>
      <c r="AJ151">
        <v>0.709016600917403</v>
      </c>
    </row>
    <row r="152" spans="1:36">
      <c r="A152">
        <f t="shared" si="17"/>
        <v>151</v>
      </c>
      <c r="B152" t="s">
        <v>179</v>
      </c>
      <c r="C152">
        <v>9578640</v>
      </c>
      <c r="E152">
        <v>16.253</v>
      </c>
      <c r="F152">
        <v>0.589345966898419</v>
      </c>
      <c r="G152">
        <f t="shared" si="12"/>
        <v>20.3440195867358</v>
      </c>
      <c r="J152">
        <v>0.986202</v>
      </c>
      <c r="K152">
        <v>9.71265521667975</v>
      </c>
      <c r="L152">
        <f t="shared" si="13"/>
        <v>1.23443750719732</v>
      </c>
      <c r="O152">
        <v>4.571</v>
      </c>
      <c r="P152">
        <v>2.09552395537082</v>
      </c>
      <c r="Q152">
        <f t="shared" si="14"/>
        <v>5.72155992930347</v>
      </c>
      <c r="T152">
        <v>0.003764</v>
      </c>
      <c r="U152">
        <v>2.54480340063762</v>
      </c>
      <c r="V152">
        <f t="shared" si="15"/>
        <v>4.7114311034562</v>
      </c>
      <c r="Y152">
        <v>8569.250958</v>
      </c>
      <c r="Z152">
        <v>8.569250958</v>
      </c>
      <c r="AA152">
        <v>1.39914981515998</v>
      </c>
      <c r="AD152">
        <v>0.00981882</v>
      </c>
      <c r="AE152">
        <v>0.975538812199429</v>
      </c>
      <c r="AF152">
        <f t="shared" si="16"/>
        <v>12.2903012612215</v>
      </c>
      <c r="AI152">
        <v>0.798908</v>
      </c>
      <c r="AJ152">
        <v>11.9896658939452</v>
      </c>
    </row>
    <row r="153" spans="1:36">
      <c r="A153">
        <f t="shared" si="17"/>
        <v>152</v>
      </c>
      <c r="B153" t="s">
        <v>180</v>
      </c>
      <c r="C153">
        <v>178387490</v>
      </c>
      <c r="E153">
        <v>76.469</v>
      </c>
      <c r="F153">
        <v>2.33280793524173</v>
      </c>
      <c r="G153">
        <f t="shared" si="12"/>
        <v>4.51472159738335</v>
      </c>
      <c r="J153">
        <v>20.321389</v>
      </c>
      <c r="K153">
        <v>8.77831185653697</v>
      </c>
      <c r="L153">
        <f t="shared" si="13"/>
        <v>1.19977263737107</v>
      </c>
      <c r="O153">
        <v>40.94</v>
      </c>
      <c r="P153">
        <v>4.357290913532</v>
      </c>
      <c r="Q153">
        <f t="shared" si="14"/>
        <v>2.41709322989544</v>
      </c>
      <c r="T153">
        <v>0.028117</v>
      </c>
      <c r="U153">
        <v>6.3444709606288</v>
      </c>
      <c r="V153">
        <f t="shared" si="15"/>
        <v>1.66002467867538</v>
      </c>
      <c r="Y153">
        <v>25619.762832</v>
      </c>
      <c r="Z153">
        <v>25.619762832</v>
      </c>
      <c r="AA153">
        <v>0.411088050925604</v>
      </c>
      <c r="AD153">
        <v>0.0012914</v>
      </c>
      <c r="AE153">
        <v>138.134962056683</v>
      </c>
      <c r="AF153">
        <f t="shared" si="16"/>
        <v>0.0762441181506341</v>
      </c>
      <c r="AI153">
        <v>16.9377</v>
      </c>
      <c r="AJ153">
        <v>10.5319783677831</v>
      </c>
    </row>
    <row r="154" spans="1:36">
      <c r="A154">
        <f t="shared" si="17"/>
        <v>153</v>
      </c>
      <c r="B154" t="s">
        <v>181</v>
      </c>
      <c r="C154">
        <v>16638718</v>
      </c>
      <c r="E154">
        <v>6.589</v>
      </c>
      <c r="F154">
        <v>2.52522658977083</v>
      </c>
      <c r="G154">
        <f t="shared" si="12"/>
        <v>15.0187249697414</v>
      </c>
      <c r="J154">
        <v>0.703189</v>
      </c>
      <c r="K154">
        <v>23.6618007392038</v>
      </c>
      <c r="L154">
        <f t="shared" si="13"/>
        <v>1.60282321941835</v>
      </c>
      <c r="O154">
        <v>2.6009</v>
      </c>
      <c r="P154">
        <v>6.39729247568149</v>
      </c>
      <c r="Q154">
        <f t="shared" si="14"/>
        <v>5.92839608040682</v>
      </c>
      <c r="T154">
        <v>0.003062</v>
      </c>
      <c r="U154">
        <v>5.43393794905291</v>
      </c>
      <c r="V154">
        <f t="shared" si="15"/>
        <v>6.97941051105604</v>
      </c>
      <c r="Y154">
        <v>25883.192718</v>
      </c>
      <c r="Z154">
        <v>25.883192718</v>
      </c>
      <c r="AA154">
        <v>1.46526296238839</v>
      </c>
      <c r="AD154">
        <v>0.00284191</v>
      </c>
      <c r="AE154">
        <v>5.85476598484822</v>
      </c>
      <c r="AF154">
        <f t="shared" si="16"/>
        <v>6.47774543614477</v>
      </c>
      <c r="AI154">
        <v>0.438719</v>
      </c>
      <c r="AJ154">
        <v>37.9256836380462</v>
      </c>
    </row>
    <row r="155" spans="1:36">
      <c r="A155">
        <f t="shared" si="17"/>
        <v>154</v>
      </c>
      <c r="B155" t="s">
        <v>182</v>
      </c>
      <c r="C155">
        <v>6312052</v>
      </c>
      <c r="E155">
        <v>7.981</v>
      </c>
      <c r="F155">
        <v>0.790884851522366</v>
      </c>
      <c r="G155">
        <f t="shared" si="12"/>
        <v>13.5970628572402</v>
      </c>
      <c r="J155">
        <v>0.571662</v>
      </c>
      <c r="K155">
        <v>11.0415805143599</v>
      </c>
      <c r="L155">
        <f t="shared" si="13"/>
        <v>0.973928598809127</v>
      </c>
      <c r="O155">
        <v>5.1767</v>
      </c>
      <c r="P155">
        <v>1.21931964378851</v>
      </c>
      <c r="Q155">
        <f t="shared" si="14"/>
        <v>8.81943557111586</v>
      </c>
      <c r="T155">
        <v>0.002323</v>
      </c>
      <c r="U155">
        <v>2.71719845027981</v>
      </c>
      <c r="V155">
        <f t="shared" si="15"/>
        <v>3.95764653769816</v>
      </c>
      <c r="Y155">
        <v>6466.252129</v>
      </c>
      <c r="Z155">
        <v>6.466252129</v>
      </c>
      <c r="AA155">
        <v>1.66305161389551</v>
      </c>
      <c r="AD155">
        <v>0.00178397</v>
      </c>
      <c r="AE155">
        <v>3.53820523887734</v>
      </c>
      <c r="AF155">
        <f t="shared" si="16"/>
        <v>3.03931239511725</v>
      </c>
      <c r="AI155">
        <v>0.586965</v>
      </c>
      <c r="AJ155">
        <v>10.7537110389887</v>
      </c>
    </row>
    <row r="156" spans="1:36">
      <c r="A156">
        <f t="shared" si="17"/>
        <v>155</v>
      </c>
      <c r="B156" t="s">
        <v>183</v>
      </c>
      <c r="C156">
        <v>52252762</v>
      </c>
      <c r="E156">
        <v>85.764</v>
      </c>
      <c r="F156">
        <v>0.609262184599599</v>
      </c>
      <c r="G156">
        <f t="shared" si="12"/>
        <v>29.6170953393927</v>
      </c>
      <c r="J156">
        <v>8.180978</v>
      </c>
      <c r="K156">
        <v>6.38710457356076</v>
      </c>
      <c r="L156">
        <f t="shared" si="13"/>
        <v>2.82515747161367</v>
      </c>
      <c r="O156">
        <v>18.7741</v>
      </c>
      <c r="P156">
        <v>2.78323658657406</v>
      </c>
      <c r="Q156">
        <f t="shared" si="14"/>
        <v>6.48330662762105</v>
      </c>
      <c r="T156">
        <v>0.011042</v>
      </c>
      <c r="U156">
        <v>4.73218275674697</v>
      </c>
      <c r="V156">
        <f t="shared" si="15"/>
        <v>3.8131613117109</v>
      </c>
      <c r="Y156">
        <v>12127.546931</v>
      </c>
      <c r="Z156">
        <v>12.127546931</v>
      </c>
      <c r="AA156">
        <v>1.48789992820791</v>
      </c>
      <c r="AD156">
        <v>0.00140238</v>
      </c>
      <c r="AE156">
        <v>37.2600593277143</v>
      </c>
      <c r="AF156">
        <f t="shared" si="16"/>
        <v>0.484287371881647</v>
      </c>
      <c r="AI156">
        <v>2.89576</v>
      </c>
      <c r="AJ156">
        <v>18.044576207973</v>
      </c>
    </row>
    <row r="157" spans="1:36">
      <c r="A157">
        <f t="shared" si="17"/>
        <v>156</v>
      </c>
      <c r="B157" t="s">
        <v>184</v>
      </c>
      <c r="C157">
        <v>187790122</v>
      </c>
      <c r="E157">
        <v>79.387</v>
      </c>
      <c r="F157">
        <v>2.36550218549637</v>
      </c>
      <c r="G157">
        <f t="shared" si="12"/>
        <v>4.34840003067382</v>
      </c>
      <c r="J157">
        <v>16.732313</v>
      </c>
      <c r="K157">
        <v>11.2232015980098</v>
      </c>
      <c r="L157">
        <f t="shared" si="13"/>
        <v>0.916507619162382</v>
      </c>
      <c r="O157">
        <v>40.6199</v>
      </c>
      <c r="P157">
        <v>4.62310645767222</v>
      </c>
      <c r="Q157">
        <f t="shared" si="14"/>
        <v>2.22494330817348</v>
      </c>
      <c r="T157">
        <v>0.029854</v>
      </c>
      <c r="U157">
        <v>6.29028344610438</v>
      </c>
      <c r="V157">
        <f t="shared" si="15"/>
        <v>1.63524424043907</v>
      </c>
      <c r="Y157">
        <v>26226.569003</v>
      </c>
      <c r="Z157">
        <v>26.226569003</v>
      </c>
      <c r="AA157">
        <v>0.392203409252457</v>
      </c>
      <c r="AD157">
        <v>0.00125819</v>
      </c>
      <c r="AE157">
        <v>149.254184185218</v>
      </c>
      <c r="AF157">
        <f t="shared" si="16"/>
        <v>0.0689169944020245</v>
      </c>
      <c r="AI157">
        <v>18.2566</v>
      </c>
      <c r="AJ157">
        <v>10.2861497759714</v>
      </c>
    </row>
    <row r="158" spans="1:36">
      <c r="A158">
        <f t="shared" si="17"/>
        <v>157</v>
      </c>
      <c r="B158" t="s">
        <v>185</v>
      </c>
      <c r="C158">
        <v>3127604</v>
      </c>
      <c r="E158">
        <v>10.558</v>
      </c>
      <c r="F158">
        <v>0.296230725516196</v>
      </c>
      <c r="G158">
        <f t="shared" si="12"/>
        <v>11.413807269032</v>
      </c>
      <c r="J158">
        <v>0.690701</v>
      </c>
      <c r="K158">
        <v>4.52815907317349</v>
      </c>
      <c r="L158">
        <f t="shared" si="13"/>
        <v>0.746687639186179</v>
      </c>
      <c r="O158">
        <v>4.2174</v>
      </c>
      <c r="P158">
        <v>0.741595295679803</v>
      </c>
      <c r="Q158">
        <f t="shared" si="14"/>
        <v>4.55925277291302</v>
      </c>
      <c r="T158">
        <v>0.002114</v>
      </c>
      <c r="U158">
        <v>1.47947209082308</v>
      </c>
      <c r="V158">
        <f t="shared" si="15"/>
        <v>2.28535599230288</v>
      </c>
      <c r="Y158">
        <v>3750.58156</v>
      </c>
      <c r="Z158">
        <v>3.75058156</v>
      </c>
      <c r="AA158">
        <v>0.901492303024971</v>
      </c>
      <c r="AD158">
        <v>0.0040866</v>
      </c>
      <c r="AE158">
        <v>0.765331571477512</v>
      </c>
      <c r="AF158">
        <f t="shared" si="16"/>
        <v>4.41785042485568</v>
      </c>
      <c r="AI158">
        <v>0.92502</v>
      </c>
      <c r="AJ158">
        <v>3.38112040820739</v>
      </c>
    </row>
    <row r="159" spans="1:36">
      <c r="A159">
        <f t="shared" si="17"/>
        <v>158</v>
      </c>
      <c r="B159" t="s">
        <v>186</v>
      </c>
      <c r="C159">
        <v>3127604</v>
      </c>
      <c r="E159">
        <v>10.019</v>
      </c>
      <c r="F159">
        <v>0.312167282163889</v>
      </c>
      <c r="G159">
        <f t="shared" si="12"/>
        <v>11.632267554925</v>
      </c>
      <c r="J159">
        <v>0.606081</v>
      </c>
      <c r="K159">
        <v>5.16037295345012</v>
      </c>
      <c r="L159">
        <f t="shared" si="13"/>
        <v>0.70367265714707</v>
      </c>
      <c r="O159">
        <v>3.9484</v>
      </c>
      <c r="P159">
        <v>0.792119339479283</v>
      </c>
      <c r="Q159">
        <f t="shared" si="14"/>
        <v>4.58417458966622</v>
      </c>
      <c r="T159">
        <v>0.002122</v>
      </c>
      <c r="U159">
        <v>1.47389443920829</v>
      </c>
      <c r="V159">
        <f t="shared" si="15"/>
        <v>2.46368617142938</v>
      </c>
      <c r="Y159">
        <v>3279.641948</v>
      </c>
      <c r="Z159">
        <v>3.279641948</v>
      </c>
      <c r="AA159">
        <v>1.10719810442677</v>
      </c>
      <c r="AD159">
        <v>0.00454884</v>
      </c>
      <c r="AE159">
        <v>0.687560784727535</v>
      </c>
      <c r="AF159">
        <f t="shared" si="16"/>
        <v>5.28129792839056</v>
      </c>
      <c r="AI159">
        <v>0.861311</v>
      </c>
      <c r="AJ159">
        <v>3.63121334802412</v>
      </c>
    </row>
    <row r="160" spans="1:36">
      <c r="A160">
        <f t="shared" si="17"/>
        <v>159</v>
      </c>
      <c r="B160" t="s">
        <v>187</v>
      </c>
      <c r="C160">
        <v>194811630</v>
      </c>
      <c r="E160">
        <v>83.603</v>
      </c>
      <c r="F160">
        <v>2.33019903591976</v>
      </c>
      <c r="G160">
        <f t="shared" si="12"/>
        <v>4.74327115105304</v>
      </c>
      <c r="J160">
        <v>17.053522</v>
      </c>
      <c r="K160">
        <v>11.4235423040472</v>
      </c>
      <c r="L160">
        <f t="shared" si="13"/>
        <v>0.967542778685554</v>
      </c>
      <c r="O160">
        <v>41.2552</v>
      </c>
      <c r="P160">
        <v>4.72211090965502</v>
      </c>
      <c r="Q160">
        <f t="shared" si="14"/>
        <v>2.34064088598403</v>
      </c>
      <c r="T160">
        <v>0.031076</v>
      </c>
      <c r="U160">
        <v>6.26887726863174</v>
      </c>
      <c r="V160">
        <f t="shared" si="15"/>
        <v>1.76311728395062</v>
      </c>
      <c r="Y160">
        <v>26868.658296</v>
      </c>
      <c r="Z160">
        <v>26.868658296</v>
      </c>
      <c r="AA160">
        <v>0.411362775972154</v>
      </c>
      <c r="AD160">
        <v>0.00128679</v>
      </c>
      <c r="AE160">
        <v>151.393490779381</v>
      </c>
      <c r="AF160">
        <f t="shared" si="16"/>
        <v>0.0730068763616561</v>
      </c>
      <c r="AI160">
        <v>17.6256</v>
      </c>
      <c r="AJ160">
        <v>11.0527658632898</v>
      </c>
    </row>
    <row r="161" spans="1:36">
      <c r="A161">
        <f t="shared" si="17"/>
        <v>160</v>
      </c>
      <c r="B161" t="s">
        <v>188</v>
      </c>
      <c r="C161">
        <v>5075784</v>
      </c>
      <c r="E161">
        <v>13.61</v>
      </c>
      <c r="F161">
        <v>0.372945187362234</v>
      </c>
      <c r="G161">
        <f t="shared" si="12"/>
        <v>8.96338250790304</v>
      </c>
      <c r="J161">
        <v>1.23838</v>
      </c>
      <c r="K161">
        <v>4.09872898464122</v>
      </c>
      <c r="L161">
        <f t="shared" si="13"/>
        <v>0.815582191780822</v>
      </c>
      <c r="O161">
        <v>5.3092</v>
      </c>
      <c r="P161">
        <v>0.956035560913132</v>
      </c>
      <c r="Q161">
        <f t="shared" si="14"/>
        <v>3.49657534246575</v>
      </c>
      <c r="T161">
        <v>0.002492</v>
      </c>
      <c r="U161">
        <v>2.03683146067416</v>
      </c>
      <c r="V161">
        <f t="shared" si="15"/>
        <v>1.64120126448893</v>
      </c>
      <c r="Y161">
        <v>4701.228521</v>
      </c>
      <c r="Z161">
        <v>4.701228521</v>
      </c>
      <c r="AA161">
        <v>0.711058897451386</v>
      </c>
      <c r="AD161">
        <v>0.00300217</v>
      </c>
      <c r="AE161">
        <v>1.69070505667567</v>
      </c>
      <c r="AF161">
        <f t="shared" si="16"/>
        <v>1.97719309799789</v>
      </c>
      <c r="AI161">
        <v>1.5184</v>
      </c>
      <c r="AJ161">
        <v>3.34285036880927</v>
      </c>
    </row>
    <row r="162" spans="1:36">
      <c r="A162">
        <f t="shared" si="17"/>
        <v>161</v>
      </c>
      <c r="B162" t="s">
        <v>189</v>
      </c>
      <c r="C162">
        <v>17853682</v>
      </c>
      <c r="E162">
        <v>6.34</v>
      </c>
      <c r="F162">
        <v>2.816038170347</v>
      </c>
      <c r="G162">
        <f t="shared" si="12"/>
        <v>14.8085169994301</v>
      </c>
      <c r="J162">
        <v>0.668149</v>
      </c>
      <c r="K162">
        <v>26.7211086149946</v>
      </c>
      <c r="L162">
        <f t="shared" si="13"/>
        <v>1.56061448338363</v>
      </c>
      <c r="O162">
        <v>3.2387</v>
      </c>
      <c r="P162">
        <v>5.51260752771174</v>
      </c>
      <c r="Q162">
        <f t="shared" si="14"/>
        <v>7.56472302934609</v>
      </c>
      <c r="T162">
        <v>0.002385</v>
      </c>
      <c r="U162">
        <v>7.48582054507338</v>
      </c>
      <c r="V162">
        <f t="shared" si="15"/>
        <v>5.57071183653639</v>
      </c>
      <c r="Y162">
        <v>28123.015975</v>
      </c>
      <c r="Z162">
        <v>28.123015975</v>
      </c>
      <c r="AA162">
        <v>1.48281923794013</v>
      </c>
      <c r="AD162">
        <v>0.00453193</v>
      </c>
      <c r="AE162">
        <v>3.93953172268768</v>
      </c>
      <c r="AF162">
        <f t="shared" si="16"/>
        <v>10.5853568525595</v>
      </c>
      <c r="AI162">
        <v>0.428132</v>
      </c>
      <c r="AJ162">
        <v>41.7013491166276</v>
      </c>
    </row>
    <row r="163" spans="1:36">
      <c r="A163">
        <f t="shared" si="17"/>
        <v>162</v>
      </c>
      <c r="B163" t="s">
        <v>190</v>
      </c>
      <c r="C163">
        <v>17853682</v>
      </c>
      <c r="E163">
        <v>6.162</v>
      </c>
      <c r="F163">
        <v>2.89738429081467</v>
      </c>
      <c r="G163">
        <f t="shared" si="12"/>
        <v>14.8691887822323</v>
      </c>
      <c r="J163">
        <v>0.659133</v>
      </c>
      <c r="K163">
        <v>27.0866152961542</v>
      </c>
      <c r="L163">
        <f t="shared" si="13"/>
        <v>1.5905181774747</v>
      </c>
      <c r="O163">
        <v>3.7007</v>
      </c>
      <c r="P163">
        <v>4.82440673386116</v>
      </c>
      <c r="Q163">
        <f t="shared" si="14"/>
        <v>8.92995892995894</v>
      </c>
      <c r="T163">
        <v>0.003229</v>
      </c>
      <c r="U163">
        <v>5.52916754413131</v>
      </c>
      <c r="V163">
        <f t="shared" si="15"/>
        <v>7.79172518302954</v>
      </c>
      <c r="Y163">
        <v>25630.136425</v>
      </c>
      <c r="Z163">
        <v>25.630136425</v>
      </c>
      <c r="AA163">
        <v>1.68090225039828</v>
      </c>
      <c r="AD163">
        <v>0.00338511</v>
      </c>
      <c r="AE163">
        <v>5.27418075040397</v>
      </c>
      <c r="AF163">
        <f t="shared" si="16"/>
        <v>8.16842577712144</v>
      </c>
      <c r="AI163">
        <v>0.414414</v>
      </c>
      <c r="AJ163">
        <v>43.0817539947975</v>
      </c>
    </row>
    <row r="164" spans="1:36">
      <c r="A164">
        <f t="shared" si="17"/>
        <v>163</v>
      </c>
      <c r="B164" t="s">
        <v>191</v>
      </c>
      <c r="C164">
        <v>17853682</v>
      </c>
      <c r="E164">
        <v>6.007</v>
      </c>
      <c r="F164">
        <v>2.97214616281006</v>
      </c>
      <c r="G164">
        <f t="shared" si="12"/>
        <v>14.3959201574037</v>
      </c>
      <c r="J164">
        <v>0.605494</v>
      </c>
      <c r="K164">
        <v>29.4861418940568</v>
      </c>
      <c r="L164">
        <f t="shared" si="13"/>
        <v>1.45108095218694</v>
      </c>
      <c r="O164">
        <v>3.2015</v>
      </c>
      <c r="P164">
        <v>5.57666156489146</v>
      </c>
      <c r="Q164">
        <f t="shared" si="14"/>
        <v>7.67247184683334</v>
      </c>
      <c r="T164">
        <v>0.003303</v>
      </c>
      <c r="U164">
        <v>5.4052927641538</v>
      </c>
      <c r="V164">
        <f t="shared" si="15"/>
        <v>7.91571904110278</v>
      </c>
      <c r="Y164">
        <v>28094.61047</v>
      </c>
      <c r="Z164">
        <v>28.09461047</v>
      </c>
      <c r="AA164">
        <v>1.5229532689779</v>
      </c>
      <c r="AD164">
        <v>0.00473035</v>
      </c>
      <c r="AE164">
        <v>3.77428350967687</v>
      </c>
      <c r="AF164">
        <f t="shared" si="16"/>
        <v>11.3363976887922</v>
      </c>
      <c r="AI164">
        <v>0.417271</v>
      </c>
      <c r="AJ164">
        <v>42.7867788559473</v>
      </c>
    </row>
    <row r="165" spans="1:36">
      <c r="A165">
        <f t="shared" si="17"/>
        <v>164</v>
      </c>
      <c r="B165" t="s">
        <v>192</v>
      </c>
      <c r="C165">
        <v>4158036</v>
      </c>
      <c r="E165">
        <v>8.353</v>
      </c>
      <c r="F165">
        <v>0.497789536693404</v>
      </c>
      <c r="G165">
        <f t="shared" si="12"/>
        <v>18.5593764511664</v>
      </c>
      <c r="J165">
        <v>0.517864</v>
      </c>
      <c r="K165">
        <v>8.02920457880834</v>
      </c>
      <c r="L165">
        <f t="shared" si="13"/>
        <v>1.15063245857857</v>
      </c>
      <c r="O165">
        <v>3.2057</v>
      </c>
      <c r="P165">
        <v>1.29707583367127</v>
      </c>
      <c r="Q165">
        <f t="shared" si="14"/>
        <v>7.12268563264745</v>
      </c>
      <c r="T165">
        <v>0.002097</v>
      </c>
      <c r="U165">
        <v>1.98284978540773</v>
      </c>
      <c r="V165">
        <f t="shared" si="15"/>
        <v>4.65928557621163</v>
      </c>
      <c r="Y165">
        <v>7044.454884</v>
      </c>
      <c r="Z165">
        <v>7.044454884</v>
      </c>
      <c r="AA165">
        <v>1.31148024326598</v>
      </c>
      <c r="AD165">
        <v>0.00340282</v>
      </c>
      <c r="AE165">
        <v>1.22193827472508</v>
      </c>
      <c r="AF165">
        <f t="shared" si="16"/>
        <v>7.5606629205744</v>
      </c>
      <c r="AI165">
        <v>0.450069</v>
      </c>
      <c r="AJ165">
        <v>9.23866340494457</v>
      </c>
    </row>
    <row r="166" spans="1:36">
      <c r="A166">
        <f t="shared" si="17"/>
        <v>165</v>
      </c>
      <c r="B166" t="s">
        <v>193</v>
      </c>
      <c r="C166">
        <v>22582544</v>
      </c>
      <c r="E166">
        <v>10.498</v>
      </c>
      <c r="F166">
        <v>2.15112821489808</v>
      </c>
      <c r="G166">
        <f t="shared" si="12"/>
        <v>22.3700108035773</v>
      </c>
      <c r="J166">
        <v>0.857484</v>
      </c>
      <c r="K166">
        <v>26.3358196771018</v>
      </c>
      <c r="L166">
        <f t="shared" si="13"/>
        <v>1.82719816573583</v>
      </c>
      <c r="O166">
        <v>4.6603</v>
      </c>
      <c r="P166">
        <v>4.84572752827071</v>
      </c>
      <c r="Q166">
        <f t="shared" si="14"/>
        <v>9.93055451970961</v>
      </c>
      <c r="T166">
        <v>0.002108</v>
      </c>
      <c r="U166">
        <v>10.7127817836812</v>
      </c>
      <c r="V166">
        <f t="shared" si="15"/>
        <v>4.4919015787713</v>
      </c>
      <c r="Y166">
        <v>20896.118079</v>
      </c>
      <c r="Z166">
        <v>20.896118079</v>
      </c>
      <c r="AA166">
        <v>2.3028565030703</v>
      </c>
      <c r="AD166">
        <v>0.00369017</v>
      </c>
      <c r="AE166">
        <v>6.11964868827181</v>
      </c>
      <c r="AF166">
        <f t="shared" si="16"/>
        <v>7.86332089607897</v>
      </c>
      <c r="AI166">
        <v>0.469289</v>
      </c>
      <c r="AJ166">
        <v>48.12076140715</v>
      </c>
    </row>
    <row r="167" spans="1:36">
      <c r="A167">
        <f t="shared" si="17"/>
        <v>166</v>
      </c>
      <c r="B167" t="s">
        <v>194</v>
      </c>
      <c r="C167">
        <v>202252606</v>
      </c>
      <c r="E167">
        <v>89.121</v>
      </c>
      <c r="F167">
        <v>2.26941580547795</v>
      </c>
      <c r="G167">
        <f t="shared" si="12"/>
        <v>4.92819579847267</v>
      </c>
      <c r="J167">
        <v>19.14396</v>
      </c>
      <c r="K167">
        <v>10.5648259816673</v>
      </c>
      <c r="L167">
        <f t="shared" si="13"/>
        <v>1.05861899258457</v>
      </c>
      <c r="O167">
        <v>42.3474</v>
      </c>
      <c r="P167">
        <v>4.77603361717602</v>
      </c>
      <c r="Q167">
        <f t="shared" si="14"/>
        <v>2.34171832403409</v>
      </c>
      <c r="T167">
        <v>0.033021</v>
      </c>
      <c r="U167">
        <v>6.12496914084976</v>
      </c>
      <c r="V167">
        <f t="shared" si="15"/>
        <v>1.82598886302181</v>
      </c>
      <c r="Y167">
        <v>25306.508277</v>
      </c>
      <c r="Z167">
        <v>25.306508277</v>
      </c>
      <c r="AA167">
        <v>0.441946605795027</v>
      </c>
      <c r="AD167">
        <v>0.00122281</v>
      </c>
      <c r="AE167">
        <v>165.399862611526</v>
      </c>
      <c r="AF167">
        <f t="shared" si="16"/>
        <v>0.0676187105657519</v>
      </c>
      <c r="AI167">
        <v>18.0839</v>
      </c>
      <c r="AJ167">
        <v>11.1841254375439</v>
      </c>
    </row>
    <row r="168" spans="1:36">
      <c r="A168">
        <f t="shared" si="17"/>
        <v>167</v>
      </c>
      <c r="B168" t="s">
        <v>195</v>
      </c>
      <c r="C168">
        <v>207047594</v>
      </c>
      <c r="E168">
        <v>72.08</v>
      </c>
      <c r="F168">
        <v>2.87246939511654</v>
      </c>
      <c r="G168">
        <f t="shared" si="12"/>
        <v>3.91751904953423</v>
      </c>
      <c r="J168">
        <v>17.572804</v>
      </c>
      <c r="K168">
        <v>11.782274132233</v>
      </c>
      <c r="L168">
        <f t="shared" si="13"/>
        <v>0.955074839396935</v>
      </c>
      <c r="O168">
        <v>43.2733</v>
      </c>
      <c r="P168">
        <v>4.78464998047295</v>
      </c>
      <c r="Q168">
        <f t="shared" si="14"/>
        <v>2.35188647455896</v>
      </c>
      <c r="T168">
        <v>0.032774</v>
      </c>
      <c r="U168">
        <v>6.3174343687069</v>
      </c>
      <c r="V168">
        <f t="shared" si="15"/>
        <v>1.78125373653489</v>
      </c>
      <c r="Y168">
        <v>26147.196681</v>
      </c>
      <c r="Z168">
        <v>26.147196681</v>
      </c>
      <c r="AA168">
        <v>0.430369408692677</v>
      </c>
      <c r="AD168">
        <v>0.00126873</v>
      </c>
      <c r="AE168">
        <v>163.192794369172</v>
      </c>
      <c r="AF168">
        <f t="shared" si="16"/>
        <v>0.0689549659228021</v>
      </c>
      <c r="AI168">
        <v>18.3994</v>
      </c>
      <c r="AJ168">
        <v>11.2529535745731</v>
      </c>
    </row>
    <row r="169" spans="1:36">
      <c r="A169">
        <f t="shared" si="17"/>
        <v>168</v>
      </c>
      <c r="B169" t="s">
        <v>196</v>
      </c>
      <c r="C169">
        <v>2763978</v>
      </c>
      <c r="E169">
        <v>9.967</v>
      </c>
      <c r="F169">
        <v>0.277312932677837</v>
      </c>
      <c r="G169">
        <f t="shared" si="12"/>
        <v>18.5308789106439</v>
      </c>
      <c r="J169">
        <v>0.709216</v>
      </c>
      <c r="K169">
        <v>3.89723018093218</v>
      </c>
      <c r="L169">
        <f t="shared" si="13"/>
        <v>1.31859093182414</v>
      </c>
      <c r="O169">
        <v>4.6767</v>
      </c>
      <c r="P169">
        <v>0.59101032779524</v>
      </c>
      <c r="Q169">
        <f t="shared" si="14"/>
        <v>8.69502973827714</v>
      </c>
      <c r="T169">
        <v>0.002133</v>
      </c>
      <c r="U169">
        <v>1.29581715893108</v>
      </c>
      <c r="V169">
        <f t="shared" si="15"/>
        <v>3.96572335872414</v>
      </c>
      <c r="Y169">
        <v>4267.792176</v>
      </c>
      <c r="Z169">
        <v>4.267792176</v>
      </c>
      <c r="AA169">
        <v>1.20410089430009</v>
      </c>
      <c r="AD169">
        <v>0.00444245</v>
      </c>
      <c r="AE169">
        <v>0.622174250694999</v>
      </c>
      <c r="AF169">
        <f t="shared" si="16"/>
        <v>8.25950667368214</v>
      </c>
      <c r="AI169">
        <v>0.537859</v>
      </c>
      <c r="AJ169">
        <v>5.13885237580853</v>
      </c>
    </row>
    <row r="170" spans="1:36">
      <c r="A170">
        <f t="shared" si="17"/>
        <v>169</v>
      </c>
      <c r="B170" t="s">
        <v>197</v>
      </c>
      <c r="C170">
        <v>209498722</v>
      </c>
      <c r="E170">
        <v>87.883</v>
      </c>
      <c r="F170">
        <v>2.38383671472298</v>
      </c>
      <c r="G170">
        <f t="shared" si="12"/>
        <v>4.36014090097243</v>
      </c>
      <c r="J170">
        <v>17.905761</v>
      </c>
      <c r="K170">
        <v>11.7000736243492</v>
      </c>
      <c r="L170">
        <f t="shared" si="13"/>
        <v>0.888358850962491</v>
      </c>
      <c r="O170">
        <v>42.818</v>
      </c>
      <c r="P170">
        <v>4.89277224531739</v>
      </c>
      <c r="Q170">
        <f t="shared" si="14"/>
        <v>2.12433022425084</v>
      </c>
      <c r="T170">
        <v>0.032895</v>
      </c>
      <c r="U170">
        <v>6.36871019911841</v>
      </c>
      <c r="V170">
        <f t="shared" si="15"/>
        <v>1.63202024211153</v>
      </c>
      <c r="Y170">
        <v>27314.116858</v>
      </c>
      <c r="Z170">
        <v>27.314116858</v>
      </c>
      <c r="AA170">
        <v>0.380530844732736</v>
      </c>
      <c r="AD170">
        <v>0.00121876</v>
      </c>
      <c r="AE170">
        <v>171.894976861728</v>
      </c>
      <c r="AF170">
        <f t="shared" si="16"/>
        <v>0.0604663623734869</v>
      </c>
      <c r="AI170">
        <v>20.156</v>
      </c>
      <c r="AJ170">
        <v>10.3938639611034</v>
      </c>
    </row>
    <row r="171" spans="1:36">
      <c r="A171">
        <f t="shared" si="17"/>
        <v>170</v>
      </c>
      <c r="B171" t="s">
        <v>198</v>
      </c>
      <c r="C171">
        <v>211513862</v>
      </c>
      <c r="E171">
        <v>92.237</v>
      </c>
      <c r="F171">
        <v>2.29315634723592</v>
      </c>
      <c r="G171">
        <f t="shared" si="12"/>
        <v>5.00583417906316</v>
      </c>
      <c r="J171">
        <v>18.395877</v>
      </c>
      <c r="K171">
        <v>11.4978949902742</v>
      </c>
      <c r="L171">
        <f t="shared" si="13"/>
        <v>0.998370608762661</v>
      </c>
      <c r="O171">
        <v>42.8188</v>
      </c>
      <c r="P171">
        <v>4.93974286995432</v>
      </c>
      <c r="Q171">
        <f t="shared" si="14"/>
        <v>2.32383764158059</v>
      </c>
      <c r="T171">
        <v>0.033675</v>
      </c>
      <c r="U171">
        <v>6.28103524870082</v>
      </c>
      <c r="V171">
        <f t="shared" si="15"/>
        <v>1.82759051118262</v>
      </c>
      <c r="Y171">
        <v>24766.86389</v>
      </c>
      <c r="Z171">
        <v>24.76686389</v>
      </c>
      <c r="AA171">
        <v>0.463488654514877</v>
      </c>
      <c r="AD171">
        <v>0.0013111</v>
      </c>
      <c r="AE171">
        <v>161.325499199146</v>
      </c>
      <c r="AF171">
        <f t="shared" si="16"/>
        <v>0.0711552759973729</v>
      </c>
      <c r="AI171">
        <v>18.4259</v>
      </c>
      <c r="AJ171">
        <v>11.4791604209292</v>
      </c>
    </row>
    <row r="172" spans="1:36">
      <c r="A172">
        <f t="shared" si="17"/>
        <v>171</v>
      </c>
      <c r="B172" t="s">
        <v>199</v>
      </c>
      <c r="C172">
        <v>211926086</v>
      </c>
      <c r="E172">
        <v>93.327</v>
      </c>
      <c r="F172">
        <v>2.27079072508492</v>
      </c>
      <c r="G172">
        <f t="shared" si="12"/>
        <v>4.59336148598763</v>
      </c>
      <c r="J172">
        <v>17.95868</v>
      </c>
      <c r="K172">
        <v>11.8007607463355</v>
      </c>
      <c r="L172">
        <f t="shared" si="13"/>
        <v>0.883889003730714</v>
      </c>
      <c r="O172">
        <v>43.1685</v>
      </c>
      <c r="P172">
        <v>4.90927611568621</v>
      </c>
      <c r="Q172">
        <f t="shared" si="14"/>
        <v>2.12466408764727</v>
      </c>
      <c r="T172">
        <v>0.036628</v>
      </c>
      <c r="U172">
        <v>5.78590384405373</v>
      </c>
      <c r="V172">
        <f t="shared" si="15"/>
        <v>1.80275423520262</v>
      </c>
      <c r="Y172">
        <v>25665.105891</v>
      </c>
      <c r="Z172">
        <v>25.665105891</v>
      </c>
      <c r="AA172">
        <v>0.406410271737889</v>
      </c>
      <c r="AD172">
        <v>0.00123562</v>
      </c>
      <c r="AE172">
        <v>171.513965458636</v>
      </c>
      <c r="AF172">
        <f t="shared" si="16"/>
        <v>0.0608146551299844</v>
      </c>
      <c r="AI172">
        <v>20.3178</v>
      </c>
      <c r="AJ172">
        <v>10.430562659343</v>
      </c>
    </row>
    <row r="173" spans="1:36">
      <c r="A173">
        <f t="shared" si="17"/>
        <v>172</v>
      </c>
      <c r="B173" t="s">
        <v>200</v>
      </c>
      <c r="C173">
        <v>18389380</v>
      </c>
      <c r="E173">
        <v>8.321</v>
      </c>
      <c r="F173">
        <v>2.2099963946641</v>
      </c>
      <c r="G173">
        <f t="shared" si="12"/>
        <v>15.5696555440585</v>
      </c>
      <c r="J173">
        <v>0.784869</v>
      </c>
      <c r="K173">
        <v>23.4298717365573</v>
      </c>
      <c r="L173">
        <f t="shared" si="13"/>
        <v>1.46859031092533</v>
      </c>
      <c r="O173">
        <v>2.8965</v>
      </c>
      <c r="P173">
        <v>6.34882789573623</v>
      </c>
      <c r="Q173">
        <f t="shared" si="14"/>
        <v>5.4197220626566</v>
      </c>
      <c r="T173">
        <v>0.003846</v>
      </c>
      <c r="U173">
        <v>4.78143005720229</v>
      </c>
      <c r="V173">
        <f t="shared" si="15"/>
        <v>7.19635803658804</v>
      </c>
      <c r="Y173">
        <v>16759.289608</v>
      </c>
      <c r="Z173">
        <v>16.759289608</v>
      </c>
      <c r="AA173">
        <v>2.05312297975365</v>
      </c>
      <c r="AD173">
        <v>0.00576263</v>
      </c>
      <c r="AE173">
        <v>3.19114362712859</v>
      </c>
      <c r="AF173">
        <f t="shared" si="16"/>
        <v>10.7826179699385</v>
      </c>
      <c r="AI173">
        <v>0.534437</v>
      </c>
      <c r="AJ173">
        <v>34.4088826185313</v>
      </c>
    </row>
    <row r="174" spans="1:36">
      <c r="A174">
        <f t="shared" si="17"/>
        <v>173</v>
      </c>
      <c r="B174" t="s">
        <v>201</v>
      </c>
      <c r="C174">
        <v>6074024</v>
      </c>
      <c r="E174">
        <v>6.006</v>
      </c>
      <c r="F174">
        <v>1.01132600732601</v>
      </c>
      <c r="G174">
        <f t="shared" si="12"/>
        <v>13.2582196105094</v>
      </c>
      <c r="J174">
        <v>0.40583</v>
      </c>
      <c r="K174">
        <v>14.9669171820713</v>
      </c>
      <c r="L174">
        <f t="shared" si="13"/>
        <v>0.895868009412763</v>
      </c>
      <c r="O174">
        <v>3.6298</v>
      </c>
      <c r="P174">
        <v>1.67337704556725</v>
      </c>
      <c r="Q174">
        <f t="shared" si="14"/>
        <v>8.01276815554898</v>
      </c>
      <c r="T174">
        <v>0.00329</v>
      </c>
      <c r="U174">
        <v>1.84620790273556</v>
      </c>
      <c r="V174">
        <f t="shared" si="15"/>
        <v>7.26266109200402</v>
      </c>
      <c r="Y174">
        <v>10905.492145</v>
      </c>
      <c r="Z174">
        <v>10.905492145</v>
      </c>
      <c r="AA174">
        <v>1.22950730922267</v>
      </c>
      <c r="AD174">
        <v>0.0055129</v>
      </c>
      <c r="AE174">
        <v>1.10178381614033</v>
      </c>
      <c r="AF174">
        <f t="shared" si="16"/>
        <v>12.1697034450179</v>
      </c>
      <c r="AI174">
        <v>0.453002</v>
      </c>
      <c r="AJ174">
        <v>13.4083823029479</v>
      </c>
    </row>
    <row r="175" spans="1:36">
      <c r="A175">
        <f t="shared" si="17"/>
        <v>174</v>
      </c>
      <c r="B175" t="s">
        <v>202</v>
      </c>
      <c r="C175">
        <v>10200858</v>
      </c>
      <c r="E175">
        <v>7.206</v>
      </c>
      <c r="F175">
        <v>1.41560616153206</v>
      </c>
      <c r="G175">
        <f t="shared" si="12"/>
        <v>9.84232609978362</v>
      </c>
      <c r="J175">
        <v>0.730218</v>
      </c>
      <c r="K175">
        <v>13.9696063367378</v>
      </c>
      <c r="L175">
        <f t="shared" si="13"/>
        <v>0.997369369960007</v>
      </c>
      <c r="O175">
        <v>4.9281</v>
      </c>
      <c r="P175">
        <v>2.06993729835028</v>
      </c>
      <c r="Q175">
        <f t="shared" si="14"/>
        <v>6.73105290762471</v>
      </c>
      <c r="T175">
        <v>0.003569</v>
      </c>
      <c r="U175">
        <v>2.85818380498739</v>
      </c>
      <c r="V175">
        <f t="shared" si="15"/>
        <v>4.87472409799165</v>
      </c>
      <c r="Y175">
        <v>10382.920196</v>
      </c>
      <c r="Z175">
        <v>10.382920196</v>
      </c>
      <c r="AA175">
        <v>1.34190162378683</v>
      </c>
      <c r="AD175">
        <v>0.0283157</v>
      </c>
      <c r="AE175">
        <v>0.360254487792991</v>
      </c>
      <c r="AF175">
        <f t="shared" si="16"/>
        <v>38.675042068227</v>
      </c>
      <c r="AI175">
        <v>0.732144</v>
      </c>
      <c r="AJ175">
        <v>13.9328574706615</v>
      </c>
    </row>
    <row r="176" spans="1:36">
      <c r="A176">
        <f t="shared" si="17"/>
        <v>175</v>
      </c>
      <c r="B176" t="s">
        <v>203</v>
      </c>
      <c r="C176">
        <v>4922970</v>
      </c>
      <c r="E176">
        <v>31.622</v>
      </c>
      <c r="F176">
        <v>0.155681803807476</v>
      </c>
      <c r="G176">
        <f t="shared" si="12"/>
        <v>36.987304401936</v>
      </c>
      <c r="J176">
        <v>0.896581</v>
      </c>
      <c r="K176">
        <v>5.49082570342222</v>
      </c>
      <c r="L176">
        <f t="shared" si="13"/>
        <v>1.04870388868485</v>
      </c>
      <c r="O176">
        <v>4.2923</v>
      </c>
      <c r="P176">
        <v>1.14693055005475</v>
      </c>
      <c r="Q176">
        <f t="shared" si="14"/>
        <v>5.02057449511194</v>
      </c>
      <c r="T176">
        <v>0.002377</v>
      </c>
      <c r="U176">
        <v>2.07108540176693</v>
      </c>
      <c r="V176">
        <f t="shared" si="15"/>
        <v>2.78030556458801</v>
      </c>
      <c r="Y176">
        <v>5788.376625</v>
      </c>
      <c r="Z176">
        <v>5.788376625</v>
      </c>
      <c r="AA176">
        <v>0.994795370156065</v>
      </c>
      <c r="AD176">
        <v>0.0100937</v>
      </c>
      <c r="AE176">
        <v>0.487726998028473</v>
      </c>
      <c r="AF176">
        <f t="shared" si="16"/>
        <v>11.8062979710904</v>
      </c>
      <c r="AI176">
        <v>0.854942</v>
      </c>
      <c r="AJ176">
        <v>5.75825026726959</v>
      </c>
    </row>
    <row r="177" spans="1:36">
      <c r="A177">
        <f t="shared" si="17"/>
        <v>176</v>
      </c>
      <c r="B177" t="s">
        <v>204</v>
      </c>
      <c r="C177">
        <v>4922970</v>
      </c>
      <c r="E177">
        <v>29.972</v>
      </c>
      <c r="F177">
        <v>0.164252302148672</v>
      </c>
      <c r="G177">
        <f t="shared" si="12"/>
        <v>35.6497588419657</v>
      </c>
      <c r="J177">
        <v>0.815034</v>
      </c>
      <c r="K177">
        <v>6.04020200384278</v>
      </c>
      <c r="L177">
        <f t="shared" si="13"/>
        <v>0.969430319898661</v>
      </c>
      <c r="O177">
        <v>4.6815</v>
      </c>
      <c r="P177">
        <v>1.05157962191605</v>
      </c>
      <c r="Q177">
        <f t="shared" si="14"/>
        <v>5.56834198647613</v>
      </c>
      <c r="T177">
        <v>0.002393</v>
      </c>
      <c r="U177">
        <v>2.05723777684914</v>
      </c>
      <c r="V177">
        <f t="shared" si="15"/>
        <v>2.84631899468918</v>
      </c>
      <c r="Y177">
        <v>5568.248868</v>
      </c>
      <c r="Z177">
        <v>5.568248868</v>
      </c>
      <c r="AA177">
        <v>1.05159720760488</v>
      </c>
      <c r="AD177">
        <v>0.00924818</v>
      </c>
      <c r="AE177">
        <v>0.532317710079172</v>
      </c>
      <c r="AF177">
        <f t="shared" si="16"/>
        <v>11.0001129963663</v>
      </c>
      <c r="AI177">
        <v>0.840735</v>
      </c>
      <c r="AJ177">
        <v>5.85555496083784</v>
      </c>
    </row>
    <row r="178" spans="1:36">
      <c r="A178">
        <f t="shared" si="17"/>
        <v>177</v>
      </c>
      <c r="B178" t="s">
        <v>205</v>
      </c>
      <c r="C178">
        <v>3539034</v>
      </c>
      <c r="E178">
        <v>4.685</v>
      </c>
      <c r="F178">
        <v>0.755396798292423</v>
      </c>
      <c r="G178">
        <f t="shared" si="12"/>
        <v>10.7695207620729</v>
      </c>
      <c r="J178">
        <v>0.361977</v>
      </c>
      <c r="K178">
        <v>9.77695820452681</v>
      </c>
      <c r="L178">
        <f t="shared" si="13"/>
        <v>0.832085126337857</v>
      </c>
      <c r="O178">
        <v>2.2698</v>
      </c>
      <c r="P178">
        <v>1.55918318794607</v>
      </c>
      <c r="Q178">
        <f t="shared" si="14"/>
        <v>5.21764316451508</v>
      </c>
      <c r="T178">
        <v>0.001916</v>
      </c>
      <c r="U178">
        <v>1.84709498956159</v>
      </c>
      <c r="V178">
        <f t="shared" si="15"/>
        <v>4.40435470226929</v>
      </c>
      <c r="Y178">
        <v>7251.731485</v>
      </c>
      <c r="Z178">
        <v>7.251731485</v>
      </c>
      <c r="AA178">
        <v>1.12183711154242</v>
      </c>
      <c r="AD178">
        <v>0.00127914</v>
      </c>
      <c r="AE178">
        <v>2.76672920868709</v>
      </c>
      <c r="AF178">
        <f t="shared" si="16"/>
        <v>2.94038949575196</v>
      </c>
      <c r="AI178">
        <v>0.435024</v>
      </c>
      <c r="AJ178">
        <v>8.13526150281364</v>
      </c>
    </row>
    <row r="179" spans="1:36">
      <c r="A179">
        <f t="shared" si="17"/>
        <v>178</v>
      </c>
      <c r="B179" t="s">
        <v>206</v>
      </c>
      <c r="C179">
        <v>10215038</v>
      </c>
      <c r="E179">
        <v>6.314</v>
      </c>
      <c r="F179">
        <v>1.61783940449794</v>
      </c>
      <c r="G179">
        <f t="shared" si="12"/>
        <v>9.11011202234675</v>
      </c>
      <c r="J179">
        <v>0.633333</v>
      </c>
      <c r="K179">
        <v>16.1290158573768</v>
      </c>
      <c r="L179">
        <f t="shared" si="13"/>
        <v>0.913800218157891</v>
      </c>
      <c r="O179">
        <v>5.0774</v>
      </c>
      <c r="P179">
        <v>2.01186394611415</v>
      </c>
      <c r="Q179">
        <f t="shared" si="14"/>
        <v>7.3258921099562</v>
      </c>
      <c r="T179">
        <v>0.003626</v>
      </c>
      <c r="U179">
        <v>2.81716436845008</v>
      </c>
      <c r="V179">
        <f t="shared" si="15"/>
        <v>5.23174947624792</v>
      </c>
      <c r="Y179">
        <v>11653.115881</v>
      </c>
      <c r="Z179">
        <v>11.653115881</v>
      </c>
      <c r="AA179">
        <v>1.26478603316508</v>
      </c>
      <c r="AD179">
        <v>0.0134866</v>
      </c>
      <c r="AE179">
        <v>0.757421292245636</v>
      </c>
      <c r="AF179">
        <f t="shared" si="16"/>
        <v>19.4590492240389</v>
      </c>
      <c r="AI179">
        <v>0.693076</v>
      </c>
      <c r="AJ179">
        <v>14.738698209143</v>
      </c>
    </row>
    <row r="180" spans="1:36">
      <c r="A180">
        <f t="shared" si="17"/>
        <v>179</v>
      </c>
      <c r="B180" t="s">
        <v>207</v>
      </c>
      <c r="C180">
        <v>10200858</v>
      </c>
      <c r="E180">
        <v>6.807</v>
      </c>
      <c r="F180">
        <v>1.49858351696783</v>
      </c>
      <c r="G180">
        <f t="shared" si="12"/>
        <v>10.5109718981669</v>
      </c>
      <c r="J180">
        <v>0.7093</v>
      </c>
      <c r="K180">
        <v>14.3815846609333</v>
      </c>
      <c r="L180">
        <f t="shared" si="13"/>
        <v>1.09525963969</v>
      </c>
      <c r="O180">
        <v>4.5574</v>
      </c>
      <c r="P180">
        <v>2.23830649054285</v>
      </c>
      <c r="Q180">
        <f t="shared" si="14"/>
        <v>7.03727094589482</v>
      </c>
      <c r="T180">
        <v>0.002501</v>
      </c>
      <c r="U180">
        <v>4.07871171531387</v>
      </c>
      <c r="V180">
        <f t="shared" si="15"/>
        <v>3.86189815150808</v>
      </c>
      <c r="Y180">
        <v>10828.632239</v>
      </c>
      <c r="Z180">
        <v>10.828632239</v>
      </c>
      <c r="AA180">
        <v>1.45462223540797</v>
      </c>
      <c r="AD180">
        <v>0.00942385</v>
      </c>
      <c r="AE180">
        <v>1.08245122747073</v>
      </c>
      <c r="AF180">
        <f t="shared" si="16"/>
        <v>14.5517588544939</v>
      </c>
      <c r="AI180">
        <v>0.647609</v>
      </c>
      <c r="AJ180">
        <v>15.751569233905</v>
      </c>
    </row>
    <row r="181" spans="1:36">
      <c r="A181">
        <f t="shared" si="17"/>
        <v>180</v>
      </c>
      <c r="B181" t="s">
        <v>208</v>
      </c>
      <c r="C181">
        <v>10215038</v>
      </c>
      <c r="E181">
        <v>7.61</v>
      </c>
      <c r="F181">
        <v>1.34231773981603</v>
      </c>
      <c r="G181">
        <f t="shared" si="12"/>
        <v>11.2716193658567</v>
      </c>
      <c r="J181">
        <v>0.758462</v>
      </c>
      <c r="K181">
        <v>13.4680946441615</v>
      </c>
      <c r="L181">
        <f t="shared" si="13"/>
        <v>1.12340275525182</v>
      </c>
      <c r="O181">
        <v>5.0912</v>
      </c>
      <c r="P181">
        <v>2.00641066939032</v>
      </c>
      <c r="Q181">
        <f t="shared" si="14"/>
        <v>7.54087628323907</v>
      </c>
      <c r="T181">
        <v>0.00398</v>
      </c>
      <c r="U181">
        <v>2.56659246231156</v>
      </c>
      <c r="V181">
        <f t="shared" si="15"/>
        <v>5.89501249357548</v>
      </c>
      <c r="Y181">
        <v>9233.790341</v>
      </c>
      <c r="Z181">
        <v>9.233790341</v>
      </c>
      <c r="AA181">
        <v>1.63855730664172</v>
      </c>
      <c r="AD181">
        <v>0.0106425</v>
      </c>
      <c r="AE181">
        <v>0.959834437397228</v>
      </c>
      <c r="AF181">
        <f t="shared" si="16"/>
        <v>15.7632337846425</v>
      </c>
      <c r="AI181">
        <v>0.675147</v>
      </c>
      <c r="AJ181">
        <v>15.1300946312433</v>
      </c>
    </row>
    <row r="182" spans="1:36">
      <c r="A182">
        <f t="shared" si="17"/>
        <v>181</v>
      </c>
      <c r="B182" t="s">
        <v>209</v>
      </c>
      <c r="C182">
        <v>3299664</v>
      </c>
      <c r="E182">
        <v>8.929</v>
      </c>
      <c r="F182">
        <v>0.369544629857767</v>
      </c>
      <c r="G182">
        <f t="shared" si="12"/>
        <v>8.29254701648479</v>
      </c>
      <c r="J182">
        <v>1.129413</v>
      </c>
      <c r="K182">
        <v>2.9215743045281</v>
      </c>
      <c r="L182">
        <f t="shared" si="13"/>
        <v>1.04890921755282</v>
      </c>
      <c r="O182">
        <v>5.1103</v>
      </c>
      <c r="P182">
        <v>0.645688902804141</v>
      </c>
      <c r="Q182">
        <f t="shared" si="14"/>
        <v>4.74604132807058</v>
      </c>
      <c r="T182">
        <v>0.002246</v>
      </c>
      <c r="U182">
        <v>1.46912911843277</v>
      </c>
      <c r="V182">
        <f t="shared" si="15"/>
        <v>2.08590666357093</v>
      </c>
      <c r="Y182">
        <v>2783.802971</v>
      </c>
      <c r="Z182">
        <v>2.783802971</v>
      </c>
      <c r="AA182">
        <v>1.10082008306938</v>
      </c>
      <c r="AD182">
        <v>0.00312198</v>
      </c>
      <c r="AE182">
        <v>1.05691388157515</v>
      </c>
      <c r="AF182">
        <f t="shared" si="16"/>
        <v>2.89944741119109</v>
      </c>
      <c r="AI182">
        <v>1.07675</v>
      </c>
      <c r="AJ182">
        <v>3.064466217785</v>
      </c>
    </row>
    <row r="183" spans="1:36">
      <c r="A183">
        <f t="shared" si="17"/>
        <v>182</v>
      </c>
      <c r="B183" t="s">
        <v>210</v>
      </c>
      <c r="C183">
        <v>61590860</v>
      </c>
      <c r="E183">
        <v>29.136</v>
      </c>
      <c r="F183">
        <v>2.11390925315761</v>
      </c>
      <c r="G183">
        <f t="shared" si="12"/>
        <v>7.5531371598483</v>
      </c>
      <c r="J183">
        <v>5.120436</v>
      </c>
      <c r="K183">
        <v>12.0284405468597</v>
      </c>
      <c r="L183">
        <f t="shared" si="13"/>
        <v>1.32740786059257</v>
      </c>
      <c r="O183">
        <v>10.3753</v>
      </c>
      <c r="P183">
        <v>5.9362967817798</v>
      </c>
      <c r="Q183">
        <f t="shared" si="14"/>
        <v>2.68966446919873</v>
      </c>
      <c r="T183">
        <v>0.003902</v>
      </c>
      <c r="U183">
        <v>15.7844336237827</v>
      </c>
      <c r="V183">
        <f t="shared" si="15"/>
        <v>1.01154383572653</v>
      </c>
      <c r="Y183">
        <v>11535.5165</v>
      </c>
      <c r="Z183">
        <v>11.5355165</v>
      </c>
      <c r="AA183">
        <v>1.38412931337508</v>
      </c>
      <c r="AD183">
        <v>0.00902653</v>
      </c>
      <c r="AE183">
        <v>6.82331527176002</v>
      </c>
      <c r="AF183">
        <f t="shared" si="16"/>
        <v>2.34001301371106</v>
      </c>
      <c r="AI183">
        <v>3.85747</v>
      </c>
      <c r="AJ183">
        <v>15.9666465325719</v>
      </c>
    </row>
    <row r="184" spans="1:36">
      <c r="A184">
        <f t="shared" si="17"/>
        <v>183</v>
      </c>
      <c r="B184" t="s">
        <v>211</v>
      </c>
      <c r="C184">
        <v>16297916</v>
      </c>
      <c r="E184">
        <v>13.699</v>
      </c>
      <c r="F184">
        <v>1.18971574567487</v>
      </c>
      <c r="G184">
        <f t="shared" si="12"/>
        <v>16.4458519813295</v>
      </c>
      <c r="J184">
        <v>0.903314</v>
      </c>
      <c r="K184">
        <v>18.0423595781755</v>
      </c>
      <c r="L184">
        <f t="shared" si="13"/>
        <v>1.08444180864755</v>
      </c>
      <c r="O184">
        <v>5.07</v>
      </c>
      <c r="P184">
        <v>3.21457909270217</v>
      </c>
      <c r="Q184">
        <f t="shared" si="14"/>
        <v>6.08660993834155</v>
      </c>
      <c r="T184">
        <v>0.002826</v>
      </c>
      <c r="U184">
        <v>5.76713234253362</v>
      </c>
      <c r="V184">
        <f t="shared" si="15"/>
        <v>3.39265477036553</v>
      </c>
      <c r="Y184">
        <v>16860.758291</v>
      </c>
      <c r="Z184">
        <v>16.860758291</v>
      </c>
      <c r="AA184">
        <v>1.16043944854307</v>
      </c>
      <c r="AD184">
        <v>0.0111946</v>
      </c>
      <c r="AE184">
        <v>1.45587301020135</v>
      </c>
      <c r="AF184">
        <f t="shared" si="16"/>
        <v>13.4392827644494</v>
      </c>
      <c r="AI184">
        <v>0.832976</v>
      </c>
      <c r="AJ184">
        <v>19.565889053226</v>
      </c>
    </row>
    <row r="185" spans="1:36">
      <c r="A185">
        <f t="shared" si="17"/>
        <v>184</v>
      </c>
      <c r="B185" t="s">
        <v>212</v>
      </c>
      <c r="C185">
        <v>30147168</v>
      </c>
      <c r="E185">
        <v>16.488</v>
      </c>
      <c r="F185">
        <v>1.8284308588064</v>
      </c>
      <c r="G185">
        <f t="shared" si="12"/>
        <v>11.0226429473938</v>
      </c>
      <c r="J185">
        <v>1.2262</v>
      </c>
      <c r="K185">
        <v>24.5858489642799</v>
      </c>
      <c r="L185">
        <f t="shared" si="13"/>
        <v>0.819745559321579</v>
      </c>
      <c r="O185">
        <v>6.2759</v>
      </c>
      <c r="P185">
        <v>4.80364059338103</v>
      </c>
      <c r="Q185">
        <f t="shared" si="14"/>
        <v>4.19559709325257</v>
      </c>
      <c r="T185">
        <v>0.003504</v>
      </c>
      <c r="U185">
        <v>8.60364383561644</v>
      </c>
      <c r="V185">
        <f t="shared" si="15"/>
        <v>2.34251218387116</v>
      </c>
      <c r="Y185">
        <v>15002.135205</v>
      </c>
      <c r="Z185">
        <v>15.002135205</v>
      </c>
      <c r="AA185">
        <v>1.34341813583325</v>
      </c>
      <c r="AD185">
        <v>0.00835379</v>
      </c>
      <c r="AE185">
        <v>3.60880127463104</v>
      </c>
      <c r="AF185">
        <f t="shared" si="16"/>
        <v>5.58471885174116</v>
      </c>
      <c r="AI185">
        <v>1.49583</v>
      </c>
      <c r="AJ185">
        <v>20.1541405106195</v>
      </c>
    </row>
    <row r="186" spans="1:36">
      <c r="A186">
        <f t="shared" si="17"/>
        <v>185</v>
      </c>
      <c r="B186" t="s">
        <v>213</v>
      </c>
      <c r="C186">
        <v>1950786</v>
      </c>
      <c r="E186">
        <v>5.789</v>
      </c>
      <c r="F186">
        <v>0.336981516669546</v>
      </c>
      <c r="G186">
        <f t="shared" si="12"/>
        <v>8.14695766227771</v>
      </c>
      <c r="J186">
        <v>0.764748</v>
      </c>
      <c r="K186">
        <v>2.55088735112743</v>
      </c>
      <c r="L186">
        <f t="shared" si="13"/>
        <v>1.07624280157394</v>
      </c>
      <c r="O186">
        <v>4.4519</v>
      </c>
      <c r="P186">
        <v>0.438191783283542</v>
      </c>
      <c r="Q186">
        <f t="shared" si="14"/>
        <v>6.26523420568218</v>
      </c>
      <c r="T186">
        <v>0.003405</v>
      </c>
      <c r="U186">
        <v>0.572918061674009</v>
      </c>
      <c r="V186">
        <f t="shared" si="15"/>
        <v>4.79191411989214</v>
      </c>
      <c r="Y186">
        <v>3119.956968</v>
      </c>
      <c r="Z186">
        <v>3.119956968</v>
      </c>
      <c r="AA186">
        <v>0.879939748347491</v>
      </c>
      <c r="AD186">
        <v>0.00211893</v>
      </c>
      <c r="AE186">
        <v>0.920646741515765</v>
      </c>
      <c r="AF186">
        <f t="shared" si="16"/>
        <v>2.9820060458335</v>
      </c>
      <c r="AI186">
        <v>0.710572</v>
      </c>
      <c r="AJ186">
        <v>2.74537414927692</v>
      </c>
    </row>
    <row r="187" spans="1:36">
      <c r="A187">
        <f t="shared" si="17"/>
        <v>186</v>
      </c>
      <c r="B187" t="s">
        <v>214</v>
      </c>
      <c r="C187">
        <v>1038412</v>
      </c>
      <c r="E187">
        <v>3.127</v>
      </c>
      <c r="F187">
        <v>0.332079309242085</v>
      </c>
      <c r="G187">
        <f t="shared" si="12"/>
        <v>3.56833120321345</v>
      </c>
      <c r="J187">
        <v>1.053565</v>
      </c>
      <c r="K187">
        <v>0.985617403767209</v>
      </c>
      <c r="L187">
        <f t="shared" si="13"/>
        <v>1.20226058973891</v>
      </c>
      <c r="O187">
        <v>4.3456</v>
      </c>
      <c r="P187">
        <v>0.238957106038292</v>
      </c>
      <c r="Q187">
        <f t="shared" si="14"/>
        <v>4.95891911630455</v>
      </c>
      <c r="T187">
        <v>0.005042</v>
      </c>
      <c r="U187">
        <v>0.205952399841333</v>
      </c>
      <c r="V187">
        <f t="shared" si="15"/>
        <v>5.75360598867994</v>
      </c>
      <c r="Y187">
        <v>1708.262568</v>
      </c>
      <c r="Z187">
        <v>1.708262568</v>
      </c>
      <c r="AA187">
        <v>0.693669101757254</v>
      </c>
      <c r="AD187">
        <v>0.00197813</v>
      </c>
      <c r="AE187">
        <v>0.524946287655513</v>
      </c>
      <c r="AF187">
        <f t="shared" si="16"/>
        <v>2.25731467956911</v>
      </c>
      <c r="AI187">
        <v>0.87632</v>
      </c>
      <c r="AJ187">
        <v>1.1849689611101</v>
      </c>
    </row>
    <row r="188" spans="1:36">
      <c r="A188">
        <f t="shared" si="17"/>
        <v>187</v>
      </c>
      <c r="B188" t="s">
        <v>215</v>
      </c>
      <c r="C188">
        <v>73755448</v>
      </c>
      <c r="E188">
        <v>92.72</v>
      </c>
      <c r="F188">
        <v>0.795464279551337</v>
      </c>
      <c r="G188">
        <f t="shared" si="12"/>
        <v>6.07641391965398</v>
      </c>
      <c r="J188">
        <v>42.626302</v>
      </c>
      <c r="K188">
        <v>1.73028023871271</v>
      </c>
      <c r="L188">
        <f t="shared" si="13"/>
        <v>2.79351871026935</v>
      </c>
      <c r="O188">
        <v>29.3292</v>
      </c>
      <c r="P188">
        <v>2.51474462310598</v>
      </c>
      <c r="Q188">
        <f t="shared" si="14"/>
        <v>1.92209188020185</v>
      </c>
      <c r="T188">
        <v>0.014582</v>
      </c>
      <c r="U188">
        <v>5.05797887806885</v>
      </c>
      <c r="V188">
        <f t="shared" si="15"/>
        <v>0.955632741332985</v>
      </c>
      <c r="Y188">
        <v>4206.907366</v>
      </c>
      <c r="Z188">
        <v>4.206907366</v>
      </c>
      <c r="AA188">
        <v>1.14896045962835</v>
      </c>
      <c r="AD188">
        <v>0.0306848</v>
      </c>
      <c r="AE188">
        <v>2.4036476692043</v>
      </c>
      <c r="AF188">
        <f t="shared" si="16"/>
        <v>2.01093125368635</v>
      </c>
      <c r="AI188">
        <v>15.259</v>
      </c>
      <c r="AJ188">
        <v>4.83357022085327</v>
      </c>
    </row>
    <row r="189" spans="1:36">
      <c r="A189">
        <f t="shared" si="17"/>
        <v>188</v>
      </c>
      <c r="B189" t="s">
        <v>216</v>
      </c>
      <c r="C189">
        <v>10437072</v>
      </c>
      <c r="E189">
        <v>20.994</v>
      </c>
      <c r="F189">
        <v>0.497145470134324</v>
      </c>
      <c r="G189">
        <f t="shared" si="12"/>
        <v>7.90797012193055</v>
      </c>
      <c r="J189">
        <v>2.84063</v>
      </c>
      <c r="K189">
        <v>3.67421029841972</v>
      </c>
      <c r="L189">
        <f t="shared" si="13"/>
        <v>1.07000177038485</v>
      </c>
      <c r="O189">
        <v>8.5329</v>
      </c>
      <c r="P189">
        <v>1.22315648841543</v>
      </c>
      <c r="Q189">
        <f t="shared" si="14"/>
        <v>3.21415253183867</v>
      </c>
      <c r="T189">
        <v>0.002882</v>
      </c>
      <c r="U189">
        <v>3.62146842470507</v>
      </c>
      <c r="V189">
        <f t="shared" si="15"/>
        <v>1.08558492385462</v>
      </c>
      <c r="Y189">
        <v>4547.76425</v>
      </c>
      <c r="Z189">
        <v>4.54776425</v>
      </c>
      <c r="AA189">
        <v>0.864471267189224</v>
      </c>
      <c r="AD189">
        <v>0.00388202</v>
      </c>
      <c r="AE189">
        <v>2.68856729228597</v>
      </c>
      <c r="AF189">
        <f t="shared" si="16"/>
        <v>1.46227008539282</v>
      </c>
      <c r="AI189">
        <v>2.65479</v>
      </c>
      <c r="AJ189">
        <v>3.93141152407535</v>
      </c>
    </row>
    <row r="190" spans="1:36">
      <c r="A190">
        <f t="shared" si="17"/>
        <v>189</v>
      </c>
      <c r="B190" t="s">
        <v>217</v>
      </c>
      <c r="C190">
        <v>5881648</v>
      </c>
      <c r="E190">
        <v>6.632</v>
      </c>
      <c r="F190">
        <v>0.886858866103739</v>
      </c>
      <c r="G190">
        <f t="shared" si="12"/>
        <v>12.7540178425479</v>
      </c>
      <c r="J190">
        <v>0.647811</v>
      </c>
      <c r="K190">
        <v>9.0792654030265</v>
      </c>
      <c r="L190">
        <f t="shared" si="13"/>
        <v>1.24580715509632</v>
      </c>
      <c r="O190">
        <v>3.7734</v>
      </c>
      <c r="P190">
        <v>1.55871309694175</v>
      </c>
      <c r="Q190">
        <f t="shared" si="14"/>
        <v>7.25663614702507</v>
      </c>
      <c r="T190">
        <v>0.001898</v>
      </c>
      <c r="U190">
        <v>3.09886617492097</v>
      </c>
      <c r="V190">
        <f t="shared" si="15"/>
        <v>3.65004913527683</v>
      </c>
      <c r="Y190">
        <v>7193.699091</v>
      </c>
      <c r="Z190">
        <v>7.193699091</v>
      </c>
      <c r="AA190">
        <v>1.57235014406706</v>
      </c>
      <c r="AD190">
        <v>0.00314276</v>
      </c>
      <c r="AE190">
        <v>1.8714913006402</v>
      </c>
      <c r="AF190">
        <f t="shared" si="16"/>
        <v>6.04385059029643</v>
      </c>
      <c r="AI190">
        <v>0.519993</v>
      </c>
      <c r="AJ190">
        <v>11.3110138021089</v>
      </c>
    </row>
    <row r="191" spans="1:36">
      <c r="A191">
        <f t="shared" si="17"/>
        <v>190</v>
      </c>
      <c r="B191" t="s">
        <v>218</v>
      </c>
      <c r="C191">
        <v>21786832</v>
      </c>
      <c r="E191">
        <v>28.862</v>
      </c>
      <c r="F191">
        <v>0.754862171713672</v>
      </c>
      <c r="G191">
        <f t="shared" si="12"/>
        <v>9.97732269528063</v>
      </c>
      <c r="J191">
        <v>3.572587</v>
      </c>
      <c r="K191">
        <v>6.09833490409051</v>
      </c>
      <c r="L191">
        <f t="shared" si="13"/>
        <v>1.23500981761363</v>
      </c>
      <c r="O191">
        <v>9.161</v>
      </c>
      <c r="P191">
        <v>2.37821547865953</v>
      </c>
      <c r="Q191">
        <f t="shared" si="14"/>
        <v>3.16687177643497</v>
      </c>
      <c r="T191">
        <v>0.003672</v>
      </c>
      <c r="U191">
        <v>5.93323311546841</v>
      </c>
      <c r="V191">
        <f t="shared" si="15"/>
        <v>1.26937595929147</v>
      </c>
      <c r="Y191">
        <v>7433.352639</v>
      </c>
      <c r="Z191">
        <v>7.433352639</v>
      </c>
      <c r="AA191">
        <v>1.0132041144036</v>
      </c>
      <c r="AD191">
        <v>0.0100927</v>
      </c>
      <c r="AE191">
        <v>2.15867230770755</v>
      </c>
      <c r="AF191">
        <f t="shared" si="16"/>
        <v>3.48895172776172</v>
      </c>
      <c r="AI191">
        <v>2.89276</v>
      </c>
      <c r="AJ191">
        <v>7.53150347764764</v>
      </c>
    </row>
    <row r="192" spans="1:36">
      <c r="A192">
        <f t="shared" si="17"/>
        <v>191</v>
      </c>
      <c r="B192" t="s">
        <v>219</v>
      </c>
      <c r="C192">
        <v>14809786</v>
      </c>
      <c r="E192">
        <v>24.263</v>
      </c>
      <c r="F192">
        <v>0.610385607715451</v>
      </c>
      <c r="G192">
        <f t="shared" si="12"/>
        <v>8.4268765368639</v>
      </c>
      <c r="J192">
        <v>1.029001</v>
      </c>
      <c r="K192">
        <v>14.392392232855</v>
      </c>
      <c r="L192">
        <f t="shared" si="13"/>
        <v>0.357386324168877</v>
      </c>
      <c r="O192">
        <v>7.563</v>
      </c>
      <c r="P192">
        <v>1.95818934285337</v>
      </c>
      <c r="Q192">
        <f t="shared" si="14"/>
        <v>2.6267348328031</v>
      </c>
      <c r="T192">
        <v>0.0028</v>
      </c>
      <c r="U192">
        <v>5.28920928571429</v>
      </c>
      <c r="V192">
        <f t="shared" si="15"/>
        <v>0.972478848585043</v>
      </c>
      <c r="Y192">
        <v>6083.613452</v>
      </c>
      <c r="Z192">
        <v>6.083613452</v>
      </c>
      <c r="AA192">
        <v>0.845491613936413</v>
      </c>
      <c r="AD192">
        <v>0.00766276</v>
      </c>
      <c r="AE192">
        <v>1.93269605207523</v>
      </c>
      <c r="AF192">
        <f t="shared" si="16"/>
        <v>2.66138286492269</v>
      </c>
      <c r="AI192">
        <v>2.87924</v>
      </c>
      <c r="AJ192">
        <v>5.14364415609675</v>
      </c>
    </row>
    <row r="193" spans="1:36">
      <c r="A193">
        <f t="shared" si="17"/>
        <v>192</v>
      </c>
      <c r="B193" t="s">
        <v>220</v>
      </c>
      <c r="C193">
        <v>1914792</v>
      </c>
      <c r="E193">
        <v>4.916</v>
      </c>
      <c r="F193">
        <v>0.389502034174125</v>
      </c>
      <c r="G193">
        <f t="shared" si="12"/>
        <v>3.24623440770751</v>
      </c>
      <c r="J193">
        <v>0.979295</v>
      </c>
      <c r="K193">
        <v>1.95527598935969</v>
      </c>
      <c r="L193">
        <f t="shared" si="13"/>
        <v>0.646668251484118</v>
      </c>
      <c r="O193">
        <v>5.6916</v>
      </c>
      <c r="P193">
        <v>0.336424204090238</v>
      </c>
      <c r="Q193">
        <f t="shared" si="14"/>
        <v>3.75839457992434</v>
      </c>
      <c r="T193">
        <v>0.001999</v>
      </c>
      <c r="U193">
        <v>0.957874937468734</v>
      </c>
      <c r="V193">
        <f t="shared" si="15"/>
        <v>1.32002086676308</v>
      </c>
      <c r="Y193">
        <v>1903.446969</v>
      </c>
      <c r="Z193">
        <v>1.903446969</v>
      </c>
      <c r="AA193">
        <v>0.664276402653018</v>
      </c>
      <c r="AD193">
        <v>0.00325409</v>
      </c>
      <c r="AE193">
        <v>0.588426257417588</v>
      </c>
      <c r="AF193">
        <f t="shared" si="16"/>
        <v>2.14880775504006</v>
      </c>
      <c r="AI193">
        <v>1.51437</v>
      </c>
      <c r="AJ193">
        <v>1.26441490520811</v>
      </c>
    </row>
    <row r="194" spans="1:36">
      <c r="A194">
        <f t="shared" si="17"/>
        <v>193</v>
      </c>
      <c r="B194" t="s">
        <v>221</v>
      </c>
      <c r="C194">
        <v>54434958</v>
      </c>
      <c r="E194">
        <v>502.121</v>
      </c>
      <c r="F194">
        <v>0.108410040607742</v>
      </c>
      <c r="G194">
        <f t="shared" si="12"/>
        <v>110.466487440215</v>
      </c>
      <c r="J194">
        <v>11.288103</v>
      </c>
      <c r="K194">
        <v>4.82233002303399</v>
      </c>
      <c r="L194">
        <f t="shared" si="13"/>
        <v>2.48337967994437</v>
      </c>
      <c r="O194">
        <v>33.7866</v>
      </c>
      <c r="P194">
        <v>1.61114045213191</v>
      </c>
      <c r="Q194">
        <f t="shared" si="14"/>
        <v>7.43304308034828</v>
      </c>
      <c r="T194">
        <v>0.01751</v>
      </c>
      <c r="U194">
        <v>3.10879257567104</v>
      </c>
      <c r="V194">
        <f t="shared" si="15"/>
        <v>3.85219537736554</v>
      </c>
      <c r="Y194">
        <v>4004.935191</v>
      </c>
      <c r="Z194">
        <v>4.004935191</v>
      </c>
      <c r="AA194">
        <v>2.99022975854899</v>
      </c>
      <c r="AD194">
        <v>0.0345461</v>
      </c>
      <c r="AE194">
        <v>1.57571934313859</v>
      </c>
      <c r="AF194">
        <f t="shared" si="16"/>
        <v>7.60013287984052</v>
      </c>
      <c r="AI194">
        <v>4.54546</v>
      </c>
      <c r="AJ194">
        <v>11.9756763891883</v>
      </c>
    </row>
    <row r="195" spans="1:36">
      <c r="A195">
        <f t="shared" si="17"/>
        <v>194</v>
      </c>
      <c r="B195" t="s">
        <v>222</v>
      </c>
      <c r="C195">
        <v>9790206</v>
      </c>
      <c r="E195">
        <v>10.736</v>
      </c>
      <c r="F195">
        <v>0.911904433681073</v>
      </c>
      <c r="G195">
        <f t="shared" ref="G195:G258" si="18">AJ195/F195</f>
        <v>18.9996849903196</v>
      </c>
      <c r="J195">
        <v>0.67908</v>
      </c>
      <c r="K195">
        <v>14.4168669376215</v>
      </c>
      <c r="L195">
        <f t="shared" ref="L195:L258" si="19">AJ195/K195</f>
        <v>1.20177962772227</v>
      </c>
      <c r="O195">
        <v>4.3297</v>
      </c>
      <c r="P195">
        <v>2.2611742153036</v>
      </c>
      <c r="Q195">
        <f t="shared" ref="Q195:Q258" si="20">AJ195/P195</f>
        <v>7.66234501700698</v>
      </c>
      <c r="T195">
        <v>0.002013</v>
      </c>
      <c r="U195">
        <v>4.86349031296572</v>
      </c>
      <c r="V195">
        <f t="shared" ref="V195:V258" si="21">AJ195/U195</f>
        <v>3.56244093568493</v>
      </c>
      <c r="Y195">
        <v>11381.130258</v>
      </c>
      <c r="Z195">
        <v>11.381130258</v>
      </c>
      <c r="AA195">
        <v>1.52233535584372</v>
      </c>
      <c r="AD195">
        <v>0.00322358</v>
      </c>
      <c r="AE195">
        <v>3.03706003883881</v>
      </c>
      <c r="AF195">
        <f t="shared" ref="AF195:AF258" si="22">AJ195/AE195</f>
        <v>5.70482531120478</v>
      </c>
      <c r="AI195">
        <v>0.565062</v>
      </c>
      <c r="AJ195">
        <v>17.3258969812162</v>
      </c>
    </row>
    <row r="196" spans="1:36">
      <c r="A196">
        <f t="shared" ref="A196:A259" si="23">A195+1</f>
        <v>195</v>
      </c>
      <c r="B196" t="s">
        <v>223</v>
      </c>
      <c r="C196">
        <v>9014258</v>
      </c>
      <c r="E196">
        <v>10.142</v>
      </c>
      <c r="F196">
        <v>0.888804772234273</v>
      </c>
      <c r="G196">
        <f t="shared" si="18"/>
        <v>14.2220103208436</v>
      </c>
      <c r="J196">
        <v>0.97801</v>
      </c>
      <c r="K196">
        <v>9.21693847711169</v>
      </c>
      <c r="L196">
        <f t="shared" si="19"/>
        <v>1.37145221000673</v>
      </c>
      <c r="O196">
        <v>4.0228</v>
      </c>
      <c r="P196">
        <v>2.24079198568161</v>
      </c>
      <c r="Q196">
        <f t="shared" si="20"/>
        <v>5.64112631815124</v>
      </c>
      <c r="T196">
        <v>0.002363</v>
      </c>
      <c r="U196">
        <v>3.81475158696572</v>
      </c>
      <c r="V196">
        <f t="shared" si="21"/>
        <v>3.31360780794256</v>
      </c>
      <c r="Y196">
        <v>7667.067561</v>
      </c>
      <c r="Z196">
        <v>7.667067561</v>
      </c>
      <c r="AA196">
        <v>1.64868648193863</v>
      </c>
      <c r="AD196">
        <v>0.00262196</v>
      </c>
      <c r="AE196">
        <v>3.43798456116798</v>
      </c>
      <c r="AF196">
        <f t="shared" si="22"/>
        <v>3.6767444469374</v>
      </c>
      <c r="AI196">
        <v>0.71312</v>
      </c>
      <c r="AJ196">
        <v>12.6405906439309</v>
      </c>
    </row>
    <row r="197" spans="1:36">
      <c r="A197">
        <f t="shared" si="23"/>
        <v>196</v>
      </c>
      <c r="B197" t="s">
        <v>224</v>
      </c>
      <c r="C197">
        <v>7365360</v>
      </c>
      <c r="E197">
        <v>11.17</v>
      </c>
      <c r="F197">
        <v>0.659387645478962</v>
      </c>
      <c r="G197">
        <f t="shared" si="18"/>
        <v>15.48489771927</v>
      </c>
      <c r="J197">
        <v>0.990204</v>
      </c>
      <c r="K197">
        <v>7.43822485063684</v>
      </c>
      <c r="L197">
        <f t="shared" si="19"/>
        <v>1.37271330897154</v>
      </c>
      <c r="O197">
        <v>4.5784</v>
      </c>
      <c r="P197">
        <v>1.6087192032151</v>
      </c>
      <c r="Q197">
        <f t="shared" si="20"/>
        <v>6.34700588342934</v>
      </c>
      <c r="T197">
        <v>0.002397</v>
      </c>
      <c r="U197">
        <v>3.0727409261577</v>
      </c>
      <c r="V197">
        <f t="shared" si="21"/>
        <v>3.3229453744933</v>
      </c>
      <c r="Y197">
        <v>6474.87702</v>
      </c>
      <c r="Z197">
        <v>6.47487702</v>
      </c>
      <c r="AA197">
        <v>1.57694890822683</v>
      </c>
      <c r="AD197">
        <v>0.0100766</v>
      </c>
      <c r="AE197">
        <v>0.730937022408352</v>
      </c>
      <c r="AF197">
        <f t="shared" si="22"/>
        <v>13.9691244725153</v>
      </c>
      <c r="AI197">
        <v>0.721348</v>
      </c>
      <c r="AJ197">
        <v>10.210550247592</v>
      </c>
    </row>
    <row r="198" spans="1:36">
      <c r="A198">
        <f t="shared" si="23"/>
        <v>197</v>
      </c>
      <c r="B198" t="s">
        <v>225</v>
      </c>
      <c r="C198">
        <v>351780064</v>
      </c>
      <c r="E198">
        <v>319.169</v>
      </c>
      <c r="F198">
        <v>1.10217491047063</v>
      </c>
      <c r="G198">
        <f t="shared" si="18"/>
        <v>7.93567796715522</v>
      </c>
      <c r="J198">
        <v>52.259208</v>
      </c>
      <c r="K198">
        <v>6.73144652326151</v>
      </c>
      <c r="L198">
        <f t="shared" si="19"/>
        <v>1.2993500167829</v>
      </c>
      <c r="O198">
        <v>98.9031</v>
      </c>
      <c r="P198">
        <v>3.55681534754725</v>
      </c>
      <c r="Q198">
        <f t="shared" si="20"/>
        <v>2.45908328049826</v>
      </c>
      <c r="T198">
        <v>0.063223</v>
      </c>
      <c r="U198">
        <v>5.56411533777265</v>
      </c>
      <c r="V198">
        <f t="shared" si="21"/>
        <v>1.57194893024528</v>
      </c>
      <c r="Y198">
        <v>2128.091975</v>
      </c>
      <c r="Z198">
        <v>2.128091975</v>
      </c>
      <c r="AA198">
        <v>4.11002214928848</v>
      </c>
      <c r="AD198">
        <v>0.00183315</v>
      </c>
      <c r="AE198">
        <v>191.899224831574</v>
      </c>
      <c r="AF198">
        <f t="shared" si="22"/>
        <v>0.0455786372282102</v>
      </c>
      <c r="AI198">
        <v>40.2195</v>
      </c>
      <c r="AJ198">
        <v>8.74650515297306</v>
      </c>
    </row>
    <row r="199" spans="1:36">
      <c r="A199">
        <f t="shared" si="23"/>
        <v>198</v>
      </c>
      <c r="B199" t="s">
        <v>226</v>
      </c>
      <c r="C199">
        <v>14875950</v>
      </c>
      <c r="E199">
        <v>8.216</v>
      </c>
      <c r="F199">
        <v>1.81060735150925</v>
      </c>
      <c r="G199">
        <f t="shared" si="18"/>
        <v>14.7367174930361</v>
      </c>
      <c r="J199">
        <v>0.684905</v>
      </c>
      <c r="K199">
        <v>21.7197275534563</v>
      </c>
      <c r="L199">
        <f t="shared" si="19"/>
        <v>1.22848728025413</v>
      </c>
      <c r="O199">
        <v>4.0246</v>
      </c>
      <c r="P199">
        <v>3.69625552849973</v>
      </c>
      <c r="Q199">
        <f t="shared" si="20"/>
        <v>7.21876743214133</v>
      </c>
      <c r="T199">
        <v>0.002023</v>
      </c>
      <c r="U199">
        <v>7.35341077607514</v>
      </c>
      <c r="V199">
        <f t="shared" si="21"/>
        <v>3.62857588709982</v>
      </c>
      <c r="Y199">
        <v>19149.36509</v>
      </c>
      <c r="Z199">
        <v>19.14936509</v>
      </c>
      <c r="AA199">
        <v>1.39338348319131</v>
      </c>
      <c r="AD199">
        <v>0.0195935</v>
      </c>
      <c r="AE199">
        <v>0.759228825886136</v>
      </c>
      <c r="AF199">
        <f t="shared" si="22"/>
        <v>35.1440937438904</v>
      </c>
      <c r="AI199">
        <v>0.557519</v>
      </c>
      <c r="AJ199">
        <v>26.6824090300062</v>
      </c>
    </row>
    <row r="200" spans="1:36">
      <c r="A200">
        <f t="shared" si="23"/>
        <v>199</v>
      </c>
      <c r="B200" t="s">
        <v>227</v>
      </c>
      <c r="C200">
        <v>13415824</v>
      </c>
      <c r="E200">
        <v>22.888</v>
      </c>
      <c r="F200">
        <v>0.58615099615519</v>
      </c>
      <c r="G200">
        <f t="shared" si="18"/>
        <v>27.7834425831512</v>
      </c>
      <c r="J200">
        <v>1.276109</v>
      </c>
      <c r="K200">
        <v>10.5130705919322</v>
      </c>
      <c r="L200">
        <f t="shared" si="19"/>
        <v>1.54905195435785</v>
      </c>
      <c r="O200">
        <v>5.2217</v>
      </c>
      <c r="P200">
        <v>2.56924449891798</v>
      </c>
      <c r="Q200">
        <f t="shared" si="20"/>
        <v>6.33855304685601</v>
      </c>
      <c r="T200">
        <v>0.002294</v>
      </c>
      <c r="U200">
        <v>5.84822319093287</v>
      </c>
      <c r="V200">
        <f t="shared" si="21"/>
        <v>2.78465647001699</v>
      </c>
      <c r="Y200">
        <v>6832.585273</v>
      </c>
      <c r="Z200">
        <v>6.832585273</v>
      </c>
      <c r="AA200">
        <v>2.38347446772284</v>
      </c>
      <c r="AD200">
        <v>0.011934</v>
      </c>
      <c r="AE200">
        <v>1.12416825875649</v>
      </c>
      <c r="AF200">
        <f t="shared" si="22"/>
        <v>14.4865258557903</v>
      </c>
      <c r="AI200">
        <v>0.8238</v>
      </c>
      <c r="AJ200">
        <v>16.2852925467346</v>
      </c>
    </row>
    <row r="201" spans="1:36">
      <c r="A201">
        <f t="shared" si="23"/>
        <v>200</v>
      </c>
      <c r="B201" t="s">
        <v>228</v>
      </c>
      <c r="C201">
        <v>13415824</v>
      </c>
      <c r="E201">
        <v>23.039</v>
      </c>
      <c r="F201">
        <v>0.582309301618994</v>
      </c>
      <c r="G201">
        <f t="shared" si="18"/>
        <v>24.094734904579</v>
      </c>
      <c r="J201">
        <v>1.446237</v>
      </c>
      <c r="K201">
        <v>9.27636618341254</v>
      </c>
      <c r="L201">
        <f t="shared" si="19"/>
        <v>1.5125090986672</v>
      </c>
      <c r="O201">
        <v>5.1306</v>
      </c>
      <c r="P201">
        <v>2.61486453826063</v>
      </c>
      <c r="Q201">
        <f t="shared" si="20"/>
        <v>5.36570367209658</v>
      </c>
      <c r="T201">
        <v>0.00247</v>
      </c>
      <c r="U201">
        <v>5.43150769230769</v>
      </c>
      <c r="V201">
        <f t="shared" si="21"/>
        <v>2.58318482635141</v>
      </c>
      <c r="Y201">
        <v>7445.985352</v>
      </c>
      <c r="Z201">
        <v>7.445985352</v>
      </c>
      <c r="AA201">
        <v>1.88431585501462</v>
      </c>
      <c r="AD201">
        <v>0.0124732</v>
      </c>
      <c r="AE201">
        <v>1.07557194625277</v>
      </c>
      <c r="AF201">
        <f t="shared" si="22"/>
        <v>13.0447696259297</v>
      </c>
      <c r="AI201">
        <v>0.956184</v>
      </c>
      <c r="AJ201">
        <v>14.0305882549802</v>
      </c>
    </row>
    <row r="202" spans="1:36">
      <c r="A202">
        <f t="shared" si="23"/>
        <v>201</v>
      </c>
      <c r="B202" t="s">
        <v>229</v>
      </c>
      <c r="C202">
        <v>9782702</v>
      </c>
      <c r="E202">
        <v>9.516</v>
      </c>
      <c r="F202">
        <v>1.02802669188735</v>
      </c>
      <c r="G202">
        <f t="shared" si="18"/>
        <v>16.1967575847836</v>
      </c>
      <c r="J202">
        <v>0.691344</v>
      </c>
      <c r="K202">
        <v>14.1502667268393</v>
      </c>
      <c r="L202">
        <f t="shared" si="19"/>
        <v>1.17670567209906</v>
      </c>
      <c r="O202">
        <v>3.4427</v>
      </c>
      <c r="P202">
        <v>2.84157841229268</v>
      </c>
      <c r="Q202">
        <f t="shared" si="20"/>
        <v>5.85966554614696</v>
      </c>
      <c r="T202">
        <v>0.002332</v>
      </c>
      <c r="U202">
        <v>4.19498370497427</v>
      </c>
      <c r="V202">
        <f t="shared" si="21"/>
        <v>3.96919280030637</v>
      </c>
      <c r="Y202">
        <v>10550.81106</v>
      </c>
      <c r="Z202">
        <v>10.55081106</v>
      </c>
      <c r="AA202">
        <v>1.5781439952339</v>
      </c>
      <c r="AD202">
        <v>0.00720574</v>
      </c>
      <c r="AE202">
        <v>1.35762628127021</v>
      </c>
      <c r="AF202">
        <f t="shared" si="22"/>
        <v>12.2645674652142</v>
      </c>
      <c r="AI202">
        <v>0.587525</v>
      </c>
      <c r="AJ202">
        <v>16.6506991191864</v>
      </c>
    </row>
    <row r="203" spans="1:36">
      <c r="A203">
        <f t="shared" si="23"/>
        <v>202</v>
      </c>
      <c r="B203" t="s">
        <v>230</v>
      </c>
      <c r="C203">
        <v>29324434</v>
      </c>
      <c r="E203">
        <v>10.709</v>
      </c>
      <c r="F203">
        <v>2.73829806704641</v>
      </c>
      <c r="G203">
        <f t="shared" si="18"/>
        <v>22.5137439164118</v>
      </c>
      <c r="J203">
        <v>1.078589</v>
      </c>
      <c r="K203">
        <v>27.1877740269927</v>
      </c>
      <c r="L203">
        <f t="shared" si="19"/>
        <v>2.26753912942932</v>
      </c>
      <c r="O203">
        <v>3.6105</v>
      </c>
      <c r="P203">
        <v>8.12198698241241</v>
      </c>
      <c r="Q203">
        <f t="shared" si="20"/>
        <v>7.59042603512976</v>
      </c>
      <c r="T203">
        <v>0.002682</v>
      </c>
      <c r="U203">
        <v>10.933793437733</v>
      </c>
      <c r="V203">
        <f t="shared" si="21"/>
        <v>5.63842199867556</v>
      </c>
      <c r="Y203">
        <v>34897.486345</v>
      </c>
      <c r="Z203">
        <v>34.897486345</v>
      </c>
      <c r="AA203">
        <v>1.76658401235025</v>
      </c>
      <c r="AD203">
        <v>0.00558307</v>
      </c>
      <c r="AE203">
        <v>5.2523851572701</v>
      </c>
      <c r="AF203">
        <f t="shared" si="22"/>
        <v>11.7373992200393</v>
      </c>
      <c r="AI203">
        <v>0.475665</v>
      </c>
      <c r="AJ203">
        <v>61.6493414482882</v>
      </c>
    </row>
    <row r="204" spans="1:36">
      <c r="A204">
        <f t="shared" si="23"/>
        <v>203</v>
      </c>
      <c r="B204" t="s">
        <v>231</v>
      </c>
      <c r="C204">
        <v>29324434</v>
      </c>
      <c r="E204">
        <v>12.32</v>
      </c>
      <c r="F204">
        <v>2.38023003246753</v>
      </c>
      <c r="G204">
        <f t="shared" si="18"/>
        <v>25.7058144799685</v>
      </c>
      <c r="J204">
        <v>1.030957</v>
      </c>
      <c r="K204">
        <v>28.4438963021736</v>
      </c>
      <c r="L204">
        <f t="shared" si="19"/>
        <v>2.15110303399552</v>
      </c>
      <c r="O204">
        <v>2.7327</v>
      </c>
      <c r="P204">
        <v>10.7309379002452</v>
      </c>
      <c r="Q204">
        <f t="shared" si="20"/>
        <v>5.70180837901053</v>
      </c>
      <c r="T204">
        <v>0.002438</v>
      </c>
      <c r="U204">
        <v>12.0280697292863</v>
      </c>
      <c r="V204">
        <f t="shared" si="21"/>
        <v>5.08691361218856</v>
      </c>
      <c r="Y204">
        <v>36135.517698</v>
      </c>
      <c r="Z204">
        <v>36.135517698</v>
      </c>
      <c r="AA204">
        <v>1.69323024913093</v>
      </c>
      <c r="AD204">
        <v>0.0065077</v>
      </c>
      <c r="AE204">
        <v>4.50611337338845</v>
      </c>
      <c r="AF204">
        <f t="shared" si="22"/>
        <v>13.578387085332</v>
      </c>
      <c r="AI204">
        <v>0.479269</v>
      </c>
      <c r="AJ204">
        <v>61.1857516342597</v>
      </c>
    </row>
    <row r="205" spans="1:36">
      <c r="A205">
        <f t="shared" si="23"/>
        <v>204</v>
      </c>
      <c r="B205" t="s">
        <v>232</v>
      </c>
      <c r="C205">
        <v>29324434</v>
      </c>
      <c r="E205">
        <v>11.418</v>
      </c>
      <c r="F205">
        <v>2.56826361884743</v>
      </c>
      <c r="G205">
        <f t="shared" si="18"/>
        <v>23.8801849679067</v>
      </c>
      <c r="J205">
        <v>0.957658</v>
      </c>
      <c r="K205">
        <v>30.6209878683204</v>
      </c>
      <c r="L205">
        <f t="shared" si="19"/>
        <v>2.0028945678749</v>
      </c>
      <c r="O205">
        <v>3.8645</v>
      </c>
      <c r="P205">
        <v>7.5881573295381</v>
      </c>
      <c r="Q205">
        <f t="shared" si="20"/>
        <v>8.08241152640352</v>
      </c>
      <c r="T205">
        <v>0.00237</v>
      </c>
      <c r="U205">
        <v>12.3731789029536</v>
      </c>
      <c r="V205">
        <f t="shared" si="21"/>
        <v>4.95673834068478</v>
      </c>
      <c r="Y205">
        <v>36249.972658</v>
      </c>
      <c r="Z205">
        <v>36.249972658</v>
      </c>
      <c r="AA205">
        <v>1.69188017996717</v>
      </c>
      <c r="AD205">
        <v>0.00818741</v>
      </c>
      <c r="AE205">
        <v>3.58164963034708</v>
      </c>
      <c r="AF205">
        <f t="shared" si="22"/>
        <v>17.1235650033359</v>
      </c>
      <c r="AI205">
        <v>0.478137</v>
      </c>
      <c r="AJ205">
        <v>61.3306102644221</v>
      </c>
    </row>
    <row r="206" spans="1:36">
      <c r="A206">
        <f t="shared" si="23"/>
        <v>205</v>
      </c>
      <c r="B206" t="s">
        <v>233</v>
      </c>
      <c r="C206">
        <v>3915844</v>
      </c>
      <c r="E206">
        <v>13.43</v>
      </c>
      <c r="F206">
        <v>0.291574385703649</v>
      </c>
      <c r="G206">
        <f t="shared" si="18"/>
        <v>12.5636132315521</v>
      </c>
      <c r="J206">
        <v>0.972925</v>
      </c>
      <c r="K206">
        <v>4.02481589022792</v>
      </c>
      <c r="L206">
        <f t="shared" si="19"/>
        <v>0.910160342763059</v>
      </c>
      <c r="O206">
        <v>4.0571</v>
      </c>
      <c r="P206">
        <v>0.965183012496611</v>
      </c>
      <c r="Q206">
        <f t="shared" si="20"/>
        <v>3.79537120191588</v>
      </c>
      <c r="T206">
        <v>0.0022</v>
      </c>
      <c r="U206">
        <v>1.77992909090909</v>
      </c>
      <c r="V206">
        <f t="shared" si="21"/>
        <v>2.05807513845233</v>
      </c>
      <c r="Y206">
        <v>3922.707188</v>
      </c>
      <c r="Z206">
        <v>3.922707188</v>
      </c>
      <c r="AA206">
        <v>0.933851963616931</v>
      </c>
      <c r="AD206">
        <v>0.00451296</v>
      </c>
      <c r="AE206">
        <v>0.867688612351982</v>
      </c>
      <c r="AF206">
        <f t="shared" si="22"/>
        <v>4.22182308037719</v>
      </c>
      <c r="AI206">
        <v>1.06896</v>
      </c>
      <c r="AJ206">
        <v>3.66322781020805</v>
      </c>
    </row>
    <row r="207" spans="1:36">
      <c r="A207">
        <f t="shared" si="23"/>
        <v>206</v>
      </c>
      <c r="B207" t="s">
        <v>234</v>
      </c>
      <c r="C207">
        <v>3915844</v>
      </c>
      <c r="E207">
        <v>12.864</v>
      </c>
      <c r="F207">
        <v>0.3044032960199</v>
      </c>
      <c r="G207">
        <f t="shared" si="18"/>
        <v>11.0430079835179</v>
      </c>
      <c r="J207">
        <v>0.815481</v>
      </c>
      <c r="K207">
        <v>4.80188256991886</v>
      </c>
      <c r="L207">
        <f t="shared" si="19"/>
        <v>0.700043780582023</v>
      </c>
      <c r="O207">
        <v>4.1721</v>
      </c>
      <c r="P207">
        <v>0.938578653435919</v>
      </c>
      <c r="Q207">
        <f t="shared" si="20"/>
        <v>3.58150914241566</v>
      </c>
      <c r="T207">
        <v>0.002456</v>
      </c>
      <c r="U207">
        <v>1.5943990228013</v>
      </c>
      <c r="V207">
        <f t="shared" si="21"/>
        <v>2.1083354794403</v>
      </c>
      <c r="Y207">
        <v>3969.080257</v>
      </c>
      <c r="Z207">
        <v>3.969080257</v>
      </c>
      <c r="AA207">
        <v>0.846928711564454</v>
      </c>
      <c r="AD207">
        <v>0.00530617</v>
      </c>
      <c r="AE207">
        <v>0.737979371184866</v>
      </c>
      <c r="AF207">
        <f t="shared" si="22"/>
        <v>4.55504335136063</v>
      </c>
      <c r="AI207">
        <v>1.1649</v>
      </c>
      <c r="AJ207">
        <v>3.36152802815692</v>
      </c>
    </row>
    <row r="208" spans="1:36">
      <c r="A208">
        <f t="shared" si="23"/>
        <v>207</v>
      </c>
      <c r="B208" t="s">
        <v>235</v>
      </c>
      <c r="C208">
        <v>8293828</v>
      </c>
      <c r="E208">
        <v>8.467</v>
      </c>
      <c r="F208">
        <v>0.979547419392937</v>
      </c>
      <c r="G208">
        <f t="shared" si="18"/>
        <v>12.3468311938673</v>
      </c>
      <c r="J208">
        <v>1.048131</v>
      </c>
      <c r="K208">
        <v>7.91296889415541</v>
      </c>
      <c r="L208">
        <f t="shared" si="19"/>
        <v>1.52841579379465</v>
      </c>
      <c r="O208">
        <v>4.3608</v>
      </c>
      <c r="P208">
        <v>1.90190515501743</v>
      </c>
      <c r="Q208">
        <f t="shared" si="20"/>
        <v>6.35904824261442</v>
      </c>
      <c r="T208">
        <v>0.002346</v>
      </c>
      <c r="U208">
        <v>3.53530605285593</v>
      </c>
      <c r="V208">
        <f t="shared" si="21"/>
        <v>3.42100696596345</v>
      </c>
      <c r="Y208">
        <v>11420.603139</v>
      </c>
      <c r="Z208">
        <v>11.420603139</v>
      </c>
      <c r="AA208">
        <v>1.05899018523219</v>
      </c>
      <c r="AD208">
        <v>0.00234859</v>
      </c>
      <c r="AE208">
        <v>3.53140735505133</v>
      </c>
      <c r="AF208">
        <f t="shared" si="22"/>
        <v>3.42478378098556</v>
      </c>
      <c r="AI208">
        <v>0.685763</v>
      </c>
      <c r="AJ208">
        <v>12.0943066336329</v>
      </c>
    </row>
    <row r="209" spans="1:36">
      <c r="A209">
        <f t="shared" si="23"/>
        <v>208</v>
      </c>
      <c r="B209" t="s">
        <v>236</v>
      </c>
      <c r="C209">
        <v>15489024</v>
      </c>
      <c r="E209">
        <v>8.663</v>
      </c>
      <c r="F209">
        <v>1.7879515179499</v>
      </c>
      <c r="G209">
        <f t="shared" si="18"/>
        <v>6.05600917174657</v>
      </c>
      <c r="J209">
        <v>0.872129</v>
      </c>
      <c r="K209">
        <v>17.760014860187</v>
      </c>
      <c r="L209">
        <f t="shared" si="19"/>
        <v>0.60967577316705</v>
      </c>
      <c r="O209">
        <v>3.7996</v>
      </c>
      <c r="P209">
        <v>4.07648805137383</v>
      </c>
      <c r="Q209">
        <f t="shared" si="20"/>
        <v>2.65617135506963</v>
      </c>
      <c r="T209">
        <v>0.002458</v>
      </c>
      <c r="U209">
        <v>6.30147436940602</v>
      </c>
      <c r="V209">
        <f t="shared" si="21"/>
        <v>1.71830434539456</v>
      </c>
      <c r="Y209">
        <v>4398.663476</v>
      </c>
      <c r="Z209">
        <v>4.398663476</v>
      </c>
      <c r="AA209">
        <v>2.46162291123696</v>
      </c>
      <c r="AD209">
        <v>0.00501951</v>
      </c>
      <c r="AE209">
        <v>3.08576414829336</v>
      </c>
      <c r="AF209">
        <f t="shared" si="22"/>
        <v>3.50896901739277</v>
      </c>
      <c r="AI209">
        <v>1.43048</v>
      </c>
      <c r="AJ209">
        <v>10.8278507913428</v>
      </c>
    </row>
    <row r="210" spans="1:36">
      <c r="A210">
        <f t="shared" si="23"/>
        <v>209</v>
      </c>
      <c r="B210" t="s">
        <v>237</v>
      </c>
      <c r="C210">
        <v>33527500</v>
      </c>
      <c r="E210">
        <v>207.456</v>
      </c>
      <c r="F210">
        <v>0.161612582909147</v>
      </c>
      <c r="G210">
        <f t="shared" si="18"/>
        <v>28.3106231705071</v>
      </c>
      <c r="J210">
        <v>20.825515</v>
      </c>
      <c r="K210">
        <v>1.6099241723434</v>
      </c>
      <c r="L210">
        <f t="shared" si="19"/>
        <v>2.84196797150596</v>
      </c>
      <c r="O210">
        <v>26.7135</v>
      </c>
      <c r="P210">
        <v>1.2550770209819</v>
      </c>
      <c r="Q210">
        <f t="shared" si="20"/>
        <v>3.64547582169395</v>
      </c>
      <c r="T210">
        <v>0.01196</v>
      </c>
      <c r="U210">
        <v>2.80330267558528</v>
      </c>
      <c r="V210">
        <f t="shared" si="21"/>
        <v>1.63212947863289</v>
      </c>
      <c r="Y210">
        <v>3772.42199</v>
      </c>
      <c r="Z210">
        <v>3.77242199</v>
      </c>
      <c r="AA210">
        <v>1.21284229242688</v>
      </c>
      <c r="AD210">
        <v>0.0218033</v>
      </c>
      <c r="AE210">
        <v>1.53772594056863</v>
      </c>
      <c r="AF210">
        <f t="shared" si="22"/>
        <v>2.97540206199636</v>
      </c>
      <c r="AI210">
        <v>7.32785</v>
      </c>
      <c r="AJ210">
        <v>4.57535293435319</v>
      </c>
    </row>
    <row r="211" spans="1:36">
      <c r="A211">
        <f t="shared" si="23"/>
        <v>210</v>
      </c>
      <c r="B211" t="s">
        <v>238</v>
      </c>
      <c r="C211">
        <v>62797572</v>
      </c>
      <c r="E211">
        <v>15.421</v>
      </c>
      <c r="F211">
        <v>4.07221140003891</v>
      </c>
      <c r="G211">
        <f t="shared" si="18"/>
        <v>22.4475566210903</v>
      </c>
      <c r="J211">
        <v>1.980331</v>
      </c>
      <c r="K211">
        <v>31.7106443316799</v>
      </c>
      <c r="L211">
        <f t="shared" si="19"/>
        <v>2.88266599124573</v>
      </c>
      <c r="O211">
        <v>4.0959</v>
      </c>
      <c r="P211">
        <v>15.3318127883982</v>
      </c>
      <c r="Q211">
        <f t="shared" si="20"/>
        <v>5.96219098400386</v>
      </c>
      <c r="T211">
        <v>0.00194</v>
      </c>
      <c r="U211">
        <v>32.3698824742268</v>
      </c>
      <c r="V211">
        <f t="shared" si="21"/>
        <v>2.82395822870859</v>
      </c>
      <c r="Y211">
        <v>42787.643245</v>
      </c>
      <c r="Z211">
        <v>42.787643245</v>
      </c>
      <c r="AA211">
        <v>2.13639240310588</v>
      </c>
      <c r="AD211">
        <v>0.00647641</v>
      </c>
      <c r="AE211">
        <v>9.69635523384097</v>
      </c>
      <c r="AF211">
        <f t="shared" si="22"/>
        <v>9.42737696494361</v>
      </c>
      <c r="AI211">
        <v>0.686979</v>
      </c>
      <c r="AJ211">
        <v>91.4111959754228</v>
      </c>
    </row>
    <row r="212" spans="1:36">
      <c r="A212">
        <f t="shared" si="23"/>
        <v>211</v>
      </c>
      <c r="B212" t="s">
        <v>239</v>
      </c>
      <c r="C212">
        <v>8163436</v>
      </c>
      <c r="E212">
        <v>12.137</v>
      </c>
      <c r="F212">
        <v>0.672607398862981</v>
      </c>
      <c r="G212">
        <f t="shared" si="18"/>
        <v>14.775164770417</v>
      </c>
      <c r="J212">
        <v>1.178819</v>
      </c>
      <c r="K212">
        <v>6.92509706748873</v>
      </c>
      <c r="L212">
        <f t="shared" si="19"/>
        <v>1.43505355190725</v>
      </c>
      <c r="O212">
        <v>4.4623</v>
      </c>
      <c r="P212">
        <v>1.82942339152455</v>
      </c>
      <c r="Q212">
        <f t="shared" si="20"/>
        <v>5.43224995921826</v>
      </c>
      <c r="T212">
        <v>0.002037</v>
      </c>
      <c r="U212">
        <v>4.00757781050565</v>
      </c>
      <c r="V212">
        <f t="shared" si="21"/>
        <v>2.4797734726324</v>
      </c>
      <c r="Y212">
        <v>6426.115957</v>
      </c>
      <c r="Z212">
        <v>6.426115957</v>
      </c>
      <c r="AA212">
        <v>1.54648394310046</v>
      </c>
      <c r="AD212">
        <v>0.00751509</v>
      </c>
      <c r="AE212">
        <v>1.08627255295678</v>
      </c>
      <c r="AF212">
        <f t="shared" si="22"/>
        <v>9.14861110772957</v>
      </c>
      <c r="AI212">
        <v>0.821446</v>
      </c>
      <c r="AJ212">
        <v>9.93788514400216</v>
      </c>
    </row>
    <row r="213" spans="1:36">
      <c r="A213">
        <f t="shared" si="23"/>
        <v>212</v>
      </c>
      <c r="B213" t="s">
        <v>240</v>
      </c>
      <c r="C213">
        <v>8163436</v>
      </c>
      <c r="E213">
        <v>12.335</v>
      </c>
      <c r="F213">
        <v>0.661810782326713</v>
      </c>
      <c r="G213">
        <f t="shared" si="18"/>
        <v>14.5322295043726</v>
      </c>
      <c r="J213">
        <v>0.981271</v>
      </c>
      <c r="K213">
        <v>8.31924718044251</v>
      </c>
      <c r="L213">
        <f t="shared" si="19"/>
        <v>1.15606448139321</v>
      </c>
      <c r="O213">
        <v>4.5737</v>
      </c>
      <c r="P213">
        <v>1.78486477031725</v>
      </c>
      <c r="Q213">
        <f t="shared" si="20"/>
        <v>5.38841168092006</v>
      </c>
      <c r="T213">
        <v>0.002055</v>
      </c>
      <c r="U213">
        <v>3.97247493917275</v>
      </c>
      <c r="V213">
        <f t="shared" si="21"/>
        <v>2.42105647600209</v>
      </c>
      <c r="Y213">
        <v>6662.636082</v>
      </c>
      <c r="Z213">
        <v>6.662636082</v>
      </c>
      <c r="AA213">
        <v>1.44351065537308</v>
      </c>
      <c r="AD213">
        <v>0.00723064</v>
      </c>
      <c r="AE213">
        <v>1.12900600776695</v>
      </c>
      <c r="AF213">
        <f t="shared" si="22"/>
        <v>8.51863153169814</v>
      </c>
      <c r="AI213">
        <v>0.848803</v>
      </c>
      <c r="AJ213">
        <v>9.61758617724018</v>
      </c>
    </row>
    <row r="214" spans="1:36">
      <c r="A214">
        <f t="shared" si="23"/>
        <v>213</v>
      </c>
      <c r="B214" t="s">
        <v>241</v>
      </c>
      <c r="C214">
        <v>54370360</v>
      </c>
      <c r="E214">
        <v>159.437</v>
      </c>
      <c r="F214">
        <v>0.341014695459649</v>
      </c>
      <c r="G214">
        <f t="shared" si="18"/>
        <v>11.7707379735995</v>
      </c>
      <c r="J214">
        <v>17.377945</v>
      </c>
      <c r="K214">
        <v>3.12869904928345</v>
      </c>
      <c r="L214">
        <f t="shared" si="19"/>
        <v>1.28295964622154</v>
      </c>
      <c r="O214">
        <v>38.3839</v>
      </c>
      <c r="P214">
        <v>1.41648868405764</v>
      </c>
      <c r="Q214">
        <f t="shared" si="20"/>
        <v>2.83376399019579</v>
      </c>
      <c r="T214">
        <v>0.018014</v>
      </c>
      <c r="U214">
        <v>3.018228044854</v>
      </c>
      <c r="V214">
        <f t="shared" si="21"/>
        <v>1.32991760918997</v>
      </c>
      <c r="Y214">
        <v>3037.541666</v>
      </c>
      <c r="Z214">
        <v>3.037541666</v>
      </c>
      <c r="AA214">
        <v>1.32146158531159</v>
      </c>
      <c r="AD214">
        <v>0.00773834</v>
      </c>
      <c r="AE214">
        <v>7.02610120516803</v>
      </c>
      <c r="AF214">
        <f t="shared" si="22"/>
        <v>0.571297581431061</v>
      </c>
      <c r="AI214">
        <v>13.5452</v>
      </c>
      <c r="AJ214">
        <v>4.01399462540236</v>
      </c>
    </row>
    <row r="215" spans="1:36">
      <c r="A215">
        <f t="shared" si="23"/>
        <v>214</v>
      </c>
      <c r="B215" t="s">
        <v>242</v>
      </c>
      <c r="C215">
        <v>26085590</v>
      </c>
      <c r="E215">
        <v>118.17</v>
      </c>
      <c r="F215">
        <v>0.220746297706694</v>
      </c>
      <c r="G215">
        <f t="shared" si="18"/>
        <v>56.8721063422238</v>
      </c>
      <c r="J215">
        <v>6.38866</v>
      </c>
      <c r="K215">
        <v>4.08310819483272</v>
      </c>
      <c r="L215">
        <f t="shared" si="19"/>
        <v>3.0746936693265</v>
      </c>
      <c r="O215">
        <v>20.0679</v>
      </c>
      <c r="P215">
        <v>1.29986645339074</v>
      </c>
      <c r="Q215">
        <f t="shared" si="20"/>
        <v>9.65815133168413</v>
      </c>
      <c r="T215">
        <v>0.013583</v>
      </c>
      <c r="U215">
        <v>1.92045866156225</v>
      </c>
      <c r="V215">
        <f t="shared" si="21"/>
        <v>6.53713988699692</v>
      </c>
      <c r="Y215">
        <v>5854.272628</v>
      </c>
      <c r="Z215">
        <v>5.854272628</v>
      </c>
      <c r="AA215">
        <v>2.14446912803175</v>
      </c>
      <c r="AD215">
        <v>0.0170295</v>
      </c>
      <c r="AE215">
        <v>1.53178836724507</v>
      </c>
      <c r="AF215">
        <f t="shared" si="22"/>
        <v>8.1958494961065</v>
      </c>
      <c r="AI215">
        <v>2.07782</v>
      </c>
      <c r="AJ215">
        <v>12.5543069178273</v>
      </c>
    </row>
    <row r="216" spans="1:36">
      <c r="A216">
        <f t="shared" si="23"/>
        <v>215</v>
      </c>
      <c r="B216" t="s">
        <v>243</v>
      </c>
      <c r="C216">
        <v>29710592</v>
      </c>
      <c r="E216">
        <v>18.191</v>
      </c>
      <c r="F216">
        <v>1.63325776482876</v>
      </c>
      <c r="G216">
        <f t="shared" si="18"/>
        <v>5.00810778815685</v>
      </c>
      <c r="J216">
        <v>3.925274</v>
      </c>
      <c r="K216">
        <v>7.56904919248949</v>
      </c>
      <c r="L216">
        <f t="shared" si="19"/>
        <v>1.08065501017259</v>
      </c>
      <c r="O216">
        <v>12.0884</v>
      </c>
      <c r="P216">
        <v>2.45777704245392</v>
      </c>
      <c r="Q216">
        <f t="shared" si="20"/>
        <v>3.32801991019489</v>
      </c>
      <c r="T216">
        <v>0.007104</v>
      </c>
      <c r="U216">
        <v>4.18223423423423</v>
      </c>
      <c r="V216">
        <f t="shared" si="21"/>
        <v>1.95578020598462</v>
      </c>
      <c r="Y216">
        <v>10050.912954</v>
      </c>
      <c r="Z216">
        <v>10.050912954</v>
      </c>
      <c r="AA216">
        <v>0.813809747387309</v>
      </c>
      <c r="AD216">
        <v>0.0485944</v>
      </c>
      <c r="AE216">
        <v>0.611399502823371</v>
      </c>
      <c r="AF216">
        <f t="shared" si="22"/>
        <v>13.3783735419058</v>
      </c>
      <c r="AI216">
        <v>3.63231</v>
      </c>
      <c r="AJ216">
        <v>8.17953093210657</v>
      </c>
    </row>
    <row r="217" spans="1:36">
      <c r="A217">
        <f t="shared" si="23"/>
        <v>216</v>
      </c>
      <c r="B217" t="s">
        <v>244</v>
      </c>
      <c r="C217">
        <v>30316474</v>
      </c>
      <c r="E217">
        <v>11.359</v>
      </c>
      <c r="F217">
        <v>2.6689386389647</v>
      </c>
      <c r="G217">
        <f t="shared" si="18"/>
        <v>21.8122674081442</v>
      </c>
      <c r="J217">
        <v>1.043214</v>
      </c>
      <c r="K217">
        <v>29.0606471922348</v>
      </c>
      <c r="L217">
        <f t="shared" si="19"/>
        <v>2.00324524446868</v>
      </c>
      <c r="O217">
        <v>3.8678</v>
      </c>
      <c r="P217">
        <v>7.83817001913232</v>
      </c>
      <c r="Q217">
        <f t="shared" si="20"/>
        <v>7.42719322838457</v>
      </c>
      <c r="T217">
        <v>0.002743</v>
      </c>
      <c r="U217">
        <v>11.0523055049216</v>
      </c>
      <c r="V217">
        <f t="shared" si="21"/>
        <v>5.2672814068615</v>
      </c>
      <c r="Y217">
        <v>33451.730306</v>
      </c>
      <c r="Z217">
        <v>33.451730306</v>
      </c>
      <c r="AA217">
        <v>1.74028675815866</v>
      </c>
      <c r="AD217">
        <v>0.00949217</v>
      </c>
      <c r="AE217">
        <v>3.1938401861745</v>
      </c>
      <c r="AF217">
        <f t="shared" si="22"/>
        <v>18.2274628333097</v>
      </c>
      <c r="AI217">
        <v>0.520762</v>
      </c>
      <c r="AJ217">
        <v>58.2156032890265</v>
      </c>
    </row>
    <row r="218" spans="1:36">
      <c r="A218">
        <f t="shared" si="23"/>
        <v>217</v>
      </c>
      <c r="B218" t="s">
        <v>245</v>
      </c>
      <c r="C218">
        <v>37457212</v>
      </c>
      <c r="E218">
        <v>11.737</v>
      </c>
      <c r="F218">
        <v>3.19137871687825</v>
      </c>
      <c r="G218">
        <f t="shared" si="18"/>
        <v>15.824179972577</v>
      </c>
      <c r="J218">
        <v>1.284448</v>
      </c>
      <c r="K218">
        <v>29.1621085477964</v>
      </c>
      <c r="L218">
        <f t="shared" si="19"/>
        <v>1.73173181540569</v>
      </c>
      <c r="O218">
        <v>4.9413</v>
      </c>
      <c r="P218">
        <v>7.58043672717706</v>
      </c>
      <c r="Q218">
        <f t="shared" si="20"/>
        <v>6.66201077775365</v>
      </c>
      <c r="T218">
        <v>0.002338</v>
      </c>
      <c r="U218">
        <v>16.0210487596236</v>
      </c>
      <c r="V218">
        <f t="shared" si="21"/>
        <v>3.15216262894138</v>
      </c>
      <c r="Y218">
        <v>35372.021593</v>
      </c>
      <c r="Z218">
        <v>35.372021593</v>
      </c>
      <c r="AA218">
        <v>1.42770893215013</v>
      </c>
      <c r="AD218">
        <v>0.00761412</v>
      </c>
      <c r="AE218">
        <v>4.91944072328779</v>
      </c>
      <c r="AF218">
        <f t="shared" si="22"/>
        <v>10.2655879025984</v>
      </c>
      <c r="AI218">
        <v>0.741713</v>
      </c>
      <c r="AJ218">
        <v>50.5009511765332</v>
      </c>
    </row>
    <row r="219" spans="1:36">
      <c r="A219">
        <f t="shared" si="23"/>
        <v>218</v>
      </c>
      <c r="B219" t="s">
        <v>246</v>
      </c>
      <c r="C219">
        <v>56334928</v>
      </c>
      <c r="E219">
        <v>16.25</v>
      </c>
      <c r="F219">
        <v>3.4667648</v>
      </c>
      <c r="G219">
        <f t="shared" si="18"/>
        <v>18.3881148278363</v>
      </c>
      <c r="J219">
        <v>1.713906</v>
      </c>
      <c r="K219">
        <v>32.8693218881316</v>
      </c>
      <c r="L219">
        <f t="shared" si="19"/>
        <v>1.93941540505339</v>
      </c>
      <c r="O219">
        <v>5.6429</v>
      </c>
      <c r="P219">
        <v>9.98332913927236</v>
      </c>
      <c r="Q219">
        <f t="shared" si="20"/>
        <v>6.38537188689216</v>
      </c>
      <c r="T219">
        <v>0.00202</v>
      </c>
      <c r="U219">
        <v>27.8885782178218</v>
      </c>
      <c r="V219">
        <f t="shared" si="21"/>
        <v>2.28578412013719</v>
      </c>
      <c r="Y219">
        <v>39204.019997</v>
      </c>
      <c r="Z219">
        <v>39.204019997</v>
      </c>
      <c r="AA219">
        <v>1.62603909569425</v>
      </c>
      <c r="AD219">
        <v>0.00820455</v>
      </c>
      <c r="AE219">
        <v>6.86630320980432</v>
      </c>
      <c r="AF219">
        <f t="shared" si="22"/>
        <v>9.28407430835227</v>
      </c>
      <c r="AI219">
        <v>0.883723</v>
      </c>
      <c r="AJ219">
        <v>63.747269223501</v>
      </c>
    </row>
    <row r="220" spans="1:36">
      <c r="A220">
        <f t="shared" si="23"/>
        <v>219</v>
      </c>
      <c r="B220" t="s">
        <v>247</v>
      </c>
      <c r="C220">
        <v>56334928</v>
      </c>
      <c r="E220">
        <v>13.848</v>
      </c>
      <c r="F220">
        <v>4.06809127671866</v>
      </c>
      <c r="G220">
        <f t="shared" si="18"/>
        <v>17.6978709645263</v>
      </c>
      <c r="J220">
        <v>1.634922</v>
      </c>
      <c r="K220">
        <v>34.4572572881153</v>
      </c>
      <c r="L220">
        <f t="shared" si="19"/>
        <v>2.08944530568062</v>
      </c>
      <c r="O220">
        <v>5.0444</v>
      </c>
      <c r="P220">
        <v>11.1678153992546</v>
      </c>
      <c r="Q220">
        <f t="shared" si="20"/>
        <v>6.44678944926752</v>
      </c>
      <c r="T220">
        <v>0.002216</v>
      </c>
      <c r="U220">
        <v>25.4218989169675</v>
      </c>
      <c r="V220">
        <f t="shared" si="21"/>
        <v>2.83206831725811</v>
      </c>
      <c r="Y220">
        <v>38270.612919</v>
      </c>
      <c r="Z220">
        <v>38.270612919</v>
      </c>
      <c r="AA220">
        <v>1.88124905759056</v>
      </c>
      <c r="AD220">
        <v>0.0112103</v>
      </c>
      <c r="AE220">
        <v>5.02528282026351</v>
      </c>
      <c r="AF220">
        <f t="shared" si="22"/>
        <v>14.326866180938</v>
      </c>
      <c r="AI220">
        <v>0.782467</v>
      </c>
      <c r="AJ220">
        <v>71.9965544872819</v>
      </c>
    </row>
    <row r="221" spans="1:36">
      <c r="A221">
        <f t="shared" si="23"/>
        <v>220</v>
      </c>
      <c r="B221" t="s">
        <v>248</v>
      </c>
      <c r="C221">
        <v>26752320</v>
      </c>
      <c r="E221">
        <v>37.043</v>
      </c>
      <c r="F221">
        <v>0.722196366385012</v>
      </c>
      <c r="G221">
        <f t="shared" si="18"/>
        <v>8.01860755082117</v>
      </c>
      <c r="J221">
        <v>2.823037</v>
      </c>
      <c r="K221">
        <v>9.47643265036909</v>
      </c>
      <c r="L221">
        <f t="shared" si="19"/>
        <v>0.611095910278529</v>
      </c>
      <c r="O221">
        <v>12.7867</v>
      </c>
      <c r="P221">
        <v>2.09219892544597</v>
      </c>
      <c r="Q221">
        <f t="shared" si="20"/>
        <v>2.76790565478188</v>
      </c>
      <c r="T221">
        <v>0.009035</v>
      </c>
      <c r="U221">
        <v>2.96096513558384</v>
      </c>
      <c r="V221">
        <f t="shared" si="21"/>
        <v>1.9557843377067</v>
      </c>
      <c r="Y221">
        <v>4110.585642</v>
      </c>
      <c r="Z221">
        <v>4.110585642</v>
      </c>
      <c r="AA221">
        <v>1.40880393720561</v>
      </c>
      <c r="AD221">
        <v>0.00801046</v>
      </c>
      <c r="AE221">
        <v>3.33967337705949</v>
      </c>
      <c r="AF221">
        <f t="shared" si="22"/>
        <v>1.73400467136979</v>
      </c>
      <c r="AI221">
        <v>4.61963</v>
      </c>
      <c r="AJ221">
        <v>5.79100923667047</v>
      </c>
    </row>
    <row r="222" spans="1:36">
      <c r="A222">
        <f t="shared" si="23"/>
        <v>221</v>
      </c>
      <c r="B222" t="s">
        <v>249</v>
      </c>
      <c r="C222">
        <v>26752320</v>
      </c>
      <c r="E222">
        <v>36.24</v>
      </c>
      <c r="F222">
        <v>0.738198675496689</v>
      </c>
      <c r="G222">
        <f t="shared" si="18"/>
        <v>6.28157906140312</v>
      </c>
      <c r="J222">
        <v>3.873591</v>
      </c>
      <c r="K222">
        <v>6.90633574892135</v>
      </c>
      <c r="L222">
        <f t="shared" si="19"/>
        <v>0.67142020193266</v>
      </c>
      <c r="O222">
        <v>14.1027</v>
      </c>
      <c r="P222">
        <v>1.89696441107022</v>
      </c>
      <c r="Q222">
        <f t="shared" si="20"/>
        <v>2.44445985180049</v>
      </c>
      <c r="T222">
        <v>0.008735</v>
      </c>
      <c r="U222">
        <v>3.06265827132227</v>
      </c>
      <c r="V222">
        <f t="shared" si="21"/>
        <v>1.5140616197946</v>
      </c>
      <c r="Y222">
        <v>4138.784507</v>
      </c>
      <c r="Z222">
        <v>4.138784507</v>
      </c>
      <c r="AA222">
        <v>1.12039013756643</v>
      </c>
      <c r="AD222">
        <v>0.00809874</v>
      </c>
      <c r="AE222">
        <v>3.30326939746183</v>
      </c>
      <c r="AF222">
        <f t="shared" si="22"/>
        <v>1.4037769207436</v>
      </c>
      <c r="AI222">
        <v>5.76925</v>
      </c>
      <c r="AJ222">
        <v>4.63705334315552</v>
      </c>
    </row>
    <row r="223" spans="1:36">
      <c r="A223">
        <f t="shared" si="23"/>
        <v>222</v>
      </c>
      <c r="B223" t="s">
        <v>250</v>
      </c>
      <c r="C223">
        <v>131921432</v>
      </c>
      <c r="E223">
        <v>81.995</v>
      </c>
      <c r="F223">
        <v>1.60889605463748</v>
      </c>
      <c r="G223">
        <f t="shared" si="18"/>
        <v>4.04845606169828</v>
      </c>
      <c r="J223">
        <v>20.137125</v>
      </c>
      <c r="K223">
        <v>6.55115524187291</v>
      </c>
      <c r="L223">
        <f t="shared" si="19"/>
        <v>0.994258988614257</v>
      </c>
      <c r="O223">
        <v>39.1078</v>
      </c>
      <c r="P223">
        <v>3.3732767376329</v>
      </c>
      <c r="Q223">
        <f t="shared" si="20"/>
        <v>1.93092517799481</v>
      </c>
      <c r="T223">
        <v>0.018001</v>
      </c>
      <c r="U223">
        <v>7.32856130214988</v>
      </c>
      <c r="V223">
        <f t="shared" si="21"/>
        <v>0.888789042827377</v>
      </c>
      <c r="Y223">
        <v>6893.671994</v>
      </c>
      <c r="Z223">
        <v>6.893671994</v>
      </c>
      <c r="AA223">
        <v>0.944858558792571</v>
      </c>
      <c r="AD223">
        <v>0.0123523</v>
      </c>
      <c r="AE223">
        <v>10.6799083571481</v>
      </c>
      <c r="AF223">
        <f t="shared" si="22"/>
        <v>0.609887722555223</v>
      </c>
      <c r="AI223">
        <v>20.2534</v>
      </c>
      <c r="AJ223">
        <v>6.51354498503955</v>
      </c>
    </row>
    <row r="224" spans="1:36">
      <c r="A224">
        <f t="shared" si="23"/>
        <v>223</v>
      </c>
      <c r="B224" t="s">
        <v>251</v>
      </c>
      <c r="C224">
        <v>7713792</v>
      </c>
      <c r="E224">
        <v>14.418</v>
      </c>
      <c r="F224">
        <v>0.535011235955056</v>
      </c>
      <c r="G224">
        <f t="shared" si="18"/>
        <v>8.21529099383483</v>
      </c>
      <c r="J224">
        <v>1.082102</v>
      </c>
      <c r="K224">
        <v>7.12852577668279</v>
      </c>
      <c r="L224">
        <f t="shared" si="19"/>
        <v>0.61657530968308</v>
      </c>
      <c r="O224">
        <v>7.2005</v>
      </c>
      <c r="P224">
        <v>1.07128560516631</v>
      </c>
      <c r="Q224">
        <f t="shared" si="20"/>
        <v>4.10280224726783</v>
      </c>
      <c r="T224">
        <v>0.00275</v>
      </c>
      <c r="U224">
        <v>2.80501527272727</v>
      </c>
      <c r="V224">
        <f t="shared" si="21"/>
        <v>1.56693371015715</v>
      </c>
      <c r="Y224">
        <v>3274.702457</v>
      </c>
      <c r="Z224">
        <v>3.274702457</v>
      </c>
      <c r="AA224">
        <v>1.34219002979849</v>
      </c>
      <c r="AD224">
        <v>0.0022223</v>
      </c>
      <c r="AE224">
        <v>3.47108491202808</v>
      </c>
      <c r="AF224">
        <f t="shared" si="22"/>
        <v>1.2662533760299</v>
      </c>
      <c r="AI224">
        <v>1.75502</v>
      </c>
      <c r="AJ224">
        <v>4.39527298834201</v>
      </c>
    </row>
    <row r="225" spans="1:36">
      <c r="A225">
        <f t="shared" si="23"/>
        <v>224</v>
      </c>
      <c r="B225" t="s">
        <v>252</v>
      </c>
      <c r="C225">
        <v>21872856</v>
      </c>
      <c r="E225">
        <v>76.373</v>
      </c>
      <c r="F225">
        <v>0.286395139643591</v>
      </c>
      <c r="G225">
        <f t="shared" si="18"/>
        <v>19.591611620599</v>
      </c>
      <c r="J225">
        <v>9.487719</v>
      </c>
      <c r="K225">
        <v>2.30538615235127</v>
      </c>
      <c r="L225">
        <f t="shared" si="19"/>
        <v>2.4338405694863</v>
      </c>
      <c r="O225">
        <v>13.7004</v>
      </c>
      <c r="P225">
        <v>1.59651221862135</v>
      </c>
      <c r="Q225">
        <f t="shared" si="20"/>
        <v>3.51450009619702</v>
      </c>
      <c r="T225">
        <v>0.008513</v>
      </c>
      <c r="U225">
        <v>2.56934758604487</v>
      </c>
      <c r="V225">
        <f t="shared" si="21"/>
        <v>2.18380042326685</v>
      </c>
      <c r="Y225">
        <v>5806.2689</v>
      </c>
      <c r="Z225">
        <v>5.8062689</v>
      </c>
      <c r="AA225">
        <v>0.966359368220864</v>
      </c>
      <c r="AD225">
        <v>0.00127765</v>
      </c>
      <c r="AE225">
        <v>17.1195992642743</v>
      </c>
      <c r="AF225">
        <f t="shared" si="22"/>
        <v>0.327749631244788</v>
      </c>
      <c r="AI225">
        <v>3.89825</v>
      </c>
      <c r="AJ225">
        <v>5.61094234592445</v>
      </c>
    </row>
    <row r="226" spans="1:36">
      <c r="A226">
        <f t="shared" si="23"/>
        <v>225</v>
      </c>
      <c r="B226" t="s">
        <v>253</v>
      </c>
      <c r="C226">
        <v>2999964</v>
      </c>
      <c r="E226">
        <v>4.365</v>
      </c>
      <c r="F226">
        <v>0.687276975945017</v>
      </c>
      <c r="G226">
        <f t="shared" si="18"/>
        <v>9.91169170892098</v>
      </c>
      <c r="J226">
        <v>0.541889</v>
      </c>
      <c r="K226">
        <v>5.53612271147781</v>
      </c>
      <c r="L226">
        <f t="shared" si="19"/>
        <v>1.23047805462898</v>
      </c>
      <c r="O226">
        <v>4.465</v>
      </c>
      <c r="P226">
        <v>0.671884434490482</v>
      </c>
      <c r="Q226">
        <f t="shared" si="20"/>
        <v>10.1387636839249</v>
      </c>
      <c r="T226">
        <v>0.002895</v>
      </c>
      <c r="U226">
        <v>1.03625699481865</v>
      </c>
      <c r="V226">
        <f t="shared" si="21"/>
        <v>6.57373367636342</v>
      </c>
      <c r="Y226">
        <v>6218.862733</v>
      </c>
      <c r="Z226">
        <v>6.218862733</v>
      </c>
      <c r="AA226">
        <v>1.09538959077817</v>
      </c>
      <c r="AD226">
        <v>0.00151156</v>
      </c>
      <c r="AE226">
        <v>1.98468072719574</v>
      </c>
      <c r="AF226">
        <f t="shared" si="22"/>
        <v>3.43232914536922</v>
      </c>
      <c r="AI226">
        <v>0.440389</v>
      </c>
      <c r="AJ226">
        <v>6.81207750420651</v>
      </c>
    </row>
    <row r="227" spans="1:36">
      <c r="A227">
        <f t="shared" si="23"/>
        <v>226</v>
      </c>
      <c r="B227" t="s">
        <v>254</v>
      </c>
      <c r="C227">
        <v>25449704</v>
      </c>
      <c r="E227">
        <v>23.763</v>
      </c>
      <c r="F227">
        <v>1.07098026343475</v>
      </c>
      <c r="G227">
        <f t="shared" si="18"/>
        <v>11.6637380113285</v>
      </c>
      <c r="J227">
        <v>2.379275</v>
      </c>
      <c r="K227">
        <v>10.6964113017621</v>
      </c>
      <c r="L227">
        <f t="shared" si="19"/>
        <v>1.16783403850118</v>
      </c>
      <c r="O227">
        <v>7.786</v>
      </c>
      <c r="P227">
        <v>3.2686493706653</v>
      </c>
      <c r="Q227">
        <f t="shared" si="20"/>
        <v>3.82164979826636</v>
      </c>
      <c r="T227">
        <v>0.003163</v>
      </c>
      <c r="U227">
        <v>8.046065128043</v>
      </c>
      <c r="V227">
        <f t="shared" si="21"/>
        <v>1.55251455329007</v>
      </c>
      <c r="Y227">
        <v>10702.914502</v>
      </c>
      <c r="Z227">
        <v>10.702914502</v>
      </c>
      <c r="AA227">
        <v>1.16712445060383</v>
      </c>
      <c r="AD227">
        <v>0.00722035</v>
      </c>
      <c r="AE227">
        <v>3.5247188848186</v>
      </c>
      <c r="AF227">
        <f t="shared" si="22"/>
        <v>3.54400836384697</v>
      </c>
      <c r="AI227">
        <v>2.03734</v>
      </c>
      <c r="AJ227">
        <v>12.4916332080065</v>
      </c>
    </row>
    <row r="228" spans="1:36">
      <c r="A228">
        <f t="shared" si="23"/>
        <v>227</v>
      </c>
      <c r="B228" t="s">
        <v>255</v>
      </c>
      <c r="C228">
        <v>72986388</v>
      </c>
      <c r="E228">
        <v>27.69</v>
      </c>
      <c r="F228">
        <v>2.63583921993499</v>
      </c>
      <c r="G228">
        <f t="shared" si="18"/>
        <v>9.26911566811946</v>
      </c>
      <c r="J228">
        <v>4.336371</v>
      </c>
      <c r="K228">
        <v>16.8312139344166</v>
      </c>
      <c r="L228">
        <f t="shared" si="19"/>
        <v>1.45158267890498</v>
      </c>
      <c r="O228">
        <v>7.9496</v>
      </c>
      <c r="P228">
        <v>9.1811396799839</v>
      </c>
      <c r="Q228">
        <f t="shared" si="20"/>
        <v>2.6610964938708</v>
      </c>
      <c r="T228">
        <v>0.003861</v>
      </c>
      <c r="U228">
        <v>18.9034933954934</v>
      </c>
      <c r="V228">
        <f t="shared" si="21"/>
        <v>1.2924541565406</v>
      </c>
      <c r="Y228">
        <v>21341.289944</v>
      </c>
      <c r="Z228">
        <v>21.341289944</v>
      </c>
      <c r="AA228">
        <v>1.14481826901059</v>
      </c>
      <c r="AD228">
        <v>0.0112531</v>
      </c>
      <c r="AE228">
        <v>6.48589170983996</v>
      </c>
      <c r="AF228">
        <f t="shared" si="22"/>
        <v>3.76692977699223</v>
      </c>
      <c r="AI228">
        <v>2.98734</v>
      </c>
      <c r="AJ228">
        <v>24.4318986121432</v>
      </c>
    </row>
    <row r="229" spans="1:36">
      <c r="A229">
        <f t="shared" si="23"/>
        <v>228</v>
      </c>
      <c r="B229" t="s">
        <v>256</v>
      </c>
      <c r="C229">
        <v>13781034</v>
      </c>
      <c r="E229">
        <v>9.904</v>
      </c>
      <c r="F229">
        <v>1.39146142972536</v>
      </c>
      <c r="G229">
        <f t="shared" si="18"/>
        <v>13.5180693620001</v>
      </c>
      <c r="J229">
        <v>0.813574</v>
      </c>
      <c r="K229">
        <v>16.9388820193369</v>
      </c>
      <c r="L229">
        <f t="shared" si="19"/>
        <v>1.11045534764942</v>
      </c>
      <c r="O229">
        <v>5.3801</v>
      </c>
      <c r="P229">
        <v>2.56148287206557</v>
      </c>
      <c r="Q229">
        <f t="shared" si="20"/>
        <v>7.34335268320849</v>
      </c>
      <c r="T229">
        <v>0.002583</v>
      </c>
      <c r="U229">
        <v>5.33528222996516</v>
      </c>
      <c r="V229">
        <f t="shared" si="21"/>
        <v>3.52556271830031</v>
      </c>
      <c r="Y229">
        <v>12512.445061</v>
      </c>
      <c r="Z229">
        <v>12.512445061</v>
      </c>
      <c r="AA229">
        <v>1.50329308379573</v>
      </c>
      <c r="AD229">
        <v>0.0100541</v>
      </c>
      <c r="AE229">
        <v>1.37068797803881</v>
      </c>
      <c r="AF229">
        <f t="shared" si="22"/>
        <v>13.7229423639424</v>
      </c>
      <c r="AI229">
        <v>0.732649</v>
      </c>
      <c r="AJ229">
        <v>18.8098721215753</v>
      </c>
    </row>
    <row r="230" spans="1:36">
      <c r="A230">
        <f t="shared" si="23"/>
        <v>229</v>
      </c>
      <c r="B230" t="s">
        <v>257</v>
      </c>
      <c r="C230">
        <v>177148622</v>
      </c>
      <c r="E230">
        <v>305.906</v>
      </c>
      <c r="F230">
        <v>0.579094957274457</v>
      </c>
      <c r="G230">
        <f t="shared" si="18"/>
        <v>5.88860570407786</v>
      </c>
      <c r="J230">
        <v>43.188529</v>
      </c>
      <c r="K230">
        <v>4.10175169429827</v>
      </c>
      <c r="L230">
        <f t="shared" si="19"/>
        <v>0.831367211562153</v>
      </c>
      <c r="O230">
        <v>82.429</v>
      </c>
      <c r="P230">
        <v>2.1491055575101</v>
      </c>
      <c r="Q230">
        <f t="shared" si="20"/>
        <v>1.58673540101022</v>
      </c>
      <c r="T230">
        <v>0.055799</v>
      </c>
      <c r="U230">
        <v>3.17476338285632</v>
      </c>
      <c r="V230">
        <f t="shared" si="21"/>
        <v>1.07411528273993</v>
      </c>
      <c r="Y230">
        <v>965.369075</v>
      </c>
      <c r="Z230">
        <v>0.965369075</v>
      </c>
      <c r="AA230">
        <v>3.53239186640518</v>
      </c>
      <c r="AD230">
        <v>0.0734449</v>
      </c>
      <c r="AE230">
        <v>2.41199350805842</v>
      </c>
      <c r="AF230">
        <f t="shared" si="22"/>
        <v>1.41379396636688</v>
      </c>
      <c r="AI230">
        <v>51.9488</v>
      </c>
      <c r="AJ230">
        <v>3.41006186860909</v>
      </c>
    </row>
    <row r="231" spans="1:36">
      <c r="A231">
        <f t="shared" si="23"/>
        <v>230</v>
      </c>
      <c r="B231" t="s">
        <v>258</v>
      </c>
      <c r="C231">
        <v>13781034</v>
      </c>
      <c r="E231">
        <v>9.974</v>
      </c>
      <c r="F231">
        <v>1.38169580910367</v>
      </c>
      <c r="G231">
        <f t="shared" si="18"/>
        <v>11.2374108662856</v>
      </c>
      <c r="J231">
        <v>0.871801</v>
      </c>
      <c r="K231">
        <v>15.8075455293123</v>
      </c>
      <c r="L231">
        <f t="shared" si="19"/>
        <v>0.982232407322909</v>
      </c>
      <c r="O231">
        <v>5.3781</v>
      </c>
      <c r="P231">
        <v>2.56243543258772</v>
      </c>
      <c r="Q231">
        <f t="shared" si="20"/>
        <v>6.05934623821643</v>
      </c>
      <c r="T231">
        <v>0.002753</v>
      </c>
      <c r="U231">
        <v>5.00582419179077</v>
      </c>
      <c r="V231">
        <f t="shared" si="21"/>
        <v>3.10172369309047</v>
      </c>
      <c r="Y231">
        <v>11145.875013</v>
      </c>
      <c r="Z231">
        <v>11.145875013</v>
      </c>
      <c r="AA231">
        <v>1.39304302991137</v>
      </c>
      <c r="AD231">
        <v>0.00911261</v>
      </c>
      <c r="AE231">
        <v>1.51230371979049</v>
      </c>
      <c r="AF231">
        <f t="shared" si="22"/>
        <v>10.2669082248068</v>
      </c>
      <c r="AI231">
        <v>0.887571</v>
      </c>
      <c r="AJ231">
        <v>15.5266834991229</v>
      </c>
    </row>
    <row r="232" spans="1:36">
      <c r="A232">
        <f t="shared" si="23"/>
        <v>231</v>
      </c>
      <c r="B232" t="s">
        <v>259</v>
      </c>
      <c r="C232">
        <v>28910660</v>
      </c>
      <c r="E232">
        <v>114.423</v>
      </c>
      <c r="F232">
        <v>0.252664761455302</v>
      </c>
      <c r="G232">
        <f t="shared" si="18"/>
        <v>25.0435547695756</v>
      </c>
      <c r="J232">
        <v>12.878354</v>
      </c>
      <c r="K232">
        <v>2.24490334712029</v>
      </c>
      <c r="L232">
        <f t="shared" si="19"/>
        <v>2.8186620149881</v>
      </c>
      <c r="O232">
        <v>16.8023</v>
      </c>
      <c r="P232">
        <v>1.72063705564119</v>
      </c>
      <c r="Q232">
        <f t="shared" si="20"/>
        <v>3.67748896904329</v>
      </c>
      <c r="T232">
        <v>0.00991</v>
      </c>
      <c r="U232">
        <v>2.91732189707366</v>
      </c>
      <c r="V232">
        <f t="shared" si="21"/>
        <v>2.16898375122566</v>
      </c>
      <c r="Y232">
        <v>6262.273316</v>
      </c>
      <c r="Z232">
        <v>6.262273316</v>
      </c>
      <c r="AA232">
        <v>1.01043558346146</v>
      </c>
      <c r="AD232">
        <v>0.00141926</v>
      </c>
      <c r="AE232">
        <v>20.3702351929879</v>
      </c>
      <c r="AF232">
        <f t="shared" si="22"/>
        <v>0.310630865667461</v>
      </c>
      <c r="AI232">
        <v>4.56896</v>
      </c>
      <c r="AJ232">
        <v>6.3276237918476</v>
      </c>
    </row>
    <row r="233" spans="1:36">
      <c r="A233">
        <f t="shared" si="23"/>
        <v>232</v>
      </c>
      <c r="B233" t="s">
        <v>260</v>
      </c>
      <c r="C233">
        <v>24286732</v>
      </c>
      <c r="E233">
        <v>15.114</v>
      </c>
      <c r="F233">
        <v>1.6069030038375</v>
      </c>
      <c r="G233">
        <f t="shared" si="18"/>
        <v>26.0397194450235</v>
      </c>
      <c r="J233">
        <v>0.904578</v>
      </c>
      <c r="K233">
        <v>26.8486874542604</v>
      </c>
      <c r="L233">
        <f t="shared" si="19"/>
        <v>1.55848599551016</v>
      </c>
      <c r="O233">
        <v>4.5541</v>
      </c>
      <c r="P233">
        <v>5.33293779231901</v>
      </c>
      <c r="Q233">
        <f t="shared" si="20"/>
        <v>7.84620129182094</v>
      </c>
      <c r="T233">
        <v>0.002494</v>
      </c>
      <c r="U233">
        <v>9.73806415396953</v>
      </c>
      <c r="V233">
        <f t="shared" si="21"/>
        <v>4.29688105702585</v>
      </c>
      <c r="Y233">
        <v>27170.702955</v>
      </c>
      <c r="Z233">
        <v>27.170702955</v>
      </c>
      <c r="AA233">
        <v>1.54001548891079</v>
      </c>
      <c r="AD233">
        <v>0.0105963</v>
      </c>
      <c r="AE233">
        <v>2.29200117021979</v>
      </c>
      <c r="AF233">
        <f t="shared" si="22"/>
        <v>18.256231252832</v>
      </c>
      <c r="AI233">
        <v>0.580421</v>
      </c>
      <c r="AJ233">
        <v>41.8433033952941</v>
      </c>
    </row>
    <row r="234" spans="1:36">
      <c r="A234">
        <f t="shared" si="23"/>
        <v>233</v>
      </c>
      <c r="B234" t="s">
        <v>261</v>
      </c>
      <c r="C234">
        <v>43444082</v>
      </c>
      <c r="E234">
        <v>14.796</v>
      </c>
      <c r="F234">
        <v>2.93620451473371</v>
      </c>
      <c r="G234">
        <f t="shared" si="18"/>
        <v>18.2799365465301</v>
      </c>
      <c r="J234">
        <v>1.468865</v>
      </c>
      <c r="K234">
        <v>29.576633659322</v>
      </c>
      <c r="L234">
        <f t="shared" si="19"/>
        <v>1.81473094048519</v>
      </c>
      <c r="O234">
        <v>4.7937</v>
      </c>
      <c r="P234">
        <v>9.06274526983332</v>
      </c>
      <c r="Q234">
        <f t="shared" si="20"/>
        <v>5.92244740626529</v>
      </c>
      <c r="T234">
        <v>0.002632</v>
      </c>
      <c r="U234">
        <v>16.5061101823708</v>
      </c>
      <c r="V234">
        <f t="shared" si="21"/>
        <v>3.25174324077232</v>
      </c>
      <c r="Y234">
        <v>36533.134895</v>
      </c>
      <c r="Z234">
        <v>36.533134895</v>
      </c>
      <c r="AA234">
        <v>1.46917674519942</v>
      </c>
      <c r="AD234">
        <v>0.00787324</v>
      </c>
      <c r="AE234">
        <v>5.51794204164994</v>
      </c>
      <c r="AF234">
        <f t="shared" si="22"/>
        <v>9.72711054444462</v>
      </c>
      <c r="AI234">
        <v>0.809412</v>
      </c>
      <c r="AJ234">
        <v>53.6736322169674</v>
      </c>
    </row>
    <row r="235" spans="1:36">
      <c r="A235">
        <f t="shared" si="23"/>
        <v>234</v>
      </c>
      <c r="B235" t="s">
        <v>262</v>
      </c>
      <c r="C235">
        <v>6921148</v>
      </c>
      <c r="E235">
        <v>10.739</v>
      </c>
      <c r="F235">
        <v>0.644487196200764</v>
      </c>
      <c r="G235">
        <f t="shared" si="18"/>
        <v>18.3023890761716</v>
      </c>
      <c r="J235">
        <v>0.935658</v>
      </c>
      <c r="K235">
        <v>7.39709167238457</v>
      </c>
      <c r="L235">
        <f t="shared" si="19"/>
        <v>1.59463420786223</v>
      </c>
      <c r="O235">
        <v>4.6344</v>
      </c>
      <c r="P235">
        <v>1.49342913861557</v>
      </c>
      <c r="Q235">
        <f t="shared" si="20"/>
        <v>7.89836967451435</v>
      </c>
      <c r="T235">
        <v>0.002061</v>
      </c>
      <c r="U235">
        <v>3.35815041242116</v>
      </c>
      <c r="V235">
        <f t="shared" si="21"/>
        <v>3.51254529155317</v>
      </c>
      <c r="Y235">
        <v>7467.216385</v>
      </c>
      <c r="Z235">
        <v>7.467216385</v>
      </c>
      <c r="AA235">
        <v>1.57965898017529</v>
      </c>
      <c r="AD235">
        <v>0.00965548</v>
      </c>
      <c r="AE235">
        <v>0.716810350184559</v>
      </c>
      <c r="AF235">
        <f t="shared" si="22"/>
        <v>16.4557548819437</v>
      </c>
      <c r="AI235">
        <v>0.586754</v>
      </c>
      <c r="AJ235">
        <v>11.7956554194773</v>
      </c>
    </row>
    <row r="236" spans="1:36">
      <c r="A236">
        <f t="shared" si="23"/>
        <v>235</v>
      </c>
      <c r="B236" t="s">
        <v>263</v>
      </c>
      <c r="C236">
        <v>17999304</v>
      </c>
      <c r="E236">
        <v>10.067</v>
      </c>
      <c r="F236">
        <v>1.78795112744611</v>
      </c>
      <c r="G236">
        <f t="shared" si="18"/>
        <v>17.1437816113486</v>
      </c>
      <c r="J236">
        <v>0.821746</v>
      </c>
      <c r="K236">
        <v>21.9037318100727</v>
      </c>
      <c r="L236">
        <f t="shared" si="19"/>
        <v>1.39940736704075</v>
      </c>
      <c r="O236">
        <v>4.3409</v>
      </c>
      <c r="P236">
        <v>4.14644520721509</v>
      </c>
      <c r="Q236">
        <f t="shared" si="20"/>
        <v>7.39241497930894</v>
      </c>
      <c r="T236">
        <v>0.002112</v>
      </c>
      <c r="U236">
        <v>8.52239772727273</v>
      </c>
      <c r="V236">
        <f t="shared" si="21"/>
        <v>3.59666899405664</v>
      </c>
      <c r="Y236">
        <v>15837.564671</v>
      </c>
      <c r="Z236">
        <v>15.837564671</v>
      </c>
      <c r="AA236">
        <v>1.93541395394126</v>
      </c>
      <c r="AD236">
        <v>0.0107854</v>
      </c>
      <c r="AE236">
        <v>1.66885827136685</v>
      </c>
      <c r="AF236">
        <f t="shared" si="22"/>
        <v>18.3671940191754</v>
      </c>
      <c r="AI236">
        <v>0.58721</v>
      </c>
      <c r="AJ236">
        <v>30.6522436607006</v>
      </c>
    </row>
    <row r="237" spans="1:36">
      <c r="A237">
        <f t="shared" si="23"/>
        <v>236</v>
      </c>
      <c r="B237" t="s">
        <v>264</v>
      </c>
      <c r="C237">
        <v>80922402</v>
      </c>
      <c r="E237">
        <v>18.176</v>
      </c>
      <c r="F237">
        <v>4.45215680017606</v>
      </c>
      <c r="G237">
        <f t="shared" si="18"/>
        <v>19.9540670024547</v>
      </c>
      <c r="J237">
        <v>2.569804</v>
      </c>
      <c r="K237">
        <v>31.4897175037474</v>
      </c>
      <c r="L237">
        <f t="shared" si="19"/>
        <v>2.82119504837017</v>
      </c>
      <c r="O237">
        <v>5.4658</v>
      </c>
      <c r="P237">
        <v>14.8052255845439</v>
      </c>
      <c r="Q237">
        <f t="shared" si="20"/>
        <v>6.00049182559513</v>
      </c>
      <c r="T237">
        <v>0.002165</v>
      </c>
      <c r="U237">
        <v>37.377552886836</v>
      </c>
      <c r="V237">
        <f t="shared" si="21"/>
        <v>2.37679110146977</v>
      </c>
      <c r="Y237">
        <v>40407.041943</v>
      </c>
      <c r="Z237">
        <v>40.407041943</v>
      </c>
      <c r="AA237">
        <v>2.19859288936486</v>
      </c>
      <c r="AD237">
        <v>0.0116042</v>
      </c>
      <c r="AE237">
        <v>6.97354423398425</v>
      </c>
      <c r="AF237">
        <f t="shared" si="22"/>
        <v>12.7393807388801</v>
      </c>
      <c r="AI237">
        <v>0.910892</v>
      </c>
      <c r="AJ237">
        <v>88.8386350961475</v>
      </c>
    </row>
    <row r="238" spans="1:36">
      <c r="A238">
        <f t="shared" si="23"/>
        <v>237</v>
      </c>
      <c r="B238" t="s">
        <v>265</v>
      </c>
      <c r="C238">
        <v>4704084</v>
      </c>
      <c r="E238">
        <v>14.664</v>
      </c>
      <c r="F238">
        <v>0.320791325695581</v>
      </c>
      <c r="G238">
        <f t="shared" si="18"/>
        <v>9.42670900885842</v>
      </c>
      <c r="J238">
        <v>0.912184</v>
      </c>
      <c r="K238">
        <v>5.15694640554976</v>
      </c>
      <c r="L238">
        <f t="shared" si="19"/>
        <v>0.586394785224803</v>
      </c>
      <c r="O238">
        <v>5.3255</v>
      </c>
      <c r="P238">
        <v>0.88331311613933</v>
      </c>
      <c r="Q238">
        <f t="shared" si="20"/>
        <v>3.42348191671273</v>
      </c>
      <c r="T238">
        <v>0.002338</v>
      </c>
      <c r="U238">
        <v>2.0120119760479</v>
      </c>
      <c r="V238">
        <f t="shared" si="21"/>
        <v>1.50297638179972</v>
      </c>
      <c r="Y238">
        <v>1742.480602</v>
      </c>
      <c r="Z238">
        <v>1.742480602</v>
      </c>
      <c r="AA238">
        <v>1.73546062804214</v>
      </c>
      <c r="AD238">
        <v>0.00514983</v>
      </c>
      <c r="AE238">
        <v>0.913444521469641</v>
      </c>
      <c r="AF238">
        <f t="shared" si="22"/>
        <v>3.31055297702464</v>
      </c>
      <c r="AI238">
        <v>1.55558</v>
      </c>
      <c r="AJ238">
        <v>3.02400647989817</v>
      </c>
    </row>
    <row r="239" spans="1:36">
      <c r="A239">
        <f t="shared" si="23"/>
        <v>238</v>
      </c>
      <c r="B239" t="s">
        <v>266</v>
      </c>
      <c r="C239">
        <v>4704084</v>
      </c>
      <c r="E239">
        <v>15.134</v>
      </c>
      <c r="F239">
        <v>0.310828862164662</v>
      </c>
      <c r="G239">
        <f t="shared" si="18"/>
        <v>10.4223625582789</v>
      </c>
      <c r="J239">
        <v>1.012023</v>
      </c>
      <c r="K239">
        <v>4.64819870694638</v>
      </c>
      <c r="L239">
        <f t="shared" si="19"/>
        <v>0.696951937578767</v>
      </c>
      <c r="O239">
        <v>4.9446</v>
      </c>
      <c r="P239">
        <v>0.951357844921733</v>
      </c>
      <c r="Q239">
        <f t="shared" si="20"/>
        <v>3.40520773791897</v>
      </c>
      <c r="T239">
        <v>0.002524</v>
      </c>
      <c r="U239">
        <v>1.86374167987322</v>
      </c>
      <c r="V239">
        <f t="shared" si="21"/>
        <v>1.73820821310267</v>
      </c>
      <c r="Y239">
        <v>1305.578035</v>
      </c>
      <c r="Z239">
        <v>1.305578035</v>
      </c>
      <c r="AA239">
        <v>2.4813308804306</v>
      </c>
      <c r="AD239">
        <v>0.00527153</v>
      </c>
      <c r="AE239">
        <v>0.89235648853369</v>
      </c>
      <c r="AF239">
        <f t="shared" si="22"/>
        <v>3.63035528590219</v>
      </c>
      <c r="AI239">
        <v>1.45207</v>
      </c>
      <c r="AJ239">
        <v>3.2395710950574</v>
      </c>
    </row>
    <row r="240" spans="1:36">
      <c r="A240">
        <f t="shared" si="23"/>
        <v>239</v>
      </c>
      <c r="B240" t="s">
        <v>267</v>
      </c>
      <c r="C240">
        <v>15615390</v>
      </c>
      <c r="E240">
        <v>10.796</v>
      </c>
      <c r="F240">
        <v>1.44640515005558</v>
      </c>
      <c r="G240">
        <f t="shared" si="18"/>
        <v>11.0374779424243</v>
      </c>
      <c r="J240">
        <v>0.89832</v>
      </c>
      <c r="K240">
        <v>17.3828813785733</v>
      </c>
      <c r="L240">
        <f t="shared" si="19"/>
        <v>0.918413040500061</v>
      </c>
      <c r="O240">
        <v>4.8723</v>
      </c>
      <c r="P240">
        <v>3.20493196231759</v>
      </c>
      <c r="Q240">
        <f t="shared" si="20"/>
        <v>4.98128045376752</v>
      </c>
      <c r="T240">
        <v>0.002561</v>
      </c>
      <c r="U240">
        <v>6.09737992971495</v>
      </c>
      <c r="V240">
        <f t="shared" si="21"/>
        <v>2.61828279089929</v>
      </c>
      <c r="Y240">
        <v>15985.104256</v>
      </c>
      <c r="Z240">
        <v>15.985104256</v>
      </c>
      <c r="AA240">
        <v>0.998721352321182</v>
      </c>
      <c r="AD240">
        <v>0.00631064</v>
      </c>
      <c r="AE240">
        <v>2.47445425503594</v>
      </c>
      <c r="AF240">
        <f t="shared" si="22"/>
        <v>6.45179231220644</v>
      </c>
      <c r="AI240">
        <v>0.978122</v>
      </c>
      <c r="AJ240">
        <v>15.9646649395474</v>
      </c>
    </row>
    <row r="241" spans="1:36">
      <c r="A241">
        <f t="shared" si="23"/>
        <v>240</v>
      </c>
      <c r="B241" t="s">
        <v>268</v>
      </c>
      <c r="C241">
        <v>1817500</v>
      </c>
      <c r="E241">
        <v>4.827</v>
      </c>
      <c r="F241">
        <v>0.376527864097783</v>
      </c>
      <c r="G241">
        <f t="shared" si="18"/>
        <v>4.98702876607457</v>
      </c>
      <c r="J241">
        <v>1.624271</v>
      </c>
      <c r="K241">
        <v>1.11896352271265</v>
      </c>
      <c r="L241">
        <f t="shared" si="19"/>
        <v>1.67812019906789</v>
      </c>
      <c r="O241">
        <v>5.676</v>
      </c>
      <c r="P241">
        <v>0.320207892882311</v>
      </c>
      <c r="Q241">
        <f t="shared" si="20"/>
        <v>5.86417552853517</v>
      </c>
      <c r="T241">
        <v>0.003606</v>
      </c>
      <c r="U241">
        <v>0.50402107598447</v>
      </c>
      <c r="V241">
        <f t="shared" si="21"/>
        <v>3.7255491465641</v>
      </c>
      <c r="Y241">
        <v>2182.263464</v>
      </c>
      <c r="Z241">
        <v>2.182263464</v>
      </c>
      <c r="AA241">
        <v>0.860462231284581</v>
      </c>
      <c r="AD241">
        <v>0.00257784</v>
      </c>
      <c r="AE241">
        <v>0.705047636781181</v>
      </c>
      <c r="AF241">
        <f t="shared" si="22"/>
        <v>2.66330272101464</v>
      </c>
      <c r="AI241">
        <v>0.967911</v>
      </c>
      <c r="AJ241">
        <v>1.87775528948426</v>
      </c>
    </row>
    <row r="242" spans="1:36">
      <c r="A242">
        <f t="shared" si="23"/>
        <v>241</v>
      </c>
      <c r="B242" t="s">
        <v>269</v>
      </c>
      <c r="C242">
        <v>30668788</v>
      </c>
      <c r="E242">
        <v>15.602</v>
      </c>
      <c r="F242">
        <v>1.96569593641841</v>
      </c>
      <c r="G242">
        <f t="shared" si="18"/>
        <v>20.3562938550139</v>
      </c>
      <c r="J242">
        <v>1.177995</v>
      </c>
      <c r="K242">
        <v>26.0347352917457</v>
      </c>
      <c r="L242">
        <f t="shared" si="19"/>
        <v>1.53695759388137</v>
      </c>
      <c r="O242">
        <v>5.1057</v>
      </c>
      <c r="P242">
        <v>6.00677438940792</v>
      </c>
      <c r="Q242">
        <f t="shared" si="20"/>
        <v>6.66152605663021</v>
      </c>
      <c r="T242">
        <v>0.002959</v>
      </c>
      <c r="U242">
        <v>10.3645785738425</v>
      </c>
      <c r="V242">
        <f t="shared" si="21"/>
        <v>3.86067642077851</v>
      </c>
      <c r="Y242">
        <v>31292.891001</v>
      </c>
      <c r="Z242">
        <v>31.292891001</v>
      </c>
      <c r="AA242">
        <v>1.27870205760347</v>
      </c>
      <c r="AD242">
        <v>0.00890268</v>
      </c>
      <c r="AE242">
        <v>3.44489389711862</v>
      </c>
      <c r="AF242">
        <f t="shared" si="22"/>
        <v>11.6155345582076</v>
      </c>
      <c r="AI242">
        <v>0.766446</v>
      </c>
      <c r="AJ242">
        <v>40.0142841113399</v>
      </c>
    </row>
    <row r="243" spans="1:36">
      <c r="A243">
        <f t="shared" si="23"/>
        <v>242</v>
      </c>
      <c r="B243" t="s">
        <v>270</v>
      </c>
      <c r="C243">
        <v>21349920</v>
      </c>
      <c r="E243">
        <v>114.273</v>
      </c>
      <c r="F243">
        <v>0.186832585125095</v>
      </c>
      <c r="G243">
        <f t="shared" si="18"/>
        <v>19.3598392567318</v>
      </c>
      <c r="J243">
        <v>5.554252</v>
      </c>
      <c r="K243">
        <v>3.84388752976999</v>
      </c>
      <c r="L243">
        <f t="shared" si="19"/>
        <v>0.940987161546305</v>
      </c>
      <c r="O243">
        <v>17.812</v>
      </c>
      <c r="P243">
        <v>1.19862564563216</v>
      </c>
      <c r="Q243">
        <f t="shared" si="20"/>
        <v>3.01766346241812</v>
      </c>
      <c r="T243">
        <v>0.007646</v>
      </c>
      <c r="U243">
        <v>2.79229924143343</v>
      </c>
      <c r="V243">
        <f t="shared" si="21"/>
        <v>1.29536575531378</v>
      </c>
      <c r="Y243">
        <v>3844.081076</v>
      </c>
      <c r="Z243">
        <v>3.844081076</v>
      </c>
      <c r="AA243">
        <v>0.940939783638814</v>
      </c>
      <c r="AD243">
        <v>0.0223343</v>
      </c>
      <c r="AE243">
        <v>0.95592519129769</v>
      </c>
      <c r="AF243">
        <f t="shared" si="22"/>
        <v>3.7838199566969</v>
      </c>
      <c r="AI243">
        <v>5.90258</v>
      </c>
      <c r="AJ243">
        <v>3.6170488159415</v>
      </c>
    </row>
    <row r="244" spans="1:36">
      <c r="A244">
        <f t="shared" si="23"/>
        <v>243</v>
      </c>
      <c r="B244" t="s">
        <v>271</v>
      </c>
      <c r="C244">
        <v>21349992</v>
      </c>
      <c r="E244">
        <v>53.155</v>
      </c>
      <c r="F244">
        <v>0.401655385194243</v>
      </c>
      <c r="G244">
        <f t="shared" si="18"/>
        <v>8.5702216439412</v>
      </c>
      <c r="J244">
        <v>6.805183</v>
      </c>
      <c r="K244">
        <v>3.13731342713341</v>
      </c>
      <c r="L244">
        <f t="shared" si="19"/>
        <v>1.09720490335021</v>
      </c>
      <c r="O244">
        <v>16.0432</v>
      </c>
      <c r="P244">
        <v>1.33078139024634</v>
      </c>
      <c r="Q244">
        <f t="shared" si="20"/>
        <v>2.58665750875885</v>
      </c>
      <c r="T244">
        <v>0.008134</v>
      </c>
      <c r="U244">
        <v>2.62478387017458</v>
      </c>
      <c r="V244">
        <f t="shared" si="21"/>
        <v>1.31145109306401</v>
      </c>
      <c r="Y244">
        <v>2933.444035</v>
      </c>
      <c r="Z244">
        <v>2.933444035</v>
      </c>
      <c r="AA244">
        <v>1.17345878582519</v>
      </c>
      <c r="AD244">
        <v>0.0176393</v>
      </c>
      <c r="AE244">
        <v>1.21036503716134</v>
      </c>
      <c r="AF244">
        <f t="shared" si="22"/>
        <v>2.84399794269536</v>
      </c>
      <c r="AI244">
        <v>6.20229</v>
      </c>
      <c r="AJ244">
        <v>3.44227567559724</v>
      </c>
    </row>
    <row r="245" spans="1:36">
      <c r="A245">
        <f t="shared" si="23"/>
        <v>244</v>
      </c>
      <c r="B245" t="s">
        <v>272</v>
      </c>
      <c r="C245">
        <v>5869910</v>
      </c>
      <c r="E245">
        <v>12.144</v>
      </c>
      <c r="F245">
        <v>0.483358860342556</v>
      </c>
      <c r="G245">
        <f t="shared" si="18"/>
        <v>11.1846892067381</v>
      </c>
      <c r="J245">
        <v>0.676363</v>
      </c>
      <c r="K245">
        <v>8.67863854172981</v>
      </c>
      <c r="L245">
        <f t="shared" si="19"/>
        <v>0.622933954704956</v>
      </c>
      <c r="O245">
        <v>4.4015</v>
      </c>
      <c r="P245">
        <v>1.33361581279109</v>
      </c>
      <c r="Q245">
        <f t="shared" si="20"/>
        <v>4.05380513368394</v>
      </c>
      <c r="T245">
        <v>0.002127</v>
      </c>
      <c r="U245">
        <v>2.75971321109544</v>
      </c>
      <c r="V245">
        <f t="shared" si="21"/>
        <v>1.95897842084419</v>
      </c>
      <c r="Y245">
        <v>5999.575712</v>
      </c>
      <c r="Z245">
        <v>5.999575712</v>
      </c>
      <c r="AA245">
        <v>0.901100159039813</v>
      </c>
      <c r="AD245">
        <v>0.0019632</v>
      </c>
      <c r="AE245">
        <v>2.98997045639772</v>
      </c>
      <c r="AF245">
        <f t="shared" si="22"/>
        <v>1.80811774132643</v>
      </c>
      <c r="AI245">
        <v>1.08577</v>
      </c>
      <c r="AJ245">
        <v>5.4062186282546</v>
      </c>
    </row>
    <row r="246" spans="1:36">
      <c r="A246">
        <f t="shared" si="23"/>
        <v>245</v>
      </c>
      <c r="B246" t="s">
        <v>273</v>
      </c>
      <c r="C246">
        <v>5869910</v>
      </c>
      <c r="E246">
        <v>11.806</v>
      </c>
      <c r="F246">
        <v>0.497197187870574</v>
      </c>
      <c r="G246">
        <f t="shared" si="18"/>
        <v>14.1391422860476</v>
      </c>
      <c r="J246">
        <v>0.629541</v>
      </c>
      <c r="K246">
        <v>9.32411074100019</v>
      </c>
      <c r="L246">
        <f t="shared" si="19"/>
        <v>0.753953055556553</v>
      </c>
      <c r="O246">
        <v>4.2026</v>
      </c>
      <c r="P246">
        <v>1.39673297482511</v>
      </c>
      <c r="Q246">
        <f t="shared" si="20"/>
        <v>5.03313225235841</v>
      </c>
      <c r="T246">
        <v>0.002296</v>
      </c>
      <c r="U246">
        <v>2.55658101045296</v>
      </c>
      <c r="V246">
        <f t="shared" si="21"/>
        <v>2.74974340917883</v>
      </c>
      <c r="Y246">
        <v>6006.530587</v>
      </c>
      <c r="Z246">
        <v>6.006530587</v>
      </c>
      <c r="AA246">
        <v>1.17038308249687</v>
      </c>
      <c r="AD246">
        <v>0.00168093</v>
      </c>
      <c r="AE246">
        <v>3.49206094245447</v>
      </c>
      <c r="AF246">
        <f t="shared" si="22"/>
        <v>2.0131211623654</v>
      </c>
      <c r="AI246">
        <v>0.834987</v>
      </c>
      <c r="AJ246">
        <v>7.02994178352477</v>
      </c>
    </row>
    <row r="247" spans="1:36">
      <c r="A247">
        <f t="shared" si="23"/>
        <v>246</v>
      </c>
      <c r="B247" t="s">
        <v>274</v>
      </c>
      <c r="C247">
        <v>5869910</v>
      </c>
      <c r="E247">
        <v>12.034</v>
      </c>
      <c r="F247">
        <v>0.487777131460861</v>
      </c>
      <c r="G247">
        <f t="shared" si="18"/>
        <v>10.9119265888668</v>
      </c>
      <c r="J247">
        <v>0.60914</v>
      </c>
      <c r="K247">
        <v>9.63638900745313</v>
      </c>
      <c r="L247">
        <f t="shared" si="19"/>
        <v>0.552342609468368</v>
      </c>
      <c r="O247">
        <v>3.6951</v>
      </c>
      <c r="P247">
        <v>1.58856593867554</v>
      </c>
      <c r="Q247">
        <f t="shared" si="20"/>
        <v>3.35056173662306</v>
      </c>
      <c r="T247">
        <v>0.002347</v>
      </c>
      <c r="U247">
        <v>2.50102684277801</v>
      </c>
      <c r="V247">
        <f t="shared" si="21"/>
        <v>2.12816118531415</v>
      </c>
      <c r="Y247">
        <v>5765.756812</v>
      </c>
      <c r="Z247">
        <v>5.765756812</v>
      </c>
      <c r="AA247">
        <v>0.923137833207135</v>
      </c>
      <c r="AD247">
        <v>0.0017218</v>
      </c>
      <c r="AE247">
        <v>3.40917063538158</v>
      </c>
      <c r="AF247">
        <f t="shared" si="22"/>
        <v>1.56125604127563</v>
      </c>
      <c r="AI247">
        <v>1.10283</v>
      </c>
      <c r="AJ247">
        <v>5.32258825022896</v>
      </c>
    </row>
    <row r="248" spans="1:36">
      <c r="A248">
        <f t="shared" si="23"/>
        <v>247</v>
      </c>
      <c r="B248" t="s">
        <v>275</v>
      </c>
      <c r="C248">
        <v>5270104</v>
      </c>
      <c r="E248">
        <v>9.68</v>
      </c>
      <c r="F248">
        <v>0.544432231404959</v>
      </c>
      <c r="G248">
        <f t="shared" si="18"/>
        <v>7.37703668703988</v>
      </c>
      <c r="J248">
        <v>1.066095</v>
      </c>
      <c r="K248">
        <v>4.94337183834461</v>
      </c>
      <c r="L248">
        <f t="shared" si="19"/>
        <v>0.81246094285845</v>
      </c>
      <c r="O248">
        <v>4.7036</v>
      </c>
      <c r="P248">
        <v>1.12044051364912</v>
      </c>
      <c r="Q248">
        <f t="shared" si="20"/>
        <v>3.58456919020256</v>
      </c>
      <c r="T248">
        <v>0.002533</v>
      </c>
      <c r="U248">
        <v>2.08057797078563</v>
      </c>
      <c r="V248">
        <f t="shared" si="21"/>
        <v>1.93037540581323</v>
      </c>
      <c r="Y248">
        <v>4545.393345</v>
      </c>
      <c r="Z248">
        <v>4.545393345</v>
      </c>
      <c r="AA248">
        <v>0.883597136670109</v>
      </c>
      <c r="AD248">
        <v>0.00258803</v>
      </c>
      <c r="AE248">
        <v>2.03633806408736</v>
      </c>
      <c r="AF248">
        <f t="shared" si="22"/>
        <v>1.97231324970659</v>
      </c>
      <c r="AI248">
        <v>1.31218</v>
      </c>
      <c r="AJ248">
        <v>4.01629654468137</v>
      </c>
    </row>
    <row r="249" spans="1:36">
      <c r="A249">
        <f t="shared" si="23"/>
        <v>248</v>
      </c>
      <c r="B249" t="s">
        <v>276</v>
      </c>
      <c r="C249">
        <v>2621440</v>
      </c>
      <c r="E249">
        <v>4.64</v>
      </c>
      <c r="F249">
        <v>0.564965517241379</v>
      </c>
      <c r="G249">
        <f t="shared" si="18"/>
        <v>5.28547246883963</v>
      </c>
      <c r="J249">
        <v>0.793837</v>
      </c>
      <c r="K249">
        <v>3.30223962853835</v>
      </c>
      <c r="L249">
        <f t="shared" si="19"/>
        <v>0.904268019018587</v>
      </c>
      <c r="O249">
        <v>5.2803</v>
      </c>
      <c r="P249">
        <v>0.496456640721171</v>
      </c>
      <c r="Q249">
        <f t="shared" si="20"/>
        <v>6.01484488733058</v>
      </c>
      <c r="T249">
        <v>0.00381</v>
      </c>
      <c r="U249">
        <v>0.688041994750656</v>
      </c>
      <c r="V249">
        <f t="shared" si="21"/>
        <v>4.34001079876702</v>
      </c>
      <c r="Y249">
        <v>3827.806252</v>
      </c>
      <c r="Z249">
        <v>3.827806252</v>
      </c>
      <c r="AA249">
        <v>0.780109935204487</v>
      </c>
      <c r="AD249">
        <v>0.00192581</v>
      </c>
      <c r="AE249">
        <v>1.36121424231882</v>
      </c>
      <c r="AF249">
        <f t="shared" si="22"/>
        <v>2.19371028776207</v>
      </c>
      <c r="AI249">
        <v>0.877878</v>
      </c>
      <c r="AJ249">
        <v>2.98610968722305</v>
      </c>
    </row>
    <row r="250" spans="1:36">
      <c r="A250">
        <f t="shared" si="23"/>
        <v>249</v>
      </c>
      <c r="B250" t="s">
        <v>277</v>
      </c>
      <c r="C250">
        <v>2621440</v>
      </c>
      <c r="E250">
        <v>4.36</v>
      </c>
      <c r="F250">
        <v>0.601247706422019</v>
      </c>
      <c r="G250">
        <f t="shared" si="18"/>
        <v>2.94236739101093</v>
      </c>
      <c r="J250">
        <v>0.833137</v>
      </c>
      <c r="K250">
        <v>3.146469308169</v>
      </c>
      <c r="L250">
        <f t="shared" si="19"/>
        <v>0.562246591982724</v>
      </c>
      <c r="O250">
        <v>4.6429</v>
      </c>
      <c r="P250">
        <v>0.564612634344914</v>
      </c>
      <c r="Q250">
        <f t="shared" si="20"/>
        <v>3.13328384397354</v>
      </c>
      <c r="T250">
        <v>0.002657</v>
      </c>
      <c r="U250">
        <v>0.986616484757245</v>
      </c>
      <c r="V250">
        <f t="shared" si="21"/>
        <v>1.79308948576056</v>
      </c>
      <c r="Y250">
        <v>3922.366426</v>
      </c>
      <c r="Z250">
        <v>3.922366426</v>
      </c>
      <c r="AA250">
        <v>0.45102661331424</v>
      </c>
      <c r="AD250">
        <v>0.00186242</v>
      </c>
      <c r="AE250">
        <v>1.40754502206806</v>
      </c>
      <c r="AF250">
        <f t="shared" si="22"/>
        <v>1.25686327439601</v>
      </c>
      <c r="AI250">
        <v>1.4818</v>
      </c>
      <c r="AJ250">
        <v>1.76909164529626</v>
      </c>
    </row>
    <row r="251" spans="1:36">
      <c r="A251">
        <f t="shared" si="23"/>
        <v>250</v>
      </c>
      <c r="B251" t="s">
        <v>278</v>
      </c>
      <c r="C251">
        <v>22181292</v>
      </c>
      <c r="E251">
        <v>43.709</v>
      </c>
      <c r="F251">
        <v>0.507476538012766</v>
      </c>
      <c r="G251">
        <f t="shared" si="18"/>
        <v>19.5442696106707</v>
      </c>
      <c r="J251">
        <v>5.015541</v>
      </c>
      <c r="K251">
        <v>4.42251234712267</v>
      </c>
      <c r="L251">
        <f t="shared" si="19"/>
        <v>2.24267509088226</v>
      </c>
      <c r="O251">
        <v>18.2471</v>
      </c>
      <c r="P251">
        <v>1.21560642513057</v>
      </c>
      <c r="Q251">
        <f t="shared" si="20"/>
        <v>8.15910320558394</v>
      </c>
      <c r="T251">
        <v>0.007979</v>
      </c>
      <c r="U251">
        <v>2.77995889209174</v>
      </c>
      <c r="V251">
        <f t="shared" si="21"/>
        <v>3.56777156245948</v>
      </c>
      <c r="Y251">
        <v>4318.201997</v>
      </c>
      <c r="Z251">
        <v>4.318201997</v>
      </c>
      <c r="AA251">
        <v>2.29684907906157</v>
      </c>
      <c r="AD251">
        <v>0.0042867</v>
      </c>
      <c r="AE251">
        <v>5.17444467772412</v>
      </c>
      <c r="AF251">
        <f t="shared" si="22"/>
        <v>1.91677733510403</v>
      </c>
      <c r="AI251">
        <v>2.23641</v>
      </c>
      <c r="AJ251">
        <v>9.91825828001127</v>
      </c>
    </row>
    <row r="252" spans="1:36">
      <c r="A252">
        <f t="shared" si="23"/>
        <v>251</v>
      </c>
      <c r="B252" t="s">
        <v>279</v>
      </c>
      <c r="C252">
        <v>19302814</v>
      </c>
      <c r="E252">
        <v>10.105</v>
      </c>
      <c r="F252">
        <v>1.91022404750124</v>
      </c>
      <c r="G252">
        <f t="shared" si="18"/>
        <v>20.6966189036629</v>
      </c>
      <c r="J252">
        <v>0.909921</v>
      </c>
      <c r="K252">
        <v>21.2137251475678</v>
      </c>
      <c r="L252">
        <f t="shared" si="19"/>
        <v>1.86366038292329</v>
      </c>
      <c r="O252">
        <v>5.05</v>
      </c>
      <c r="P252">
        <v>3.82233940594059</v>
      </c>
      <c r="Q252">
        <f t="shared" si="20"/>
        <v>10.3431890612071</v>
      </c>
      <c r="T252">
        <v>0.002105</v>
      </c>
      <c r="U252">
        <v>9.16998289786223</v>
      </c>
      <c r="V252">
        <f t="shared" si="21"/>
        <v>4.31136890571108</v>
      </c>
      <c r="Y252">
        <v>22110.318093</v>
      </c>
      <c r="Z252">
        <v>22.110318093</v>
      </c>
      <c r="AA252">
        <v>1.78808730681546</v>
      </c>
      <c r="AD252">
        <v>0.00997214</v>
      </c>
      <c r="AE252">
        <v>1.93567418828857</v>
      </c>
      <c r="AF252">
        <f t="shared" si="22"/>
        <v>20.424500864322</v>
      </c>
      <c r="AI252">
        <v>0.488244</v>
      </c>
      <c r="AJ252">
        <v>39.5351791317456</v>
      </c>
    </row>
    <row r="253" spans="1:36">
      <c r="A253">
        <f t="shared" si="23"/>
        <v>252</v>
      </c>
      <c r="B253" t="s">
        <v>280</v>
      </c>
      <c r="C253">
        <v>3082948</v>
      </c>
      <c r="E253">
        <v>4.435</v>
      </c>
      <c r="F253">
        <v>0.695140473506201</v>
      </c>
      <c r="G253">
        <f t="shared" si="18"/>
        <v>2.23851969998284</v>
      </c>
      <c r="J253">
        <v>0.85756</v>
      </c>
      <c r="K253">
        <v>3.59502308876347</v>
      </c>
      <c r="L253">
        <f t="shared" si="19"/>
        <v>0.432844409000515</v>
      </c>
      <c r="O253">
        <v>4.7845</v>
      </c>
      <c r="P253">
        <v>0.644361584282579</v>
      </c>
      <c r="Q253">
        <f t="shared" si="20"/>
        <v>2.41492615661058</v>
      </c>
      <c r="T253">
        <v>0.002913</v>
      </c>
      <c r="U253">
        <v>1.05834122897357</v>
      </c>
      <c r="V253">
        <f t="shared" si="21"/>
        <v>1.47030617498309</v>
      </c>
      <c r="Y253">
        <v>3781.080048</v>
      </c>
      <c r="Z253">
        <v>3.781080048</v>
      </c>
      <c r="AA253">
        <v>0.411545279244252</v>
      </c>
      <c r="AD253">
        <v>0.00353915</v>
      </c>
      <c r="AE253">
        <v>0.871098427588545</v>
      </c>
      <c r="AF253">
        <f t="shared" si="22"/>
        <v>1.78634881537639</v>
      </c>
      <c r="AI253">
        <v>1.98122</v>
      </c>
      <c r="AJ253">
        <v>1.55608564419903</v>
      </c>
    </row>
    <row r="254" spans="1:36">
      <c r="A254">
        <f t="shared" si="23"/>
        <v>253</v>
      </c>
      <c r="B254" t="s">
        <v>281</v>
      </c>
      <c r="C254">
        <v>1853920</v>
      </c>
      <c r="E254">
        <v>5.277</v>
      </c>
      <c r="F254">
        <v>0.351320826227023</v>
      </c>
      <c r="G254">
        <f t="shared" si="18"/>
        <v>5.20522001597963</v>
      </c>
      <c r="J254">
        <v>1.402774</v>
      </c>
      <c r="K254">
        <v>1.32160989582071</v>
      </c>
      <c r="L254">
        <f t="shared" si="19"/>
        <v>1.38369287525029</v>
      </c>
      <c r="O254">
        <v>7.3991</v>
      </c>
      <c r="P254">
        <v>0.250560203267965</v>
      </c>
      <c r="Q254">
        <f t="shared" si="20"/>
        <v>7.29845431499618</v>
      </c>
      <c r="T254">
        <v>0.00368</v>
      </c>
      <c r="U254">
        <v>0.503782608695652</v>
      </c>
      <c r="V254">
        <f t="shared" si="21"/>
        <v>3.62994308485978</v>
      </c>
      <c r="Y254">
        <v>2131.440361</v>
      </c>
      <c r="Z254">
        <v>2.131440361</v>
      </c>
      <c r="AA254">
        <v>0.857965453863056</v>
      </c>
      <c r="AD254">
        <v>0.00258221</v>
      </c>
      <c r="AE254">
        <v>0.717958647824925</v>
      </c>
      <c r="AF254">
        <f t="shared" si="22"/>
        <v>2.54708568835754</v>
      </c>
      <c r="AI254">
        <v>1.01379</v>
      </c>
      <c r="AJ254">
        <v>1.8287021967074</v>
      </c>
    </row>
    <row r="255" spans="1:36">
      <c r="A255">
        <f t="shared" si="23"/>
        <v>254</v>
      </c>
      <c r="B255" t="s">
        <v>282</v>
      </c>
      <c r="C255">
        <v>52477872</v>
      </c>
      <c r="E255">
        <v>845.717</v>
      </c>
      <c r="F255">
        <v>0.0620513386865819</v>
      </c>
      <c r="G255">
        <f t="shared" si="18"/>
        <v>234.416741736539</v>
      </c>
      <c r="J255">
        <v>18.389325</v>
      </c>
      <c r="K255">
        <v>2.85371388019952</v>
      </c>
      <c r="L255">
        <f t="shared" si="19"/>
        <v>5.09717275310096</v>
      </c>
      <c r="O255">
        <v>29.6734</v>
      </c>
      <c r="P255">
        <v>1.76851564027041</v>
      </c>
      <c r="Q255">
        <f t="shared" si="20"/>
        <v>8.22490471900769</v>
      </c>
      <c r="T255">
        <v>0.017296</v>
      </c>
      <c r="U255">
        <v>3.03410453283996</v>
      </c>
      <c r="V255">
        <f t="shared" si="21"/>
        <v>4.7941237613471</v>
      </c>
      <c r="Y255">
        <v>11330.622854</v>
      </c>
      <c r="Z255">
        <v>11.330622854</v>
      </c>
      <c r="AA255">
        <v>1.28376637566433</v>
      </c>
      <c r="AD255">
        <v>0.0303226</v>
      </c>
      <c r="AE255">
        <v>1.73065212086035</v>
      </c>
      <c r="AF255">
        <f t="shared" si="22"/>
        <v>8.40485066869931</v>
      </c>
      <c r="AI255">
        <v>3.60775</v>
      </c>
      <c r="AJ255">
        <v>14.545872635299</v>
      </c>
    </row>
    <row r="256" spans="1:36">
      <c r="A256">
        <f t="shared" si="23"/>
        <v>255</v>
      </c>
      <c r="B256" t="s">
        <v>283</v>
      </c>
      <c r="C256">
        <v>52477872</v>
      </c>
      <c r="E256">
        <v>841.778</v>
      </c>
      <c r="F256">
        <v>0.0623417005433737</v>
      </c>
      <c r="G256">
        <f t="shared" si="18"/>
        <v>195.870737757177</v>
      </c>
      <c r="J256">
        <v>18.21384</v>
      </c>
      <c r="K256">
        <v>2.88120857545691</v>
      </c>
      <c r="L256">
        <f t="shared" si="19"/>
        <v>4.23812249570691</v>
      </c>
      <c r="O256">
        <v>31.1701</v>
      </c>
      <c r="P256">
        <v>1.68359652359152</v>
      </c>
      <c r="Q256">
        <f t="shared" si="20"/>
        <v>7.25287484700833</v>
      </c>
      <c r="T256">
        <v>0.015258</v>
      </c>
      <c r="U256">
        <v>3.43936767597326</v>
      </c>
      <c r="V256">
        <f t="shared" si="21"/>
        <v>3.55033716336018</v>
      </c>
      <c r="Y256">
        <v>9488.166567</v>
      </c>
      <c r="Z256">
        <v>9.488166567</v>
      </c>
      <c r="AA256">
        <v>1.28696253298686</v>
      </c>
      <c r="AD256">
        <v>0.0311156</v>
      </c>
      <c r="AE256">
        <v>1.68654539844965</v>
      </c>
      <c r="AF256">
        <f t="shared" si="22"/>
        <v>7.24019340937542</v>
      </c>
      <c r="AI256">
        <v>4.29762</v>
      </c>
      <c r="AJ256">
        <v>12.2109148784676</v>
      </c>
    </row>
    <row r="257" spans="1:36">
      <c r="A257">
        <f t="shared" si="23"/>
        <v>256</v>
      </c>
      <c r="B257" t="s">
        <v>284</v>
      </c>
      <c r="C257">
        <v>27366370</v>
      </c>
      <c r="E257">
        <v>19.585</v>
      </c>
      <c r="F257">
        <v>1.39731273934133</v>
      </c>
      <c r="G257">
        <f t="shared" si="18"/>
        <v>19.7816693567448</v>
      </c>
      <c r="J257">
        <v>1.125719</v>
      </c>
      <c r="K257">
        <v>24.3101253509979</v>
      </c>
      <c r="L257">
        <f t="shared" si="19"/>
        <v>1.13702328550448</v>
      </c>
      <c r="O257">
        <v>5.8658</v>
      </c>
      <c r="P257">
        <v>4.66541136758839</v>
      </c>
      <c r="Q257">
        <f t="shared" si="20"/>
        <v>5.92470340121488</v>
      </c>
      <c r="T257">
        <v>0.002262</v>
      </c>
      <c r="U257">
        <v>12.0983068081344</v>
      </c>
      <c r="V257">
        <f t="shared" si="21"/>
        <v>2.28471463288009</v>
      </c>
      <c r="Y257">
        <v>25951.600597</v>
      </c>
      <c r="Z257">
        <v>25.951600597</v>
      </c>
      <c r="AA257">
        <v>1.06510496315255</v>
      </c>
      <c r="AD257">
        <v>0.0110003</v>
      </c>
      <c r="AE257">
        <v>2.4877839695281</v>
      </c>
      <c r="AF257">
        <f t="shared" si="22"/>
        <v>11.1107632078121</v>
      </c>
      <c r="AI257">
        <v>0.990058</v>
      </c>
      <c r="AJ257">
        <v>27.6411785976175</v>
      </c>
    </row>
    <row r="258" spans="1:36">
      <c r="A258">
        <f t="shared" si="23"/>
        <v>257</v>
      </c>
      <c r="B258" t="s">
        <v>285</v>
      </c>
      <c r="C258">
        <v>4726912</v>
      </c>
      <c r="E258">
        <v>12.353</v>
      </c>
      <c r="F258">
        <v>0.382652958795434</v>
      </c>
      <c r="G258">
        <f t="shared" si="18"/>
        <v>8.80495523749786</v>
      </c>
      <c r="J258">
        <v>1.340699</v>
      </c>
      <c r="K258">
        <v>3.52570711248386</v>
      </c>
      <c r="L258">
        <f t="shared" si="19"/>
        <v>0.955621685579061</v>
      </c>
      <c r="O258">
        <v>7.3103</v>
      </c>
      <c r="P258">
        <v>0.646609851852865</v>
      </c>
      <c r="Q258">
        <f t="shared" si="20"/>
        <v>5.21062610480698</v>
      </c>
      <c r="T258">
        <v>0.003147</v>
      </c>
      <c r="U258">
        <v>1.50203749602796</v>
      </c>
      <c r="V258">
        <f t="shared" si="21"/>
        <v>2.2431145577921</v>
      </c>
      <c r="Y258">
        <v>1464.495612</v>
      </c>
      <c r="Z258">
        <v>1.464495612</v>
      </c>
      <c r="AA258">
        <v>2.30061609340616</v>
      </c>
      <c r="AD258">
        <v>0.00321088</v>
      </c>
      <c r="AE258">
        <v>1.47215467410803</v>
      </c>
      <c r="AF258">
        <f t="shared" si="22"/>
        <v>2.28864686092262</v>
      </c>
      <c r="AI258">
        <v>1.40296</v>
      </c>
      <c r="AJ258">
        <v>3.36924217368991</v>
      </c>
    </row>
    <row r="259" spans="1:36">
      <c r="A259">
        <f t="shared" si="23"/>
        <v>258</v>
      </c>
      <c r="B259" t="s">
        <v>286</v>
      </c>
      <c r="C259">
        <v>5468718</v>
      </c>
      <c r="E259">
        <v>27.994</v>
      </c>
      <c r="F259">
        <v>0.195353218546831</v>
      </c>
      <c r="G259">
        <f t="shared" ref="G259:G322" si="24">AJ259/F259</f>
        <v>39.1421556290095</v>
      </c>
      <c r="J259">
        <v>1.019936</v>
      </c>
      <c r="K259">
        <v>5.3618246635083</v>
      </c>
      <c r="L259">
        <f t="shared" ref="L259:L322" si="25">AJ259/K259</f>
        <v>1.42610893918802</v>
      </c>
      <c r="O259">
        <v>5.8373</v>
      </c>
      <c r="P259">
        <v>0.936857451218886</v>
      </c>
      <c r="Q259">
        <f t="shared" ref="Q259:Q322" si="26">AJ259/P259</f>
        <v>8.16190987544533</v>
      </c>
      <c r="T259">
        <v>0.002695</v>
      </c>
      <c r="U259">
        <v>2.02920890538033</v>
      </c>
      <c r="V259">
        <f t="shared" ref="V259:V322" si="27">AJ259/U259</f>
        <v>3.76823995928344</v>
      </c>
      <c r="Y259">
        <v>6326.109764</v>
      </c>
      <c r="Z259">
        <v>6.326109764</v>
      </c>
      <c r="AA259">
        <v>1.20872801267252</v>
      </c>
      <c r="AD259">
        <v>0.00630292</v>
      </c>
      <c r="AE259">
        <v>0.867648328076511</v>
      </c>
      <c r="AF259">
        <f t="shared" ref="AF259:AF322" si="28">AJ259/AE259</f>
        <v>8.81295547464443</v>
      </c>
      <c r="AI259">
        <v>0.715188</v>
      </c>
      <c r="AJ259">
        <v>7.64654608298797</v>
      </c>
    </row>
    <row r="260" spans="1:36">
      <c r="A260">
        <f t="shared" ref="A260:A323" si="29">A259+1</f>
        <v>259</v>
      </c>
      <c r="B260" t="s">
        <v>287</v>
      </c>
      <c r="C260">
        <v>19627814</v>
      </c>
      <c r="E260">
        <v>29.393</v>
      </c>
      <c r="F260">
        <v>0.667771714353758</v>
      </c>
      <c r="G260">
        <f t="shared" si="24"/>
        <v>16.7346078956058</v>
      </c>
      <c r="J260">
        <v>1.669989</v>
      </c>
      <c r="K260">
        <v>11.7532594526072</v>
      </c>
      <c r="L260">
        <f t="shared" si="25"/>
        <v>0.950791382471158</v>
      </c>
      <c r="O260">
        <v>7.4097</v>
      </c>
      <c r="P260">
        <v>2.6489350446037</v>
      </c>
      <c r="Q260">
        <f t="shared" si="26"/>
        <v>4.21863791120573</v>
      </c>
      <c r="T260">
        <v>0.00305</v>
      </c>
      <c r="U260">
        <v>6.43534885245902</v>
      </c>
      <c r="V260">
        <f t="shared" si="27"/>
        <v>1.73648671729996</v>
      </c>
      <c r="Y260">
        <v>10018.690347</v>
      </c>
      <c r="Z260">
        <v>10.018690347</v>
      </c>
      <c r="AA260">
        <v>1.11540504960639</v>
      </c>
      <c r="AD260">
        <v>0.0132902</v>
      </c>
      <c r="AE260">
        <v>1.47686370408271</v>
      </c>
      <c r="AF260">
        <f t="shared" si="28"/>
        <v>7.56664123615077</v>
      </c>
      <c r="AI260">
        <v>1.75642</v>
      </c>
      <c r="AJ260">
        <v>11.1748978034866</v>
      </c>
    </row>
    <row r="261" spans="1:36">
      <c r="A261">
        <f t="shared" si="29"/>
        <v>260</v>
      </c>
      <c r="B261" t="s">
        <v>288</v>
      </c>
      <c r="C261">
        <v>19627814</v>
      </c>
      <c r="E261">
        <v>31.446</v>
      </c>
      <c r="F261">
        <v>0.624175221013802</v>
      </c>
      <c r="G261">
        <f t="shared" si="24"/>
        <v>25.4259078082425</v>
      </c>
      <c r="J261">
        <v>1.746578</v>
      </c>
      <c r="K261">
        <v>11.2378685635569</v>
      </c>
      <c r="L261">
        <f t="shared" si="25"/>
        <v>1.41220922240998</v>
      </c>
      <c r="O261">
        <v>8.4833</v>
      </c>
      <c r="P261">
        <v>2.31370032888145</v>
      </c>
      <c r="Q261">
        <f t="shared" si="26"/>
        <v>6.85923817686394</v>
      </c>
      <c r="T261">
        <v>0.003134</v>
      </c>
      <c r="U261">
        <v>6.26286343331206</v>
      </c>
      <c r="V261">
        <f t="shared" si="27"/>
        <v>2.53402006840399</v>
      </c>
      <c r="Y261">
        <v>9761.757445</v>
      </c>
      <c r="Z261">
        <v>9.761757445</v>
      </c>
      <c r="AA261">
        <v>1.62575455445424</v>
      </c>
      <c r="AD261">
        <v>0.0171692</v>
      </c>
      <c r="AE261">
        <v>1.14319910071523</v>
      </c>
      <c r="AF261">
        <f t="shared" si="28"/>
        <v>13.8822901590434</v>
      </c>
      <c r="AI261">
        <v>1.23677</v>
      </c>
      <c r="AJ261">
        <v>15.8702216256863</v>
      </c>
    </row>
    <row r="262" spans="1:36">
      <c r="A262">
        <f t="shared" si="29"/>
        <v>261</v>
      </c>
      <c r="B262" t="s">
        <v>289</v>
      </c>
      <c r="C262">
        <v>4489996</v>
      </c>
      <c r="E262">
        <v>11.784</v>
      </c>
      <c r="F262">
        <v>0.381024779361847</v>
      </c>
      <c r="G262">
        <f t="shared" si="24"/>
        <v>10.3281447202356</v>
      </c>
      <c r="J262">
        <v>1.412126</v>
      </c>
      <c r="K262">
        <v>3.17960012066912</v>
      </c>
      <c r="L262">
        <f t="shared" si="25"/>
        <v>1.23766477352405</v>
      </c>
      <c r="O262">
        <v>7.4861</v>
      </c>
      <c r="P262">
        <v>0.599777721376952</v>
      </c>
      <c r="Q262">
        <f t="shared" si="26"/>
        <v>6.56122914037303</v>
      </c>
      <c r="T262">
        <v>0.003276</v>
      </c>
      <c r="U262">
        <v>1.37057264957265</v>
      </c>
      <c r="V262">
        <f t="shared" si="27"/>
        <v>2.87126630206142</v>
      </c>
      <c r="Y262">
        <v>3532.405671</v>
      </c>
      <c r="Z262">
        <v>3.532405671</v>
      </c>
      <c r="AA262">
        <v>1.11405071494264</v>
      </c>
      <c r="AD262">
        <v>0.00318975</v>
      </c>
      <c r="AE262">
        <v>1.40763257308566</v>
      </c>
      <c r="AF262">
        <f t="shared" si="28"/>
        <v>2.79567206562896</v>
      </c>
      <c r="AI262">
        <v>1.14096</v>
      </c>
      <c r="AJ262">
        <v>3.93527906324499</v>
      </c>
    </row>
    <row r="263" spans="1:36">
      <c r="A263">
        <f t="shared" si="29"/>
        <v>262</v>
      </c>
      <c r="B263" t="s">
        <v>290</v>
      </c>
      <c r="C263">
        <v>38247776</v>
      </c>
      <c r="E263">
        <v>16.265</v>
      </c>
      <c r="F263">
        <v>2.35153864125423</v>
      </c>
      <c r="G263">
        <f t="shared" si="24"/>
        <v>19.504947289274</v>
      </c>
      <c r="J263">
        <v>1.537045</v>
      </c>
      <c r="K263">
        <v>24.8839663119818</v>
      </c>
      <c r="L263">
        <f t="shared" si="25"/>
        <v>1.84322051683013</v>
      </c>
      <c r="O263">
        <v>5.5958</v>
      </c>
      <c r="P263">
        <v>6.83508631473605</v>
      </c>
      <c r="Q263">
        <f t="shared" si="26"/>
        <v>6.71046935390836</v>
      </c>
      <c r="T263">
        <v>0.003172</v>
      </c>
      <c r="U263">
        <v>12.0579369482976</v>
      </c>
      <c r="V263">
        <f t="shared" si="27"/>
        <v>3.80385446059497</v>
      </c>
      <c r="Y263">
        <v>35911.13869</v>
      </c>
      <c r="Z263">
        <v>35.91113869</v>
      </c>
      <c r="AA263">
        <v>1.27722592263907</v>
      </c>
      <c r="AD263">
        <v>0.00835964</v>
      </c>
      <c r="AE263">
        <v>4.57528984501725</v>
      </c>
      <c r="AF263">
        <f t="shared" si="28"/>
        <v>10.0248593641135</v>
      </c>
      <c r="AI263">
        <v>0.833891</v>
      </c>
      <c r="AJ263">
        <v>45.8666372463547</v>
      </c>
    </row>
    <row r="264" spans="1:36">
      <c r="A264">
        <f t="shared" si="29"/>
        <v>263</v>
      </c>
      <c r="B264" t="s">
        <v>291</v>
      </c>
      <c r="C264">
        <v>17315502</v>
      </c>
      <c r="E264">
        <v>17.492</v>
      </c>
      <c r="F264">
        <v>0.989909787331351</v>
      </c>
      <c r="G264">
        <f t="shared" si="24"/>
        <v>21.7672378928139</v>
      </c>
      <c r="J264">
        <v>1.215263</v>
      </c>
      <c r="K264">
        <v>14.2483577628875</v>
      </c>
      <c r="L264">
        <f t="shared" si="25"/>
        <v>1.51228669239279</v>
      </c>
      <c r="O264">
        <v>7.1321</v>
      </c>
      <c r="P264">
        <v>2.42782658683978</v>
      </c>
      <c r="Q264">
        <f t="shared" si="26"/>
        <v>8.87526397069162</v>
      </c>
      <c r="T264">
        <v>0.003022</v>
      </c>
      <c r="U264">
        <v>5.72981535407015</v>
      </c>
      <c r="V264">
        <f t="shared" si="27"/>
        <v>3.7606101596206</v>
      </c>
      <c r="Y264">
        <v>16856.325509</v>
      </c>
      <c r="Z264">
        <v>16.856325509</v>
      </c>
      <c r="AA264">
        <v>1.27830954746107</v>
      </c>
      <c r="AD264">
        <v>0.00388187</v>
      </c>
      <c r="AE264">
        <v>4.46060841810777</v>
      </c>
      <c r="AF264">
        <f t="shared" si="28"/>
        <v>4.83064187965797</v>
      </c>
      <c r="AI264">
        <v>0.803593</v>
      </c>
      <c r="AJ264">
        <v>21.5476018332663</v>
      </c>
    </row>
    <row r="265" spans="1:36">
      <c r="A265">
        <f t="shared" si="29"/>
        <v>264</v>
      </c>
      <c r="B265" t="s">
        <v>292</v>
      </c>
      <c r="C265">
        <v>14374580</v>
      </c>
      <c r="E265">
        <v>118.695</v>
      </c>
      <c r="F265">
        <v>0.121105185559628</v>
      </c>
      <c r="G265">
        <f t="shared" si="24"/>
        <v>37.8900090020492</v>
      </c>
      <c r="J265">
        <v>3.835688</v>
      </c>
      <c r="K265">
        <v>3.74758843785</v>
      </c>
      <c r="L265">
        <f t="shared" si="25"/>
        <v>1.22443449891784</v>
      </c>
      <c r="O265">
        <v>11.7275</v>
      </c>
      <c r="P265">
        <v>1.22571562566617</v>
      </c>
      <c r="Q265">
        <f t="shared" si="26"/>
        <v>3.74367143158123</v>
      </c>
      <c r="T265">
        <v>0.004058</v>
      </c>
      <c r="U265">
        <v>3.54228191227206</v>
      </c>
      <c r="V265">
        <f t="shared" si="27"/>
        <v>1.29540129348596</v>
      </c>
      <c r="Y265">
        <v>4699.361256</v>
      </c>
      <c r="Z265">
        <v>4.699361256</v>
      </c>
      <c r="AA265">
        <v>0.976446866090677</v>
      </c>
      <c r="AD265">
        <v>0.0159743</v>
      </c>
      <c r="AE265">
        <v>0.899856644735607</v>
      </c>
      <c r="AF265">
        <f t="shared" si="28"/>
        <v>5.09934176504012</v>
      </c>
      <c r="AI265">
        <v>3.13262</v>
      </c>
      <c r="AJ265">
        <v>4.58867657104915</v>
      </c>
    </row>
    <row r="266" spans="1:36">
      <c r="A266">
        <f t="shared" si="29"/>
        <v>265</v>
      </c>
      <c r="B266" t="s">
        <v>293</v>
      </c>
      <c r="C266">
        <v>367600496</v>
      </c>
      <c r="E266">
        <v>734.067</v>
      </c>
      <c r="F266">
        <v>0.500772403608935</v>
      </c>
      <c r="G266">
        <f t="shared" si="24"/>
        <v>10.221909373081</v>
      </c>
      <c r="J266">
        <v>77.07027</v>
      </c>
      <c r="K266">
        <v>4.76967961835348</v>
      </c>
      <c r="L266">
        <f t="shared" si="25"/>
        <v>1.07320628130522</v>
      </c>
      <c r="O266">
        <v>97.7862</v>
      </c>
      <c r="P266">
        <v>3.75922672115288</v>
      </c>
      <c r="Q266">
        <f t="shared" si="26"/>
        <v>1.36167635152918</v>
      </c>
      <c r="T266">
        <v>0.072666</v>
      </c>
      <c r="U266">
        <v>5.05876883274158</v>
      </c>
      <c r="V266">
        <f t="shared" si="27"/>
        <v>1.01187666317148</v>
      </c>
      <c r="Y266">
        <v>2086.742542</v>
      </c>
      <c r="Z266">
        <v>2.086742542</v>
      </c>
      <c r="AA266">
        <v>2.45303386651828</v>
      </c>
      <c r="AD266">
        <v>0.00172821</v>
      </c>
      <c r="AE266">
        <v>212.705918840882</v>
      </c>
      <c r="AF266">
        <f t="shared" si="28"/>
        <v>0.0240653863988603</v>
      </c>
      <c r="AI266">
        <v>71.8131</v>
      </c>
      <c r="AJ266">
        <v>5.11885012623045</v>
      </c>
    </row>
    <row r="267" spans="1:36">
      <c r="A267">
        <f t="shared" si="29"/>
        <v>266</v>
      </c>
      <c r="B267" t="s">
        <v>294</v>
      </c>
      <c r="C267">
        <v>5299092</v>
      </c>
      <c r="E267">
        <v>10.715</v>
      </c>
      <c r="F267">
        <v>0.494548950069995</v>
      </c>
      <c r="G267">
        <f t="shared" si="24"/>
        <v>10.7664853328618</v>
      </c>
      <c r="J267">
        <v>0.926292</v>
      </c>
      <c r="K267">
        <v>5.72075760127476</v>
      </c>
      <c r="L267">
        <f t="shared" si="25"/>
        <v>0.930742812127594</v>
      </c>
      <c r="O267">
        <v>5.222</v>
      </c>
      <c r="P267">
        <v>1.01476292608196</v>
      </c>
      <c r="Q267">
        <f t="shared" si="26"/>
        <v>5.24709159199292</v>
      </c>
      <c r="T267">
        <v>0.002522</v>
      </c>
      <c r="U267">
        <v>2.10114670896114</v>
      </c>
      <c r="V267">
        <f t="shared" si="27"/>
        <v>2.53411815300768</v>
      </c>
      <c r="Y267">
        <v>4124.6639</v>
      </c>
      <c r="Z267">
        <v>4.1246639</v>
      </c>
      <c r="AA267">
        <v>1.29090615536233</v>
      </c>
      <c r="AD267">
        <v>0.00218194</v>
      </c>
      <c r="AE267">
        <v>2.42861490233462</v>
      </c>
      <c r="AF267">
        <f t="shared" si="28"/>
        <v>2.19242417239238</v>
      </c>
      <c r="AI267">
        <v>0.995218</v>
      </c>
      <c r="AJ267">
        <v>5.32455401731078</v>
      </c>
    </row>
    <row r="268" spans="1:36">
      <c r="A268">
        <f t="shared" si="29"/>
        <v>267</v>
      </c>
      <c r="B268" t="s">
        <v>295</v>
      </c>
      <c r="C268">
        <v>5299092</v>
      </c>
      <c r="E268">
        <v>10.517</v>
      </c>
      <c r="F268">
        <v>0.503859655795379</v>
      </c>
      <c r="G268">
        <f t="shared" si="24"/>
        <v>11.8053404095781</v>
      </c>
      <c r="J268">
        <v>0.91437</v>
      </c>
      <c r="K268">
        <v>5.79534761639161</v>
      </c>
      <c r="L268">
        <f t="shared" si="25"/>
        <v>1.02638101267528</v>
      </c>
      <c r="O268">
        <v>4.7199</v>
      </c>
      <c r="P268">
        <v>1.12271276933833</v>
      </c>
      <c r="Q268">
        <f t="shared" si="26"/>
        <v>5.29809129972119</v>
      </c>
      <c r="T268">
        <v>0.002316</v>
      </c>
      <c r="U268">
        <v>2.28803626943005</v>
      </c>
      <c r="V268">
        <f t="shared" si="27"/>
        <v>2.59971174180687</v>
      </c>
      <c r="Y268">
        <v>4219.27299</v>
      </c>
      <c r="Z268">
        <v>4.21927299</v>
      </c>
      <c r="AA268">
        <v>1.40977717474434</v>
      </c>
      <c r="AD268">
        <v>0.00205754</v>
      </c>
      <c r="AE268">
        <v>2.57545029501249</v>
      </c>
      <c r="AF268">
        <f t="shared" si="28"/>
        <v>2.30959019742543</v>
      </c>
      <c r="AI268">
        <v>0.890868</v>
      </c>
      <c r="AJ268">
        <v>5.94823475531729</v>
      </c>
    </row>
    <row r="269" spans="1:36">
      <c r="A269">
        <f t="shared" si="29"/>
        <v>268</v>
      </c>
      <c r="B269" t="s">
        <v>296</v>
      </c>
      <c r="C269">
        <v>19219980</v>
      </c>
      <c r="E269">
        <v>36.659</v>
      </c>
      <c r="F269">
        <v>0.524290897187594</v>
      </c>
      <c r="G269">
        <f t="shared" si="24"/>
        <v>10.8449595891465</v>
      </c>
      <c r="J269">
        <v>7.515748</v>
      </c>
      <c r="K269">
        <v>2.55729436378122</v>
      </c>
      <c r="L269">
        <f t="shared" si="25"/>
        <v>2.22340989503828</v>
      </c>
      <c r="O269">
        <v>13.8913</v>
      </c>
      <c r="P269">
        <v>1.38359836732343</v>
      </c>
      <c r="Q269">
        <f t="shared" si="26"/>
        <v>4.10951163808916</v>
      </c>
      <c r="T269">
        <v>0.006291</v>
      </c>
      <c r="U269">
        <v>3.05515498330949</v>
      </c>
      <c r="V269">
        <f t="shared" si="27"/>
        <v>1.86108843054422</v>
      </c>
      <c r="Y269">
        <v>6006.52806</v>
      </c>
      <c r="Z269">
        <v>6.00652806</v>
      </c>
      <c r="AA269">
        <v>0.946622330930524</v>
      </c>
      <c r="AD269">
        <v>0.00746372</v>
      </c>
      <c r="AE269">
        <v>2.57512071728307</v>
      </c>
      <c r="AF269">
        <f t="shared" si="28"/>
        <v>2.2080182706758</v>
      </c>
      <c r="AI269">
        <v>3.38028</v>
      </c>
      <c r="AJ269">
        <v>5.6859135929568</v>
      </c>
    </row>
    <row r="270" spans="1:36">
      <c r="A270">
        <f t="shared" si="29"/>
        <v>269</v>
      </c>
      <c r="B270" t="s">
        <v>297</v>
      </c>
      <c r="C270">
        <v>23537356</v>
      </c>
      <c r="E270">
        <v>28.564</v>
      </c>
      <c r="F270">
        <v>0.824021705643467</v>
      </c>
      <c r="G270">
        <f t="shared" si="24"/>
        <v>15.9152198622657</v>
      </c>
      <c r="J270">
        <v>4.501344</v>
      </c>
      <c r="K270">
        <v>5.22896183895299</v>
      </c>
      <c r="L270">
        <f t="shared" si="25"/>
        <v>2.50804787269607</v>
      </c>
      <c r="O270">
        <v>10.034</v>
      </c>
      <c r="P270">
        <v>2.34576001594578</v>
      </c>
      <c r="Q270">
        <f t="shared" si="26"/>
        <v>5.59071965053825</v>
      </c>
      <c r="T270">
        <v>0.002867</v>
      </c>
      <c r="U270">
        <v>8.20975095919079</v>
      </c>
      <c r="V270">
        <f t="shared" si="27"/>
        <v>1.59742806837683</v>
      </c>
      <c r="Y270">
        <v>10391.864501</v>
      </c>
      <c r="Z270">
        <v>10.391864501</v>
      </c>
      <c r="AA270">
        <v>1.26199553654044</v>
      </c>
      <c r="AD270">
        <v>0.0146396</v>
      </c>
      <c r="AE270">
        <v>1.60778682477663</v>
      </c>
      <c r="AF270">
        <f t="shared" si="28"/>
        <v>8.15685662706995</v>
      </c>
      <c r="AI270">
        <v>1.79476</v>
      </c>
      <c r="AJ270">
        <v>13.114486616595</v>
      </c>
    </row>
    <row r="271" spans="1:36">
      <c r="A271">
        <f t="shared" si="29"/>
        <v>270</v>
      </c>
      <c r="B271" t="s">
        <v>298</v>
      </c>
      <c r="C271">
        <v>14947884</v>
      </c>
      <c r="E271">
        <v>113.702</v>
      </c>
      <c r="F271">
        <v>0.131465444759107</v>
      </c>
      <c r="G271">
        <f t="shared" si="24"/>
        <v>41.198466588885</v>
      </c>
      <c r="J271">
        <v>4.155173</v>
      </c>
      <c r="K271">
        <v>3.59741555887083</v>
      </c>
      <c r="L271">
        <f t="shared" si="25"/>
        <v>1.50557383345532</v>
      </c>
      <c r="O271">
        <v>11.5125</v>
      </c>
      <c r="P271">
        <v>1.29840469055375</v>
      </c>
      <c r="Q271">
        <f t="shared" si="26"/>
        <v>4.17140724529503</v>
      </c>
      <c r="T271">
        <v>0.003351</v>
      </c>
      <c r="U271">
        <v>4.46072336615936</v>
      </c>
      <c r="V271">
        <f t="shared" si="27"/>
        <v>1.21419202423311</v>
      </c>
      <c r="Y271">
        <v>5065.708408</v>
      </c>
      <c r="Z271">
        <v>5.065708408</v>
      </c>
      <c r="AA271">
        <v>1.06918407007942</v>
      </c>
      <c r="AD271">
        <v>0.0210138</v>
      </c>
      <c r="AE271">
        <v>0.711336550266967</v>
      </c>
      <c r="AF271">
        <f t="shared" si="28"/>
        <v>7.61408187371823</v>
      </c>
      <c r="AI271">
        <v>2.75986</v>
      </c>
      <c r="AJ271">
        <v>5.41617473350097</v>
      </c>
    </row>
    <row r="272" spans="1:36">
      <c r="A272">
        <f t="shared" si="29"/>
        <v>271</v>
      </c>
      <c r="B272" t="s">
        <v>299</v>
      </c>
      <c r="C272">
        <v>14947884</v>
      </c>
      <c r="E272">
        <v>126.647</v>
      </c>
      <c r="F272">
        <v>0.118027935916366</v>
      </c>
      <c r="G272">
        <f t="shared" si="24"/>
        <v>44.5921299100038</v>
      </c>
      <c r="J272">
        <v>3.882091</v>
      </c>
      <c r="K272">
        <v>3.85047233565622</v>
      </c>
      <c r="L272">
        <f t="shared" si="25"/>
        <v>1.36687569539315</v>
      </c>
      <c r="O272">
        <v>11.939</v>
      </c>
      <c r="P272">
        <v>1.25202144233185</v>
      </c>
      <c r="Q272">
        <f t="shared" si="26"/>
        <v>4.203695618495</v>
      </c>
      <c r="T272">
        <v>0.003869</v>
      </c>
      <c r="U272">
        <v>3.8635006461618</v>
      </c>
      <c r="V272">
        <f t="shared" si="27"/>
        <v>1.36226638311057</v>
      </c>
      <c r="Y272">
        <v>5014.872058</v>
      </c>
      <c r="Z272">
        <v>5.014872058</v>
      </c>
      <c r="AA272">
        <v>1.04950176006907</v>
      </c>
      <c r="AD272">
        <v>0.0152161</v>
      </c>
      <c r="AE272">
        <v>0.982372881355932</v>
      </c>
      <c r="AF272">
        <f t="shared" si="28"/>
        <v>5.35755531456417</v>
      </c>
      <c r="AI272">
        <v>2.84012</v>
      </c>
      <c r="AJ272">
        <v>5.26311705139219</v>
      </c>
    </row>
    <row r="273" spans="1:36">
      <c r="A273">
        <f t="shared" si="29"/>
        <v>272</v>
      </c>
      <c r="B273" t="s">
        <v>300</v>
      </c>
      <c r="C273">
        <v>402990156</v>
      </c>
      <c r="E273">
        <v>486.316</v>
      </c>
      <c r="F273">
        <v>0.828659052961449</v>
      </c>
      <c r="G273">
        <f t="shared" si="24"/>
        <v>9.94086372082279</v>
      </c>
      <c r="J273">
        <v>78.477599</v>
      </c>
      <c r="K273">
        <v>5.13509792775388</v>
      </c>
      <c r="L273">
        <f t="shared" si="25"/>
        <v>1.60417324701712</v>
      </c>
      <c r="O273">
        <v>106.04</v>
      </c>
      <c r="P273">
        <v>3.80035982648057</v>
      </c>
      <c r="Q273">
        <f t="shared" si="26"/>
        <v>2.16758072725563</v>
      </c>
      <c r="T273">
        <v>0.068515</v>
      </c>
      <c r="U273">
        <v>5.88177998978326</v>
      </c>
      <c r="V273">
        <f t="shared" si="27"/>
        <v>1.40052615548774</v>
      </c>
      <c r="Y273">
        <v>2205.37525</v>
      </c>
      <c r="Z273">
        <v>2.20537525</v>
      </c>
      <c r="AA273">
        <v>3.73523132469898</v>
      </c>
      <c r="AD273">
        <v>0.00201379</v>
      </c>
      <c r="AE273">
        <v>200.115283122868</v>
      </c>
      <c r="AF273">
        <f t="shared" si="28"/>
        <v>0.0411642058915514</v>
      </c>
      <c r="AI273">
        <v>48.9209</v>
      </c>
      <c r="AJ273">
        <v>8.23758671651584</v>
      </c>
    </row>
    <row r="274" spans="1:36">
      <c r="A274">
        <f t="shared" si="29"/>
        <v>273</v>
      </c>
      <c r="B274" t="s">
        <v>301</v>
      </c>
      <c r="C274">
        <v>382255382</v>
      </c>
      <c r="E274">
        <v>309.909</v>
      </c>
      <c r="F274">
        <v>1.2334439529023</v>
      </c>
      <c r="G274">
        <f t="shared" si="24"/>
        <v>21.2984165819062</v>
      </c>
      <c r="J274">
        <v>23.66773</v>
      </c>
      <c r="K274">
        <v>16.1509102055837</v>
      </c>
      <c r="L274">
        <f t="shared" si="25"/>
        <v>1.62655867718614</v>
      </c>
      <c r="O274">
        <v>41.3835</v>
      </c>
      <c r="P274">
        <v>9.23690316188819</v>
      </c>
      <c r="Q274">
        <f t="shared" si="26"/>
        <v>2.8440704291173</v>
      </c>
      <c r="T274">
        <v>0.02768</v>
      </c>
      <c r="U274">
        <v>13.8098042630058</v>
      </c>
      <c r="V274">
        <f t="shared" si="27"/>
        <v>1.90230090441762</v>
      </c>
      <c r="Y274">
        <v>21785.502086</v>
      </c>
      <c r="Z274">
        <v>21.785502086</v>
      </c>
      <c r="AA274">
        <v>1.20586631584812</v>
      </c>
      <c r="AD274">
        <v>0.00121247</v>
      </c>
      <c r="AE274">
        <v>315.269971215783</v>
      </c>
      <c r="AF274">
        <f t="shared" si="28"/>
        <v>0.0833266899414465</v>
      </c>
      <c r="AI274">
        <v>14.5508</v>
      </c>
      <c r="AJ274">
        <v>26.2704031393463</v>
      </c>
    </row>
    <row r="275" spans="1:36">
      <c r="A275">
        <f t="shared" si="29"/>
        <v>274</v>
      </c>
      <c r="B275" t="s">
        <v>302</v>
      </c>
      <c r="C275">
        <v>38178920</v>
      </c>
      <c r="E275">
        <v>20.314</v>
      </c>
      <c r="F275">
        <v>1.87943881067244</v>
      </c>
      <c r="G275">
        <f t="shared" si="24"/>
        <v>22.3560951559226</v>
      </c>
      <c r="J275">
        <v>1.500609</v>
      </c>
      <c r="K275">
        <v>25.4422837661243</v>
      </c>
      <c r="L275">
        <f t="shared" si="25"/>
        <v>1.65145995844412</v>
      </c>
      <c r="O275">
        <v>5.6284</v>
      </c>
      <c r="P275">
        <v>6.78326344964821</v>
      </c>
      <c r="Q275">
        <f t="shared" si="26"/>
        <v>6.194203306862</v>
      </c>
      <c r="T275">
        <v>0.002433</v>
      </c>
      <c r="U275">
        <v>15.6921167283189</v>
      </c>
      <c r="V275">
        <f t="shared" si="27"/>
        <v>2.67758095472875</v>
      </c>
      <c r="Y275">
        <v>36268.143403</v>
      </c>
      <c r="Z275">
        <v>36.268143403</v>
      </c>
      <c r="AA275">
        <v>1.1585074103256</v>
      </c>
      <c r="AD275">
        <v>0.00784146</v>
      </c>
      <c r="AE275">
        <v>4.8688535043219</v>
      </c>
      <c r="AF275">
        <f t="shared" si="28"/>
        <v>8.62973446496803</v>
      </c>
      <c r="AI275">
        <v>0.908656</v>
      </c>
      <c r="AJ275">
        <v>42.0169128911271</v>
      </c>
    </row>
    <row r="276" spans="1:36">
      <c r="A276">
        <f t="shared" si="29"/>
        <v>275</v>
      </c>
      <c r="B276" t="s">
        <v>303</v>
      </c>
      <c r="C276">
        <v>39798360</v>
      </c>
      <c r="E276">
        <v>130.287</v>
      </c>
      <c r="F276">
        <v>0.30546685394552</v>
      </c>
      <c r="G276">
        <f t="shared" si="24"/>
        <v>24.3200259837714</v>
      </c>
      <c r="J276">
        <v>14.828234</v>
      </c>
      <c r="K276">
        <v>2.68395818409664</v>
      </c>
      <c r="L276">
        <f t="shared" si="25"/>
        <v>2.76791265570196</v>
      </c>
      <c r="O276">
        <v>19.1252</v>
      </c>
      <c r="P276">
        <v>2.08093823855437</v>
      </c>
      <c r="Q276">
        <f t="shared" si="26"/>
        <v>3.57000591728126</v>
      </c>
      <c r="T276">
        <v>0.011773</v>
      </c>
      <c r="U276">
        <v>3.38047736345876</v>
      </c>
      <c r="V276">
        <f t="shared" si="27"/>
        <v>2.19760732772218</v>
      </c>
      <c r="Y276">
        <v>8632.165057</v>
      </c>
      <c r="Z276">
        <v>8.632165057</v>
      </c>
      <c r="AA276">
        <v>0.860613968347563</v>
      </c>
      <c r="AD276">
        <v>0.0014281</v>
      </c>
      <c r="AE276">
        <v>27.8680484559905</v>
      </c>
      <c r="AF276">
        <f t="shared" si="28"/>
        <v>0.266576320795044</v>
      </c>
      <c r="AI276">
        <v>5.35719</v>
      </c>
      <c r="AJ276">
        <v>7.42896182513594</v>
      </c>
    </row>
    <row r="277" spans="1:36">
      <c r="A277">
        <f t="shared" si="29"/>
        <v>276</v>
      </c>
      <c r="B277" t="s">
        <v>304</v>
      </c>
      <c r="C277">
        <v>103002896</v>
      </c>
      <c r="E277">
        <v>750.665</v>
      </c>
      <c r="F277">
        <v>0.137215530229863</v>
      </c>
      <c r="G277">
        <f t="shared" si="24"/>
        <v>37.9098847045396</v>
      </c>
      <c r="J277">
        <v>52.878824</v>
      </c>
      <c r="K277">
        <v>1.94790443902459</v>
      </c>
      <c r="L277">
        <f t="shared" si="25"/>
        <v>2.67047234272497</v>
      </c>
      <c r="O277">
        <v>36.6492</v>
      </c>
      <c r="P277">
        <v>2.81050871506063</v>
      </c>
      <c r="Q277">
        <f t="shared" si="26"/>
        <v>1.85084817663487</v>
      </c>
      <c r="T277">
        <v>0.01979</v>
      </c>
      <c r="U277">
        <v>5.20479514906518</v>
      </c>
      <c r="V277">
        <f t="shared" si="27"/>
        <v>0.9994293303975</v>
      </c>
      <c r="Y277">
        <v>3763.008528</v>
      </c>
      <c r="Z277">
        <v>3.763008528</v>
      </c>
      <c r="AA277">
        <v>1.38235799679441</v>
      </c>
      <c r="AD277">
        <v>0.0542895</v>
      </c>
      <c r="AE277">
        <v>1.89728945744573</v>
      </c>
      <c r="AF277">
        <f t="shared" si="28"/>
        <v>2.74171392787342</v>
      </c>
      <c r="AI277">
        <v>19.8013</v>
      </c>
      <c r="AJ277">
        <v>5.20182493068637</v>
      </c>
    </row>
    <row r="278" spans="1:36">
      <c r="A278">
        <f t="shared" si="29"/>
        <v>277</v>
      </c>
      <c r="B278" t="s">
        <v>305</v>
      </c>
      <c r="C278">
        <v>25713990</v>
      </c>
      <c r="E278">
        <v>18.337</v>
      </c>
      <c r="F278">
        <v>1.40230081256476</v>
      </c>
      <c r="G278">
        <f t="shared" si="24"/>
        <v>24.9146391337961</v>
      </c>
      <c r="J278">
        <v>1.128833</v>
      </c>
      <c r="K278">
        <v>22.7792685011866</v>
      </c>
      <c r="L278">
        <f t="shared" si="25"/>
        <v>1.53375507647492</v>
      </c>
      <c r="O278">
        <v>5.3958</v>
      </c>
      <c r="P278">
        <v>4.76555654397865</v>
      </c>
      <c r="Q278">
        <f t="shared" si="26"/>
        <v>7.33131972722568</v>
      </c>
      <c r="T278">
        <v>0.002523</v>
      </c>
      <c r="U278">
        <v>10.1918311533888</v>
      </c>
      <c r="V278">
        <f t="shared" si="27"/>
        <v>3.42802173390237</v>
      </c>
      <c r="Y278">
        <v>19171.243055</v>
      </c>
      <c r="Z278">
        <v>19.171243055</v>
      </c>
      <c r="AA278">
        <v>1.8224075821191</v>
      </c>
      <c r="AD278">
        <v>0.0200676</v>
      </c>
      <c r="AE278">
        <v>1.281368474556</v>
      </c>
      <c r="AF278">
        <f t="shared" si="28"/>
        <v>27.2660201931269</v>
      </c>
      <c r="AI278">
        <v>0.735993</v>
      </c>
      <c r="AJ278">
        <v>34.9378187020801</v>
      </c>
    </row>
    <row r="279" spans="1:36">
      <c r="A279">
        <f t="shared" si="29"/>
        <v>278</v>
      </c>
      <c r="B279" t="s">
        <v>306</v>
      </c>
      <c r="C279">
        <v>4782408</v>
      </c>
      <c r="E279">
        <v>9.552</v>
      </c>
      <c r="F279">
        <v>0.500670854271357</v>
      </c>
      <c r="G279">
        <f t="shared" si="24"/>
        <v>10.1194266082017</v>
      </c>
      <c r="J279">
        <v>1.144785</v>
      </c>
      <c r="K279">
        <v>4.17755997851125</v>
      </c>
      <c r="L279">
        <f t="shared" si="25"/>
        <v>1.2127897602251</v>
      </c>
      <c r="O279">
        <v>5.1776</v>
      </c>
      <c r="P279">
        <v>0.923672744128554</v>
      </c>
      <c r="Q279">
        <f t="shared" si="26"/>
        <v>5.4851699336919</v>
      </c>
      <c r="T279">
        <v>0.002756</v>
      </c>
      <c r="U279">
        <v>1.73527140783745</v>
      </c>
      <c r="V279">
        <f t="shared" si="27"/>
        <v>2.9197173086478</v>
      </c>
      <c r="Y279">
        <v>4107.050471</v>
      </c>
      <c r="Z279">
        <v>4.107050471</v>
      </c>
      <c r="AA279">
        <v>1.23361083591238</v>
      </c>
      <c r="AD279">
        <v>0.00586118</v>
      </c>
      <c r="AE279">
        <v>0.81594627702954</v>
      </c>
      <c r="AF279">
        <f t="shared" si="28"/>
        <v>6.20935729140071</v>
      </c>
      <c r="AI279">
        <v>0.943927</v>
      </c>
      <c r="AJ279">
        <v>5.06650196466464</v>
      </c>
    </row>
    <row r="280" spans="1:36">
      <c r="A280">
        <f t="shared" si="29"/>
        <v>279</v>
      </c>
      <c r="B280" t="s">
        <v>307</v>
      </c>
      <c r="C280">
        <v>5492324</v>
      </c>
      <c r="E280">
        <v>16.739</v>
      </c>
      <c r="F280">
        <v>0.328115419081188</v>
      </c>
      <c r="G280">
        <f t="shared" si="24"/>
        <v>11.7163275448138</v>
      </c>
      <c r="J280">
        <v>1.146063</v>
      </c>
      <c r="K280">
        <v>4.79234038617423</v>
      </c>
      <c r="L280">
        <f t="shared" si="25"/>
        <v>0.802177519265902</v>
      </c>
      <c r="O280">
        <v>6.034</v>
      </c>
      <c r="P280">
        <v>0.910229366920782</v>
      </c>
      <c r="Q280">
        <f t="shared" si="26"/>
        <v>4.22344945369535</v>
      </c>
      <c r="T280">
        <v>0.002306</v>
      </c>
      <c r="U280">
        <v>2.38175368603643</v>
      </c>
      <c r="V280">
        <f t="shared" si="27"/>
        <v>1.6140660325193</v>
      </c>
      <c r="Y280">
        <v>2215.912409</v>
      </c>
      <c r="Z280">
        <v>2.215912409</v>
      </c>
      <c r="AA280">
        <v>1.73486447697358</v>
      </c>
      <c r="AD280">
        <v>0.00590607</v>
      </c>
      <c r="AE280">
        <v>0.929945632205511</v>
      </c>
      <c r="AF280">
        <f t="shared" si="28"/>
        <v>4.13390588581148</v>
      </c>
      <c r="AI280">
        <v>1.42869</v>
      </c>
      <c r="AJ280">
        <v>3.84430772245904</v>
      </c>
    </row>
    <row r="281" spans="1:36">
      <c r="A281">
        <f t="shared" si="29"/>
        <v>280</v>
      </c>
      <c r="B281" t="s">
        <v>308</v>
      </c>
      <c r="C281">
        <v>5492324</v>
      </c>
      <c r="E281">
        <v>13.561</v>
      </c>
      <c r="F281">
        <v>0.405008775164073</v>
      </c>
      <c r="G281">
        <f t="shared" si="24"/>
        <v>9.13820173990393</v>
      </c>
      <c r="J281">
        <v>1.223448</v>
      </c>
      <c r="K281">
        <v>4.48921735946276</v>
      </c>
      <c r="L281">
        <f t="shared" si="25"/>
        <v>0.82443143147865</v>
      </c>
      <c r="O281">
        <v>7.4151</v>
      </c>
      <c r="P281">
        <v>0.740694528731912</v>
      </c>
      <c r="Q281">
        <f t="shared" si="26"/>
        <v>4.9967317839069</v>
      </c>
      <c r="T281">
        <v>0.002359</v>
      </c>
      <c r="U281">
        <v>2.32824247562527</v>
      </c>
      <c r="V281">
        <f t="shared" si="27"/>
        <v>1.58963335332448</v>
      </c>
      <c r="Y281">
        <v>2100.978711</v>
      </c>
      <c r="Z281">
        <v>2.100978711</v>
      </c>
      <c r="AA281">
        <v>1.76158467218314</v>
      </c>
      <c r="AD281">
        <v>0.00581283</v>
      </c>
      <c r="AE281">
        <v>0.944862313193402</v>
      </c>
      <c r="AF281">
        <f t="shared" si="28"/>
        <v>3.91702774277455</v>
      </c>
      <c r="AI281">
        <v>1.48399</v>
      </c>
      <c r="AJ281">
        <v>3.70105189388069</v>
      </c>
    </row>
    <row r="282" spans="1:36">
      <c r="A282">
        <f t="shared" si="29"/>
        <v>281</v>
      </c>
      <c r="B282" t="s">
        <v>309</v>
      </c>
      <c r="C282">
        <v>26536986</v>
      </c>
      <c r="E282">
        <v>11.819</v>
      </c>
      <c r="F282">
        <v>2.24528183433455</v>
      </c>
      <c r="G282">
        <f t="shared" si="24"/>
        <v>17.5814661981846</v>
      </c>
      <c r="J282">
        <v>1.126787</v>
      </c>
      <c r="K282">
        <v>23.5510225091344</v>
      </c>
      <c r="L282">
        <f t="shared" si="25"/>
        <v>1.6761627509141</v>
      </c>
      <c r="O282">
        <v>4.4958</v>
      </c>
      <c r="P282">
        <v>5.90261710930201</v>
      </c>
      <c r="Q282">
        <f t="shared" si="26"/>
        <v>6.68777017800138</v>
      </c>
      <c r="T282">
        <v>0.002531</v>
      </c>
      <c r="U282">
        <v>10.4847830896879</v>
      </c>
      <c r="V282">
        <f t="shared" si="27"/>
        <v>3.76501319465311</v>
      </c>
      <c r="Y282">
        <v>27702.435336</v>
      </c>
      <c r="Z282">
        <v>27.702435336</v>
      </c>
      <c r="AA282">
        <v>1.4249774865263</v>
      </c>
      <c r="AD282">
        <v>0.0122447</v>
      </c>
      <c r="AE282">
        <v>2.16722222675933</v>
      </c>
      <c r="AF282">
        <f t="shared" si="28"/>
        <v>18.2147202941798</v>
      </c>
      <c r="AI282">
        <v>0.672242</v>
      </c>
      <c r="AJ282">
        <v>39.4753466757507</v>
      </c>
    </row>
    <row r="283" spans="1:36">
      <c r="A283">
        <f t="shared" si="29"/>
        <v>282</v>
      </c>
      <c r="B283" t="s">
        <v>310</v>
      </c>
      <c r="C283">
        <v>16644806</v>
      </c>
      <c r="E283">
        <v>11.434</v>
      </c>
      <c r="F283">
        <v>1.45572905369949</v>
      </c>
      <c r="G283">
        <f t="shared" si="24"/>
        <v>10.5990099927696</v>
      </c>
      <c r="J283">
        <v>1.003362</v>
      </c>
      <c r="K283">
        <v>16.5890336688055</v>
      </c>
      <c r="L283">
        <f t="shared" si="25"/>
        <v>0.930089545597805</v>
      </c>
      <c r="O283">
        <v>6.7107</v>
      </c>
      <c r="P283">
        <v>2.48033826575469</v>
      </c>
      <c r="Q283">
        <f t="shared" si="26"/>
        <v>6.22063812825601</v>
      </c>
      <c r="T283">
        <v>0.002581</v>
      </c>
      <c r="U283">
        <v>6.44897559085626</v>
      </c>
      <c r="V283">
        <f t="shared" si="27"/>
        <v>2.39251747344223</v>
      </c>
      <c r="Y283">
        <v>7093.276187</v>
      </c>
      <c r="Z283">
        <v>7.093276187</v>
      </c>
      <c r="AA283">
        <v>2.17519893208213</v>
      </c>
      <c r="AD283">
        <v>0.0111939</v>
      </c>
      <c r="AE283">
        <v>1.48695325132438</v>
      </c>
      <c r="AF283">
        <f t="shared" si="28"/>
        <v>10.3764437605444</v>
      </c>
      <c r="AI283">
        <v>1.07878</v>
      </c>
      <c r="AJ283">
        <v>15.429286786926</v>
      </c>
    </row>
    <row r="284" spans="1:36">
      <c r="A284">
        <f t="shared" si="29"/>
        <v>283</v>
      </c>
      <c r="B284" t="s">
        <v>311</v>
      </c>
      <c r="C284">
        <v>1357697784</v>
      </c>
      <c r="E284">
        <v>698.204</v>
      </c>
      <c r="F284">
        <v>1.94455744166461</v>
      </c>
      <c r="G284">
        <f t="shared" si="24"/>
        <v>7.72741912099175</v>
      </c>
      <c r="J284">
        <v>106.131729</v>
      </c>
      <c r="K284">
        <v>12.7925719932444</v>
      </c>
      <c r="L284">
        <f t="shared" si="25"/>
        <v>1.17461995637165</v>
      </c>
      <c r="O284">
        <v>226.04</v>
      </c>
      <c r="P284">
        <v>6.00644923022474</v>
      </c>
      <c r="Q284">
        <f t="shared" si="26"/>
        <v>2.50171270589823</v>
      </c>
      <c r="T284">
        <v>0.098765</v>
      </c>
      <c r="U284">
        <v>13.7467502050321</v>
      </c>
      <c r="V284">
        <f t="shared" si="27"/>
        <v>1.09308819411626</v>
      </c>
      <c r="Y284">
        <v>6262.615988</v>
      </c>
      <c r="Z284">
        <v>6.262615988</v>
      </c>
      <c r="AA284">
        <v>2.39938236439508</v>
      </c>
      <c r="AD284">
        <v>0.007059</v>
      </c>
      <c r="AE284">
        <v>192.335711007225</v>
      </c>
      <c r="AF284">
        <f t="shared" si="28"/>
        <v>0.0781259511189861</v>
      </c>
      <c r="AI284">
        <v>90.3541</v>
      </c>
      <c r="AJ284">
        <v>15.0264103565859</v>
      </c>
    </row>
    <row r="285" spans="1:36">
      <c r="A285">
        <f t="shared" si="29"/>
        <v>284</v>
      </c>
      <c r="B285" t="s">
        <v>312</v>
      </c>
      <c r="C285">
        <v>1337750372</v>
      </c>
      <c r="E285">
        <v>1095.451</v>
      </c>
      <c r="F285">
        <v>1.22118686458819</v>
      </c>
      <c r="G285">
        <f t="shared" si="24"/>
        <v>11.7598479041736</v>
      </c>
      <c r="J285">
        <v>114.523845</v>
      </c>
      <c r="K285">
        <v>11.6809767607785</v>
      </c>
      <c r="L285">
        <f t="shared" si="25"/>
        <v>1.22943244252929</v>
      </c>
      <c r="O285">
        <v>209.1457</v>
      </c>
      <c r="P285">
        <v>6.39626046339944</v>
      </c>
      <c r="Q285">
        <f t="shared" si="26"/>
        <v>2.24521372641216</v>
      </c>
      <c r="T285">
        <v>0.110818</v>
      </c>
      <c r="U285">
        <v>12.0715982241152</v>
      </c>
      <c r="V285">
        <f t="shared" si="27"/>
        <v>1.18964958272411</v>
      </c>
      <c r="Y285">
        <v>6803.250407</v>
      </c>
      <c r="Z285">
        <v>6.803250407</v>
      </c>
      <c r="AA285">
        <v>2.11089860448992</v>
      </c>
      <c r="AD285">
        <v>0.00389518</v>
      </c>
      <c r="AE285">
        <v>343.437369261498</v>
      </c>
      <c r="AF285">
        <f t="shared" si="28"/>
        <v>0.0418154023862125</v>
      </c>
      <c r="AI285">
        <v>93.1518</v>
      </c>
      <c r="AJ285">
        <v>14.3609717901318</v>
      </c>
    </row>
    <row r="286" spans="1:36">
      <c r="A286">
        <f t="shared" si="29"/>
        <v>285</v>
      </c>
      <c r="B286" t="s">
        <v>313</v>
      </c>
      <c r="C286">
        <v>82310224</v>
      </c>
      <c r="E286">
        <v>442.415</v>
      </c>
      <c r="F286">
        <v>0.186047543595945</v>
      </c>
      <c r="G286">
        <f t="shared" si="24"/>
        <v>71.3823570223077</v>
      </c>
      <c r="J286">
        <v>9.95214</v>
      </c>
      <c r="K286">
        <v>8.27060551800919</v>
      </c>
      <c r="L286">
        <f t="shared" si="25"/>
        <v>1.60574847285013</v>
      </c>
      <c r="O286">
        <v>26.0309</v>
      </c>
      <c r="P286">
        <v>3.1620199071104</v>
      </c>
      <c r="Q286">
        <f t="shared" si="26"/>
        <v>4.20000903543503</v>
      </c>
      <c r="T286">
        <v>0.012495</v>
      </c>
      <c r="U286">
        <v>6.58745290116046</v>
      </c>
      <c r="V286">
        <f t="shared" si="27"/>
        <v>2.01603144331394</v>
      </c>
      <c r="Y286">
        <v>12910.787012</v>
      </c>
      <c r="Z286">
        <v>12.910787012</v>
      </c>
      <c r="AA286">
        <v>1.02863691948023</v>
      </c>
      <c r="AD286">
        <v>0.00138407</v>
      </c>
      <c r="AE286">
        <v>59.4696973418974</v>
      </c>
      <c r="AF286">
        <f t="shared" si="28"/>
        <v>0.223315617426772</v>
      </c>
      <c r="AI286">
        <v>6.19782</v>
      </c>
      <c r="AJ286">
        <v>13.2805121800891</v>
      </c>
    </row>
    <row r="287" spans="1:36">
      <c r="A287">
        <f t="shared" si="29"/>
        <v>286</v>
      </c>
      <c r="B287" t="s">
        <v>314</v>
      </c>
      <c r="C287">
        <v>6673982</v>
      </c>
      <c r="E287">
        <v>16.084</v>
      </c>
      <c r="F287">
        <v>0.414945411589157</v>
      </c>
      <c r="G287">
        <f t="shared" si="24"/>
        <v>5.50701216171798</v>
      </c>
      <c r="J287">
        <v>2.063911</v>
      </c>
      <c r="K287">
        <v>3.2336578466804</v>
      </c>
      <c r="L287">
        <f t="shared" si="25"/>
        <v>0.706663950367044</v>
      </c>
      <c r="O287">
        <v>5.4768</v>
      </c>
      <c r="P287">
        <v>1.21859151329243</v>
      </c>
      <c r="Q287">
        <f t="shared" si="26"/>
        <v>1.87520543442534</v>
      </c>
      <c r="T287">
        <v>0.002206</v>
      </c>
      <c r="U287">
        <v>3.02537715321849</v>
      </c>
      <c r="V287">
        <f t="shared" si="27"/>
        <v>0.755313903801908</v>
      </c>
      <c r="Y287">
        <v>2716.110017</v>
      </c>
      <c r="Z287">
        <v>2.716110017</v>
      </c>
      <c r="AA287">
        <v>0.841316962040629</v>
      </c>
      <c r="AD287">
        <v>0.00726863</v>
      </c>
      <c r="AE287">
        <v>0.918189810184313</v>
      </c>
      <c r="AF287">
        <f t="shared" si="28"/>
        <v>2.48871137832804</v>
      </c>
      <c r="AI287">
        <v>2.92064</v>
      </c>
      <c r="AJ287">
        <v>2.28510942807056</v>
      </c>
    </row>
    <row r="288" spans="1:36">
      <c r="A288">
        <f t="shared" si="29"/>
        <v>287</v>
      </c>
      <c r="B288" t="s">
        <v>315</v>
      </c>
      <c r="C288">
        <v>21373886</v>
      </c>
      <c r="E288">
        <v>43.507</v>
      </c>
      <c r="F288">
        <v>0.491274645459351</v>
      </c>
      <c r="G288">
        <f t="shared" si="24"/>
        <v>22.1586713048085</v>
      </c>
      <c r="J288">
        <v>3.606565</v>
      </c>
      <c r="K288">
        <v>5.92638313741746</v>
      </c>
      <c r="L288">
        <f t="shared" si="25"/>
        <v>1.83686966176539</v>
      </c>
      <c r="O288">
        <v>15.9497</v>
      </c>
      <c r="P288">
        <v>1.34008075386998</v>
      </c>
      <c r="Q288">
        <f t="shared" si="26"/>
        <v>8.1233861151149</v>
      </c>
      <c r="T288">
        <v>0.008068</v>
      </c>
      <c r="U288">
        <v>2.6492174020823</v>
      </c>
      <c r="V288">
        <f t="shared" si="27"/>
        <v>4.10913554341129</v>
      </c>
      <c r="Y288">
        <v>8653.36873</v>
      </c>
      <c r="Z288">
        <v>8.65336873</v>
      </c>
      <c r="AA288">
        <v>1.25800641678193</v>
      </c>
      <c r="AD288">
        <v>0.0191745</v>
      </c>
      <c r="AE288">
        <v>1.1147036950116</v>
      </c>
      <c r="AF288">
        <f t="shared" si="28"/>
        <v>9.76581798179723</v>
      </c>
      <c r="AI288">
        <v>1.96343</v>
      </c>
      <c r="AJ288">
        <v>10.8859933891201</v>
      </c>
    </row>
    <row r="289" spans="1:36">
      <c r="A289">
        <f t="shared" si="29"/>
        <v>288</v>
      </c>
      <c r="B289" t="s">
        <v>316</v>
      </c>
      <c r="C289">
        <v>16644806</v>
      </c>
      <c r="E289">
        <v>11.697</v>
      </c>
      <c r="F289">
        <v>1.42299786269984</v>
      </c>
      <c r="G289">
        <f t="shared" si="24"/>
        <v>12.0540903732161</v>
      </c>
      <c r="J289">
        <v>1.601872</v>
      </c>
      <c r="K289">
        <v>10.3908464596422</v>
      </c>
      <c r="L289">
        <f t="shared" si="25"/>
        <v>1.65077454512478</v>
      </c>
      <c r="O289">
        <v>7.8216</v>
      </c>
      <c r="P289">
        <v>2.12805640789608</v>
      </c>
      <c r="Q289">
        <f t="shared" si="26"/>
        <v>8.06038071840196</v>
      </c>
      <c r="T289">
        <v>0.003461</v>
      </c>
      <c r="U289">
        <v>4.80924761629587</v>
      </c>
      <c r="V289">
        <f t="shared" si="27"/>
        <v>3.56665869724726</v>
      </c>
      <c r="Y289">
        <v>7604.303574</v>
      </c>
      <c r="Z289">
        <v>7.604303574</v>
      </c>
      <c r="AA289">
        <v>2.25568912010894</v>
      </c>
      <c r="AD289">
        <v>0.0102415</v>
      </c>
      <c r="AE289">
        <v>1.62523126495142</v>
      </c>
      <c r="AF289">
        <f t="shared" si="28"/>
        <v>10.554156327032</v>
      </c>
      <c r="AI289">
        <v>0.970376</v>
      </c>
      <c r="AJ289">
        <v>17.1529448378773</v>
      </c>
    </row>
    <row r="290" spans="1:36">
      <c r="A290">
        <f t="shared" si="29"/>
        <v>289</v>
      </c>
      <c r="B290" t="s">
        <v>317</v>
      </c>
      <c r="C290">
        <v>99075790</v>
      </c>
      <c r="E290">
        <v>206.143</v>
      </c>
      <c r="F290">
        <v>0.480616804839359</v>
      </c>
      <c r="G290">
        <f t="shared" si="24"/>
        <v>31.4715410662978</v>
      </c>
      <c r="J290">
        <v>11.076664</v>
      </c>
      <c r="K290">
        <v>8.9445513558956</v>
      </c>
      <c r="L290">
        <f t="shared" si="25"/>
        <v>1.69105759571551</v>
      </c>
      <c r="O290">
        <v>26.9513</v>
      </c>
      <c r="P290">
        <v>3.67610430665682</v>
      </c>
      <c r="Q290">
        <f t="shared" si="26"/>
        <v>4.11461434412088</v>
      </c>
      <c r="T290">
        <v>0.012624</v>
      </c>
      <c r="U290">
        <v>7.84820896704689</v>
      </c>
      <c r="V290">
        <f t="shared" si="27"/>
        <v>1.92728705035312</v>
      </c>
      <c r="Y290">
        <v>18177.62801</v>
      </c>
      <c r="Z290">
        <v>18.17762801</v>
      </c>
      <c r="AA290">
        <v>0.832108100261135</v>
      </c>
      <c r="AD290">
        <v>0.0013286</v>
      </c>
      <c r="AE290">
        <v>74.5715715791058</v>
      </c>
      <c r="AF290">
        <f t="shared" si="28"/>
        <v>0.20283535924423</v>
      </c>
      <c r="AI290">
        <v>6.55014</v>
      </c>
      <c r="AJ290">
        <v>15.1257515106547</v>
      </c>
    </row>
    <row r="291" spans="1:36">
      <c r="A291">
        <f t="shared" si="29"/>
        <v>290</v>
      </c>
      <c r="B291" t="s">
        <v>318</v>
      </c>
      <c r="C291">
        <v>4957020</v>
      </c>
      <c r="E291">
        <v>12.221</v>
      </c>
      <c r="F291">
        <v>0.405614925128877</v>
      </c>
      <c r="G291">
        <f t="shared" si="24"/>
        <v>11.8190346321602</v>
      </c>
      <c r="J291">
        <v>1.609799</v>
      </c>
      <c r="K291">
        <v>3.0792788416442</v>
      </c>
      <c r="L291">
        <f t="shared" si="25"/>
        <v>1.55685051401824</v>
      </c>
      <c r="O291">
        <v>6.7442</v>
      </c>
      <c r="P291">
        <v>0.735004893093325</v>
      </c>
      <c r="Q291">
        <f t="shared" si="26"/>
        <v>6.52237405827796</v>
      </c>
      <c r="T291">
        <v>0.003048</v>
      </c>
      <c r="U291">
        <v>1.6263188976378</v>
      </c>
      <c r="V291">
        <f t="shared" si="27"/>
        <v>2.94774712043403</v>
      </c>
      <c r="Y291">
        <v>3810.589444</v>
      </c>
      <c r="Z291">
        <v>3.810589444</v>
      </c>
      <c r="AA291">
        <v>1.25806700455954</v>
      </c>
      <c r="AD291">
        <v>0.00290614</v>
      </c>
      <c r="AE291">
        <v>1.70570585037197</v>
      </c>
      <c r="AF291">
        <f t="shared" si="28"/>
        <v>2.81055308942854</v>
      </c>
      <c r="AI291">
        <v>1.03401</v>
      </c>
      <c r="AJ291">
        <v>4.79397684741927</v>
      </c>
    </row>
    <row r="292" spans="1:36">
      <c r="A292">
        <f t="shared" si="29"/>
        <v>291</v>
      </c>
      <c r="B292" t="s">
        <v>319</v>
      </c>
      <c r="C292">
        <v>33640560</v>
      </c>
      <c r="E292">
        <v>11.693</v>
      </c>
      <c r="F292">
        <v>2.87698281022834</v>
      </c>
      <c r="G292">
        <f t="shared" si="24"/>
        <v>19.2721321310433</v>
      </c>
      <c r="J292">
        <v>1.083611</v>
      </c>
      <c r="K292">
        <v>31.0448675770179</v>
      </c>
      <c r="L292">
        <f t="shared" si="25"/>
        <v>1.7859825853632</v>
      </c>
      <c r="O292">
        <v>4.1623</v>
      </c>
      <c r="P292">
        <v>8.08220455036879</v>
      </c>
      <c r="Q292">
        <f t="shared" si="26"/>
        <v>6.86020658248878</v>
      </c>
      <c r="T292">
        <v>0.002308</v>
      </c>
      <c r="U292">
        <v>14.5756325823224</v>
      </c>
      <c r="V292">
        <f t="shared" si="27"/>
        <v>3.80399221401246</v>
      </c>
      <c r="Y292">
        <v>38652.736751</v>
      </c>
      <c r="Z292">
        <v>38.652736751</v>
      </c>
      <c r="AA292">
        <v>1.43445451779107</v>
      </c>
      <c r="AD292">
        <v>0.0197391</v>
      </c>
      <c r="AE292">
        <v>1.70426007264769</v>
      </c>
      <c r="AF292">
        <f t="shared" si="28"/>
        <v>32.5335280379608</v>
      </c>
      <c r="AI292">
        <v>0.606731</v>
      </c>
      <c r="AJ292">
        <v>55.4455928574607</v>
      </c>
    </row>
    <row r="293" spans="1:36">
      <c r="A293">
        <f t="shared" si="29"/>
        <v>292</v>
      </c>
      <c r="B293" t="s">
        <v>320</v>
      </c>
      <c r="C293">
        <v>33640560</v>
      </c>
      <c r="E293">
        <v>10.415</v>
      </c>
      <c r="F293">
        <v>3.23001056168987</v>
      </c>
      <c r="G293">
        <f t="shared" si="24"/>
        <v>19.3665474736092</v>
      </c>
      <c r="J293">
        <v>1.144681</v>
      </c>
      <c r="K293">
        <v>29.388589484756</v>
      </c>
      <c r="L293">
        <f t="shared" si="25"/>
        <v>2.12851838009011</v>
      </c>
      <c r="O293">
        <v>3.7387</v>
      </c>
      <c r="P293">
        <v>8.99792976168187</v>
      </c>
      <c r="Q293">
        <f t="shared" si="26"/>
        <v>6.95206058949427</v>
      </c>
      <c r="T293">
        <v>0.002221</v>
      </c>
      <c r="U293">
        <v>15.1465826204412</v>
      </c>
      <c r="V293">
        <f t="shared" si="27"/>
        <v>4.12991857310478</v>
      </c>
      <c r="Y293">
        <v>42373.086128</v>
      </c>
      <c r="Z293">
        <v>42.373086128</v>
      </c>
      <c r="AA293">
        <v>1.47627087378681</v>
      </c>
      <c r="AD293">
        <v>0.0136493</v>
      </c>
      <c r="AE293">
        <v>2.46463628171408</v>
      </c>
      <c r="AF293">
        <f t="shared" si="28"/>
        <v>25.3806832867532</v>
      </c>
      <c r="AI293">
        <v>0.537783</v>
      </c>
      <c r="AJ293">
        <v>62.5541528832261</v>
      </c>
    </row>
    <row r="294" spans="1:36">
      <c r="A294">
        <f t="shared" si="29"/>
        <v>293</v>
      </c>
      <c r="B294" t="s">
        <v>321</v>
      </c>
      <c r="C294">
        <v>33640560</v>
      </c>
      <c r="E294">
        <v>10.284</v>
      </c>
      <c r="F294">
        <v>3.27115519253209</v>
      </c>
      <c r="G294">
        <f t="shared" si="24"/>
        <v>19.706208107062</v>
      </c>
      <c r="J294">
        <v>1.179497</v>
      </c>
      <c r="K294">
        <v>28.5211068786101</v>
      </c>
      <c r="L294">
        <f t="shared" si="25"/>
        <v>2.26015298946473</v>
      </c>
      <c r="O294">
        <v>4.1238</v>
      </c>
      <c r="P294">
        <v>8.15766041030118</v>
      </c>
      <c r="Q294">
        <f t="shared" si="26"/>
        <v>7.90202849007216</v>
      </c>
      <c r="T294">
        <v>0.002361</v>
      </c>
      <c r="U294">
        <v>14.2484371029225</v>
      </c>
      <c r="V294">
        <f t="shared" si="27"/>
        <v>4.52414987755477</v>
      </c>
      <c r="Y294">
        <v>42698.381177</v>
      </c>
      <c r="Z294">
        <v>42.698381177</v>
      </c>
      <c r="AA294">
        <v>1.50970746893929</v>
      </c>
      <c r="AD294">
        <v>0.00755856</v>
      </c>
      <c r="AE294">
        <v>4.45065726805106</v>
      </c>
      <c r="AF294">
        <f t="shared" si="28"/>
        <v>14.4837180425626</v>
      </c>
      <c r="AI294">
        <v>0.521866</v>
      </c>
      <c r="AJ294">
        <v>64.4620649745337</v>
      </c>
    </row>
    <row r="295" spans="1:36">
      <c r="A295">
        <f t="shared" si="29"/>
        <v>294</v>
      </c>
      <c r="B295" t="s">
        <v>322</v>
      </c>
      <c r="C295">
        <v>33640560</v>
      </c>
      <c r="E295">
        <v>11.968</v>
      </c>
      <c r="F295">
        <v>2.8108756684492</v>
      </c>
      <c r="G295">
        <f t="shared" si="24"/>
        <v>23.0453879377574</v>
      </c>
      <c r="J295">
        <v>1.192808</v>
      </c>
      <c r="K295">
        <v>28.2028289548695</v>
      </c>
      <c r="L295">
        <f t="shared" si="25"/>
        <v>2.29685186290613</v>
      </c>
      <c r="O295">
        <v>3.5967</v>
      </c>
      <c r="P295">
        <v>9.35317374259738</v>
      </c>
      <c r="Q295">
        <f t="shared" si="26"/>
        <v>6.92574755980382</v>
      </c>
      <c r="T295">
        <v>0.002335</v>
      </c>
      <c r="U295">
        <v>14.4070920770878</v>
      </c>
      <c r="V295">
        <f t="shared" si="27"/>
        <v>4.49623837188031</v>
      </c>
      <c r="Y295">
        <v>42042.03992</v>
      </c>
      <c r="Z295">
        <v>42.04203992</v>
      </c>
      <c r="AA295">
        <v>1.54078442310311</v>
      </c>
      <c r="AD295">
        <v>0.0146481</v>
      </c>
      <c r="AE295">
        <v>2.29658180924488</v>
      </c>
      <c r="AF295">
        <f t="shared" si="28"/>
        <v>28.2061453084112</v>
      </c>
      <c r="AI295">
        <v>0.519323</v>
      </c>
      <c r="AJ295">
        <v>64.777720224215</v>
      </c>
    </row>
    <row r="296" spans="1:36">
      <c r="A296">
        <f t="shared" si="29"/>
        <v>295</v>
      </c>
      <c r="B296" t="s">
        <v>323</v>
      </c>
      <c r="C296">
        <v>33640560</v>
      </c>
      <c r="E296">
        <v>10.397</v>
      </c>
      <c r="F296">
        <v>3.23560257766663</v>
      </c>
      <c r="G296">
        <f t="shared" si="24"/>
        <v>19.7135402841086</v>
      </c>
      <c r="J296">
        <v>1.12685</v>
      </c>
      <c r="K296">
        <v>29.8536273683276</v>
      </c>
      <c r="L296">
        <f t="shared" si="25"/>
        <v>2.13659737127516</v>
      </c>
      <c r="O296">
        <v>3.9591</v>
      </c>
      <c r="P296">
        <v>8.49702205046602</v>
      </c>
      <c r="Q296">
        <f t="shared" si="26"/>
        <v>7.50676900440649</v>
      </c>
      <c r="T296">
        <v>0.002338</v>
      </c>
      <c r="U296">
        <v>14.3886056458512</v>
      </c>
      <c r="V296">
        <f t="shared" si="27"/>
        <v>4.43303425836739</v>
      </c>
      <c r="Y296">
        <v>38505.063103</v>
      </c>
      <c r="Z296">
        <v>38.505063103</v>
      </c>
      <c r="AA296">
        <v>1.65654011753138</v>
      </c>
      <c r="AD296">
        <v>0.00785908</v>
      </c>
      <c r="AE296">
        <v>4.28047048763977</v>
      </c>
      <c r="AF296">
        <f t="shared" si="28"/>
        <v>14.9014417789778</v>
      </c>
      <c r="AI296">
        <v>0.527404</v>
      </c>
      <c r="AJ296">
        <v>63.7851817581968</v>
      </c>
    </row>
    <row r="297" spans="1:36">
      <c r="A297">
        <f t="shared" si="29"/>
        <v>296</v>
      </c>
      <c r="B297" t="s">
        <v>324</v>
      </c>
      <c r="C297">
        <v>33641008</v>
      </c>
      <c r="E297">
        <v>10.655</v>
      </c>
      <c r="F297">
        <v>3.15729779446269</v>
      </c>
      <c r="G297">
        <f t="shared" si="24"/>
        <v>19.7346609546353</v>
      </c>
      <c r="J297">
        <v>1.159082</v>
      </c>
      <c r="K297">
        <v>29.0238378302829</v>
      </c>
      <c r="L297">
        <f t="shared" si="25"/>
        <v>2.14679402051812</v>
      </c>
      <c r="O297">
        <v>3.8692</v>
      </c>
      <c r="P297">
        <v>8.69456425100796</v>
      </c>
      <c r="Q297">
        <f t="shared" si="26"/>
        <v>7.16633976214686</v>
      </c>
      <c r="T297">
        <v>0.002336</v>
      </c>
      <c r="U297">
        <v>14.4011164383562</v>
      </c>
      <c r="V297">
        <f t="shared" si="27"/>
        <v>4.32662299296367</v>
      </c>
      <c r="Y297">
        <v>39150.927168</v>
      </c>
      <c r="Z297">
        <v>39.150927168</v>
      </c>
      <c r="AA297">
        <v>1.59148725237513</v>
      </c>
      <c r="AD297">
        <v>0.00774492</v>
      </c>
      <c r="AE297">
        <v>4.34362240023138</v>
      </c>
      <c r="AF297">
        <f t="shared" si="28"/>
        <v>14.3447555439487</v>
      </c>
      <c r="AI297">
        <v>0.539913</v>
      </c>
      <c r="AJ297">
        <v>62.308201506539</v>
      </c>
    </row>
    <row r="298" spans="1:36">
      <c r="A298">
        <f t="shared" si="29"/>
        <v>297</v>
      </c>
      <c r="B298" t="s">
        <v>325</v>
      </c>
      <c r="C298">
        <v>33641596</v>
      </c>
      <c r="E298">
        <v>10.282</v>
      </c>
      <c r="F298">
        <v>3.27189223886403</v>
      </c>
      <c r="G298">
        <f t="shared" si="24"/>
        <v>19.9742017701316</v>
      </c>
      <c r="J298">
        <v>1.088975</v>
      </c>
      <c r="K298">
        <v>30.8929002043206</v>
      </c>
      <c r="L298">
        <f t="shared" si="25"/>
        <v>2.11548398877932</v>
      </c>
      <c r="O298">
        <v>4.2216</v>
      </c>
      <c r="P298">
        <v>7.9689207883267</v>
      </c>
      <c r="Q298">
        <f t="shared" si="26"/>
        <v>8.20103969974591</v>
      </c>
      <c r="T298">
        <v>0.002339</v>
      </c>
      <c r="U298">
        <v>14.3828969645147</v>
      </c>
      <c r="V298">
        <f t="shared" si="27"/>
        <v>4.54382979384729</v>
      </c>
      <c r="Y298">
        <v>40998.746796</v>
      </c>
      <c r="Z298">
        <v>40.998746796</v>
      </c>
      <c r="AA298">
        <v>1.59403496098017</v>
      </c>
      <c r="AD298">
        <v>0.00763172</v>
      </c>
      <c r="AE298">
        <v>4.40812765667504</v>
      </c>
      <c r="AF298">
        <f t="shared" si="28"/>
        <v>14.8256676846089</v>
      </c>
      <c r="AI298">
        <v>0.514764</v>
      </c>
      <c r="AJ298">
        <v>65.3534357491977</v>
      </c>
    </row>
    <row r="299" spans="1:36">
      <c r="A299">
        <f t="shared" si="29"/>
        <v>298</v>
      </c>
      <c r="B299" t="s">
        <v>326</v>
      </c>
      <c r="C299">
        <v>33771140</v>
      </c>
      <c r="E299">
        <v>10.467</v>
      </c>
      <c r="F299">
        <v>3.22643928537308</v>
      </c>
      <c r="G299">
        <f t="shared" si="24"/>
        <v>21.160502013553</v>
      </c>
      <c r="J299">
        <v>1.112505</v>
      </c>
      <c r="K299">
        <v>30.3559444676653</v>
      </c>
      <c r="L299">
        <f t="shared" si="25"/>
        <v>2.24908419724734</v>
      </c>
      <c r="O299">
        <v>4.1625</v>
      </c>
      <c r="P299">
        <v>8.11318678678679</v>
      </c>
      <c r="Q299">
        <f t="shared" si="26"/>
        <v>8.4150749623975</v>
      </c>
      <c r="T299">
        <v>0.002205</v>
      </c>
      <c r="U299">
        <v>15.3157097505669</v>
      </c>
      <c r="V299">
        <f t="shared" si="27"/>
        <v>4.45771538548624</v>
      </c>
      <c r="Y299">
        <v>42900.998421</v>
      </c>
      <c r="Z299">
        <v>42.900998421</v>
      </c>
      <c r="AA299">
        <v>1.5914099323461</v>
      </c>
      <c r="AD299">
        <v>0.00913138</v>
      </c>
      <c r="AE299">
        <v>3.69836103633843</v>
      </c>
      <c r="AF299">
        <f t="shared" si="28"/>
        <v>18.4603596901231</v>
      </c>
      <c r="AI299">
        <v>0.494648</v>
      </c>
      <c r="AJ299">
        <v>68.2730749947437</v>
      </c>
    </row>
    <row r="300" spans="1:36">
      <c r="A300">
        <f t="shared" si="29"/>
        <v>299</v>
      </c>
      <c r="B300" t="s">
        <v>327</v>
      </c>
      <c r="C300">
        <v>51802184</v>
      </c>
      <c r="E300">
        <v>57.411</v>
      </c>
      <c r="F300">
        <v>0.902304157739806</v>
      </c>
      <c r="G300">
        <f t="shared" si="24"/>
        <v>5.79784349427851</v>
      </c>
      <c r="J300">
        <v>11.347364</v>
      </c>
      <c r="K300">
        <v>4.56512931108934</v>
      </c>
      <c r="L300">
        <f t="shared" si="25"/>
        <v>1.14595183056575</v>
      </c>
      <c r="O300">
        <v>23.8276</v>
      </c>
      <c r="P300">
        <v>2.17404119592405</v>
      </c>
      <c r="Q300">
        <f t="shared" si="26"/>
        <v>2.40631056146506</v>
      </c>
      <c r="T300">
        <v>0.009013</v>
      </c>
      <c r="U300">
        <v>5.74749628314657</v>
      </c>
      <c r="V300">
        <f t="shared" si="27"/>
        <v>0.910208207729044</v>
      </c>
      <c r="Y300">
        <v>7250.805279</v>
      </c>
      <c r="Z300">
        <v>7.250805279</v>
      </c>
      <c r="AA300">
        <v>0.721494798096919</v>
      </c>
      <c r="AD300">
        <v>0.0124139</v>
      </c>
      <c r="AE300">
        <v>4.17291777765247</v>
      </c>
      <c r="AF300">
        <f t="shared" si="28"/>
        <v>1.25365956617415</v>
      </c>
      <c r="AI300">
        <v>9.90213</v>
      </c>
      <c r="AJ300">
        <v>5.23141829081218</v>
      </c>
    </row>
    <row r="301" spans="1:36">
      <c r="A301">
        <f t="shared" si="29"/>
        <v>300</v>
      </c>
      <c r="B301" t="s">
        <v>328</v>
      </c>
      <c r="C301">
        <v>53901560</v>
      </c>
      <c r="E301">
        <v>75.199</v>
      </c>
      <c r="F301">
        <v>0.716785595553132</v>
      </c>
      <c r="G301">
        <f t="shared" si="24"/>
        <v>14.2339317216472</v>
      </c>
      <c r="J301">
        <v>5.602548</v>
      </c>
      <c r="K301">
        <v>9.62090106144561</v>
      </c>
      <c r="L301">
        <f t="shared" si="25"/>
        <v>1.06047002884681</v>
      </c>
      <c r="O301">
        <v>27.4255</v>
      </c>
      <c r="P301">
        <v>1.96538112340705</v>
      </c>
      <c r="Q301">
        <f t="shared" si="26"/>
        <v>5.19119528759737</v>
      </c>
      <c r="T301">
        <v>0.013229</v>
      </c>
      <c r="U301">
        <v>4.07449996220425</v>
      </c>
      <c r="V301">
        <f t="shared" si="27"/>
        <v>2.5040317390613</v>
      </c>
      <c r="Y301">
        <v>3297.205095</v>
      </c>
      <c r="Z301">
        <v>3.297205095</v>
      </c>
      <c r="AA301">
        <v>3.09434109562526</v>
      </c>
      <c r="AD301">
        <v>0.00731928</v>
      </c>
      <c r="AE301">
        <v>7.36432545277678</v>
      </c>
      <c r="AF301">
        <f t="shared" si="28"/>
        <v>1.38541911157885</v>
      </c>
      <c r="AI301">
        <v>5.28308</v>
      </c>
      <c r="AJ301">
        <v>10.2026772261635</v>
      </c>
    </row>
    <row r="302" spans="1:36">
      <c r="A302">
        <f t="shared" si="29"/>
        <v>301</v>
      </c>
      <c r="B302" t="s">
        <v>329</v>
      </c>
      <c r="C302">
        <v>34857344</v>
      </c>
      <c r="E302">
        <v>11.282</v>
      </c>
      <c r="F302">
        <v>3.08964226201028</v>
      </c>
      <c r="G302">
        <f t="shared" si="24"/>
        <v>19.3851461875765</v>
      </c>
      <c r="J302">
        <v>1.091475</v>
      </c>
      <c r="K302">
        <v>31.9359985340938</v>
      </c>
      <c r="L302">
        <f t="shared" si="25"/>
        <v>1.87541237680243</v>
      </c>
      <c r="O302">
        <v>4.6402</v>
      </c>
      <c r="P302">
        <v>7.51203482608508</v>
      </c>
      <c r="Q302">
        <f t="shared" si="26"/>
        <v>7.97296182765399</v>
      </c>
      <c r="T302">
        <v>0.002312</v>
      </c>
      <c r="U302">
        <v>15.0767058823529</v>
      </c>
      <c r="V302">
        <f t="shared" si="27"/>
        <v>3.97256319674498</v>
      </c>
      <c r="Y302">
        <v>40730.351669</v>
      </c>
      <c r="Z302">
        <v>40.730351669</v>
      </c>
      <c r="AA302">
        <v>1.47047998512541</v>
      </c>
      <c r="AD302">
        <v>0.0119435</v>
      </c>
      <c r="AE302">
        <v>2.91852003181647</v>
      </c>
      <c r="AF302">
        <f t="shared" si="28"/>
        <v>20.5217597492749</v>
      </c>
      <c r="AI302">
        <v>0.581992</v>
      </c>
      <c r="AJ302">
        <v>59.8931669163837</v>
      </c>
    </row>
    <row r="303" spans="1:36">
      <c r="A303">
        <f t="shared" si="29"/>
        <v>302</v>
      </c>
      <c r="B303" t="s">
        <v>330</v>
      </c>
      <c r="C303">
        <v>49280096</v>
      </c>
      <c r="E303">
        <v>136.841</v>
      </c>
      <c r="F303">
        <v>0.360126687177089</v>
      </c>
      <c r="G303">
        <f t="shared" si="24"/>
        <v>17.1474148117795</v>
      </c>
      <c r="J303">
        <v>13.098998</v>
      </c>
      <c r="K303">
        <v>3.76212714896208</v>
      </c>
      <c r="L303">
        <f t="shared" si="25"/>
        <v>1.64142290924994</v>
      </c>
      <c r="O303">
        <v>22.8523</v>
      </c>
      <c r="P303">
        <v>2.1564611001956</v>
      </c>
      <c r="Q303">
        <f t="shared" si="26"/>
        <v>2.86359985313781</v>
      </c>
      <c r="T303">
        <v>0.011702</v>
      </c>
      <c r="U303">
        <v>4.21125414459067</v>
      </c>
      <c r="V303">
        <f t="shared" si="27"/>
        <v>1.46636642619861</v>
      </c>
      <c r="Y303">
        <v>8199.094628</v>
      </c>
      <c r="Z303">
        <v>8.199094628</v>
      </c>
      <c r="AA303">
        <v>0.753161412325818</v>
      </c>
      <c r="AD303">
        <v>0.00140674</v>
      </c>
      <c r="AE303">
        <v>35.0314173194762</v>
      </c>
      <c r="AF303">
        <f t="shared" si="28"/>
        <v>0.176277243752404</v>
      </c>
      <c r="AI303">
        <v>7.98027</v>
      </c>
      <c r="AJ303">
        <v>6.17524168981751</v>
      </c>
    </row>
    <row r="304" spans="1:36">
      <c r="A304">
        <f t="shared" si="29"/>
        <v>303</v>
      </c>
      <c r="B304" t="s">
        <v>331</v>
      </c>
      <c r="C304">
        <v>243981060</v>
      </c>
      <c r="E304">
        <v>53.152</v>
      </c>
      <c r="F304">
        <v>4.59025173088501</v>
      </c>
      <c r="G304">
        <f t="shared" si="24"/>
        <v>14.714496902182</v>
      </c>
      <c r="J304">
        <v>17.243297</v>
      </c>
      <c r="K304">
        <v>14.1493277068765</v>
      </c>
      <c r="L304">
        <f t="shared" si="25"/>
        <v>4.77360099883173</v>
      </c>
      <c r="O304">
        <v>22.4326</v>
      </c>
      <c r="P304">
        <v>10.8761828767062</v>
      </c>
      <c r="Q304">
        <f t="shared" si="26"/>
        <v>6.21019760701177</v>
      </c>
      <c r="T304">
        <v>0.01052</v>
      </c>
      <c r="U304">
        <v>23.1921159695817</v>
      </c>
      <c r="V304">
        <f t="shared" si="27"/>
        <v>2.91233645791231</v>
      </c>
      <c r="Y304">
        <v>10496.798823</v>
      </c>
      <c r="Z304">
        <v>10.496798823</v>
      </c>
      <c r="AA304">
        <v>6.43465174604911</v>
      </c>
      <c r="AD304">
        <v>0.00591223</v>
      </c>
      <c r="AE304">
        <v>41.2671800657282</v>
      </c>
      <c r="AF304">
        <f t="shared" si="28"/>
        <v>1.63673032096605</v>
      </c>
      <c r="AI304">
        <v>3.61222</v>
      </c>
      <c r="AJ304">
        <v>67.5432448743432</v>
      </c>
    </row>
    <row r="305" spans="1:36">
      <c r="A305">
        <f t="shared" si="29"/>
        <v>304</v>
      </c>
      <c r="B305" t="s">
        <v>332</v>
      </c>
      <c r="C305">
        <v>36033704</v>
      </c>
      <c r="E305">
        <v>11.449</v>
      </c>
      <c r="F305">
        <v>3.14732325967333</v>
      </c>
      <c r="G305">
        <f t="shared" si="24"/>
        <v>19.4931010528897</v>
      </c>
      <c r="J305">
        <v>1.159019</v>
      </c>
      <c r="K305">
        <v>31.0898302788824</v>
      </c>
      <c r="L305">
        <f t="shared" si="25"/>
        <v>1.97334915618998</v>
      </c>
      <c r="O305">
        <v>4.1577</v>
      </c>
      <c r="P305">
        <v>8.6667397840152</v>
      </c>
      <c r="Q305">
        <f t="shared" si="26"/>
        <v>7.0789122410341</v>
      </c>
      <c r="T305">
        <v>0.002346</v>
      </c>
      <c r="U305">
        <v>15.3596351236147</v>
      </c>
      <c r="V305">
        <f t="shared" si="27"/>
        <v>3.99430649577073</v>
      </c>
      <c r="Y305">
        <v>39264.597952</v>
      </c>
      <c r="Z305">
        <v>39.264597952</v>
      </c>
      <c r="AA305">
        <v>1.56250397423966</v>
      </c>
      <c r="AD305">
        <v>0.00740812</v>
      </c>
      <c r="AE305">
        <v>4.86408211530051</v>
      </c>
      <c r="AF305">
        <f t="shared" si="28"/>
        <v>12.6130868872332</v>
      </c>
      <c r="AI305">
        <v>0.587336</v>
      </c>
      <c r="AJ305">
        <v>61.3510903469224</v>
      </c>
    </row>
    <row r="306" spans="1:36">
      <c r="A306">
        <f t="shared" si="29"/>
        <v>305</v>
      </c>
      <c r="B306" t="s">
        <v>333</v>
      </c>
      <c r="C306">
        <v>4855132</v>
      </c>
      <c r="E306">
        <v>12.078</v>
      </c>
      <c r="F306">
        <v>0.401981453883093</v>
      </c>
      <c r="G306">
        <f t="shared" si="24"/>
        <v>9.00624128494411</v>
      </c>
      <c r="J306">
        <v>1.699812</v>
      </c>
      <c r="K306">
        <v>2.85627587050803</v>
      </c>
      <c r="L306">
        <f t="shared" si="25"/>
        <v>1.26750430626291</v>
      </c>
      <c r="O306">
        <v>5.2594</v>
      </c>
      <c r="P306">
        <v>0.923134197817241</v>
      </c>
      <c r="Q306">
        <f t="shared" si="26"/>
        <v>3.92179379152468</v>
      </c>
      <c r="T306">
        <v>0.003793</v>
      </c>
      <c r="U306">
        <v>1.28002425520696</v>
      </c>
      <c r="V306">
        <f t="shared" si="27"/>
        <v>2.82833856547384</v>
      </c>
      <c r="Y306">
        <v>1804.711525</v>
      </c>
      <c r="Z306">
        <v>1.804711525</v>
      </c>
      <c r="AA306">
        <v>2.00605022774694</v>
      </c>
      <c r="AD306">
        <v>0.00304987</v>
      </c>
      <c r="AE306">
        <v>1.59191440946663</v>
      </c>
      <c r="AF306">
        <f t="shared" si="28"/>
        <v>2.27420641726383</v>
      </c>
      <c r="AI306">
        <v>1.34107</v>
      </c>
      <c r="AJ306">
        <v>3.62034196574377</v>
      </c>
    </row>
    <row r="307" spans="1:36">
      <c r="A307">
        <f t="shared" si="29"/>
        <v>306</v>
      </c>
      <c r="B307" t="s">
        <v>334</v>
      </c>
      <c r="C307">
        <v>6465434</v>
      </c>
      <c r="E307">
        <v>11.488</v>
      </c>
      <c r="F307">
        <v>0.562798920612813</v>
      </c>
      <c r="G307">
        <f t="shared" si="24"/>
        <v>14.4680400893674</v>
      </c>
      <c r="J307">
        <v>0.743711</v>
      </c>
      <c r="K307">
        <v>8.69347636380261</v>
      </c>
      <c r="L307">
        <f t="shared" si="25"/>
        <v>0.936633057355804</v>
      </c>
      <c r="O307">
        <v>4.2647</v>
      </c>
      <c r="P307">
        <v>1.51603489108261</v>
      </c>
      <c r="Q307">
        <f t="shared" si="26"/>
        <v>5.37098281416477</v>
      </c>
      <c r="T307">
        <v>0.002464</v>
      </c>
      <c r="U307">
        <v>2.6239586038961</v>
      </c>
      <c r="V307">
        <f t="shared" si="27"/>
        <v>3.10317294395902</v>
      </c>
      <c r="Y307">
        <v>8416.824437</v>
      </c>
      <c r="Z307">
        <v>8.416824437</v>
      </c>
      <c r="AA307">
        <v>0.967419174134648</v>
      </c>
      <c r="AD307">
        <v>0.00482909</v>
      </c>
      <c r="AE307">
        <v>1.33885141921149</v>
      </c>
      <c r="AF307">
        <f t="shared" si="28"/>
        <v>6.0817781785483</v>
      </c>
      <c r="AI307">
        <v>0.794026</v>
      </c>
      <c r="AJ307">
        <v>8.14259734567886</v>
      </c>
    </row>
    <row r="308" spans="1:36">
      <c r="A308">
        <f t="shared" si="29"/>
        <v>307</v>
      </c>
      <c r="B308" t="s">
        <v>335</v>
      </c>
      <c r="C308">
        <v>25898814</v>
      </c>
      <c r="E308">
        <v>40.696</v>
      </c>
      <c r="F308">
        <v>0.636397041478278</v>
      </c>
      <c r="G308">
        <f t="shared" si="24"/>
        <v>22.8962366589588</v>
      </c>
      <c r="J308">
        <v>1.987155</v>
      </c>
      <c r="K308">
        <v>13.033112162866</v>
      </c>
      <c r="L308">
        <f t="shared" si="25"/>
        <v>1.11800597498608</v>
      </c>
      <c r="O308">
        <v>8.8802</v>
      </c>
      <c r="P308">
        <v>2.91646742190491</v>
      </c>
      <c r="Q308">
        <f t="shared" si="26"/>
        <v>4.99614607771984</v>
      </c>
      <c r="T308">
        <v>0.003636</v>
      </c>
      <c r="U308">
        <v>7.12288613861386</v>
      </c>
      <c r="V308">
        <f t="shared" si="27"/>
        <v>2.04567319864297</v>
      </c>
      <c r="Y308">
        <v>10637.242046</v>
      </c>
      <c r="Z308">
        <v>10.637242046</v>
      </c>
      <c r="AA308">
        <v>1.369819094812</v>
      </c>
      <c r="AD308">
        <v>0.0193418</v>
      </c>
      <c r="AE308">
        <v>1.33900743467516</v>
      </c>
      <c r="AF308">
        <f t="shared" si="28"/>
        <v>10.8820137165876</v>
      </c>
      <c r="AI308">
        <v>1.77741</v>
      </c>
      <c r="AJ308">
        <v>14.5710972707479</v>
      </c>
    </row>
    <row r="309" spans="1:36">
      <c r="A309">
        <f t="shared" si="29"/>
        <v>308</v>
      </c>
      <c r="B309" t="s">
        <v>336</v>
      </c>
      <c r="C309">
        <v>25898814</v>
      </c>
      <c r="E309">
        <v>40.939</v>
      </c>
      <c r="F309">
        <v>0.63261960477784</v>
      </c>
      <c r="G309">
        <f t="shared" si="24"/>
        <v>21.6618780788503</v>
      </c>
      <c r="J309">
        <v>1.901787</v>
      </c>
      <c r="K309">
        <v>13.6181465116756</v>
      </c>
      <c r="L309">
        <f t="shared" si="25"/>
        <v>1.00628442624252</v>
      </c>
      <c r="O309">
        <v>8.8799</v>
      </c>
      <c r="P309">
        <v>2.91656595231928</v>
      </c>
      <c r="Q309">
        <f t="shared" si="26"/>
        <v>4.69858353043265</v>
      </c>
      <c r="T309">
        <v>0.003131</v>
      </c>
      <c r="U309">
        <v>8.2717387416161</v>
      </c>
      <c r="V309">
        <f t="shared" si="27"/>
        <v>1.65669264673979</v>
      </c>
      <c r="Y309">
        <v>11120.400917</v>
      </c>
      <c r="Z309">
        <v>11.120400917</v>
      </c>
      <c r="AA309">
        <v>1.23230527849394</v>
      </c>
      <c r="AD309">
        <v>0.0375274</v>
      </c>
      <c r="AE309">
        <v>0.690130784440169</v>
      </c>
      <c r="AF309">
        <f t="shared" si="28"/>
        <v>19.8567127535173</v>
      </c>
      <c r="AI309">
        <v>1.88991</v>
      </c>
      <c r="AJ309">
        <v>13.703728748988</v>
      </c>
    </row>
    <row r="310" spans="1:36">
      <c r="A310">
        <f t="shared" si="29"/>
        <v>309</v>
      </c>
      <c r="B310" t="s">
        <v>337</v>
      </c>
      <c r="C310">
        <v>6334728</v>
      </c>
      <c r="E310">
        <v>15.699</v>
      </c>
      <c r="F310">
        <v>0.403511561245939</v>
      </c>
      <c r="G310">
        <f t="shared" si="24"/>
        <v>6.79892942521567</v>
      </c>
      <c r="J310">
        <v>2.110733</v>
      </c>
      <c r="K310">
        <v>3.00119816196554</v>
      </c>
      <c r="L310">
        <f t="shared" si="25"/>
        <v>0.91411712226726</v>
      </c>
      <c r="O310">
        <v>9.4044</v>
      </c>
      <c r="P310">
        <v>0.673591935689677</v>
      </c>
      <c r="Q310">
        <f t="shared" si="26"/>
        <v>4.07286144891383</v>
      </c>
      <c r="T310">
        <v>0.003906</v>
      </c>
      <c r="U310">
        <v>1.62179416282642</v>
      </c>
      <c r="V310">
        <f t="shared" si="27"/>
        <v>1.69161209853445</v>
      </c>
      <c r="Y310">
        <v>2261.813575</v>
      </c>
      <c r="Z310">
        <v>2.261813575</v>
      </c>
      <c r="AA310">
        <v>1.21294109182704</v>
      </c>
      <c r="AD310">
        <v>0.00326839</v>
      </c>
      <c r="AE310">
        <v>1.93817996016387</v>
      </c>
      <c r="AF310">
        <f t="shared" si="28"/>
        <v>1.41547569552715</v>
      </c>
      <c r="AI310">
        <v>2.30904</v>
      </c>
      <c r="AJ310">
        <v>2.74344662716973</v>
      </c>
    </row>
    <row r="311" spans="1:36">
      <c r="A311">
        <f t="shared" si="29"/>
        <v>310</v>
      </c>
      <c r="B311" t="s">
        <v>338</v>
      </c>
      <c r="C311">
        <v>4123318</v>
      </c>
      <c r="E311">
        <v>8.256</v>
      </c>
      <c r="F311">
        <v>0.499432897286822</v>
      </c>
      <c r="G311">
        <f t="shared" si="24"/>
        <v>6.93973959165147</v>
      </c>
      <c r="J311">
        <v>1.203871</v>
      </c>
      <c r="K311">
        <v>3.42504969386255</v>
      </c>
      <c r="L311">
        <f t="shared" si="25"/>
        <v>1.01193692368472</v>
      </c>
      <c r="O311">
        <v>4.7381</v>
      </c>
      <c r="P311">
        <v>0.870247145480256</v>
      </c>
      <c r="Q311">
        <f t="shared" si="26"/>
        <v>3.98270108517488</v>
      </c>
      <c r="T311">
        <v>0.003492</v>
      </c>
      <c r="U311">
        <v>1.18078980526919</v>
      </c>
      <c r="V311">
        <f t="shared" si="27"/>
        <v>2.93526776332932</v>
      </c>
      <c r="Y311">
        <v>1500.934246</v>
      </c>
      <c r="Z311">
        <v>1.500934246</v>
      </c>
      <c r="AA311">
        <v>2.30918460279742</v>
      </c>
      <c r="AD311">
        <v>0.00218575</v>
      </c>
      <c r="AE311">
        <v>1.88645453505662</v>
      </c>
      <c r="AF311">
        <f t="shared" si="28"/>
        <v>1.83727420208965</v>
      </c>
      <c r="AI311">
        <v>1.18967</v>
      </c>
      <c r="AJ311">
        <v>3.46593425067456</v>
      </c>
    </row>
    <row r="312" spans="1:36">
      <c r="A312">
        <f t="shared" si="29"/>
        <v>311</v>
      </c>
      <c r="B312" t="s">
        <v>339</v>
      </c>
      <c r="C312">
        <v>101221524</v>
      </c>
      <c r="E312">
        <v>1921.206</v>
      </c>
      <c r="F312">
        <v>0.0526864500735476</v>
      </c>
      <c r="G312">
        <f t="shared" si="24"/>
        <v>88.2303018613173</v>
      </c>
      <c r="J312">
        <v>95.227225</v>
      </c>
      <c r="K312">
        <v>1.06294732415021</v>
      </c>
      <c r="L312">
        <f t="shared" si="25"/>
        <v>4.37325659360089</v>
      </c>
      <c r="O312">
        <v>54.4755</v>
      </c>
      <c r="P312">
        <v>1.85811096731558</v>
      </c>
      <c r="Q312">
        <f t="shared" si="26"/>
        <v>2.50175660967445</v>
      </c>
      <c r="T312">
        <v>0.032261</v>
      </c>
      <c r="U312">
        <v>3.13758172406311</v>
      </c>
      <c r="V312">
        <f t="shared" si="27"/>
        <v>1.48156822763824</v>
      </c>
      <c r="Y312">
        <v>1722.132248</v>
      </c>
      <c r="Z312">
        <v>1.722132248</v>
      </c>
      <c r="AA312">
        <v>2.69929408696046</v>
      </c>
      <c r="AD312">
        <v>0.053829</v>
      </c>
      <c r="AE312">
        <v>1.8804273532854</v>
      </c>
      <c r="AF312">
        <f t="shared" si="28"/>
        <v>2.47206646184369</v>
      </c>
      <c r="AI312">
        <v>21.7749</v>
      </c>
      <c r="AJ312">
        <v>4.64854139399033</v>
      </c>
    </row>
    <row r="313" spans="1:36">
      <c r="A313">
        <f t="shared" si="29"/>
        <v>312</v>
      </c>
      <c r="B313" t="s">
        <v>340</v>
      </c>
      <c r="C313">
        <v>13101308</v>
      </c>
      <c r="E313">
        <v>100.051</v>
      </c>
      <c r="F313">
        <v>0.130946297388332</v>
      </c>
      <c r="G313">
        <f t="shared" si="24"/>
        <v>25.457621943462</v>
      </c>
      <c r="J313">
        <v>4.073178</v>
      </c>
      <c r="K313">
        <v>3.21648305082665</v>
      </c>
      <c r="L313">
        <f t="shared" si="25"/>
        <v>1.03640568942266</v>
      </c>
      <c r="O313">
        <v>8.8432</v>
      </c>
      <c r="P313">
        <v>1.48151212230867</v>
      </c>
      <c r="Q313">
        <f t="shared" si="26"/>
        <v>2.25012086206457</v>
      </c>
      <c r="T313">
        <v>0.003936</v>
      </c>
      <c r="U313">
        <v>3.3285843495935</v>
      </c>
      <c r="V313">
        <f t="shared" si="27"/>
        <v>1.00150123406529</v>
      </c>
      <c r="Y313">
        <v>3834.069221</v>
      </c>
      <c r="Z313">
        <v>3.834069221</v>
      </c>
      <c r="AA313">
        <v>0.869463001750093</v>
      </c>
      <c r="AD313">
        <v>0.0182997</v>
      </c>
      <c r="AE313">
        <v>0.715930206506118</v>
      </c>
      <c r="AF313">
        <f t="shared" si="28"/>
        <v>4.65629373298389</v>
      </c>
      <c r="AI313">
        <v>3.9301</v>
      </c>
      <c r="AJ313">
        <v>3.3335813338083</v>
      </c>
    </row>
    <row r="314" spans="1:36">
      <c r="A314">
        <f t="shared" si="29"/>
        <v>313</v>
      </c>
      <c r="B314" t="s">
        <v>341</v>
      </c>
      <c r="C314">
        <v>36031146</v>
      </c>
      <c r="E314">
        <v>42.343</v>
      </c>
      <c r="F314">
        <v>0.850935125050185</v>
      </c>
      <c r="G314">
        <f t="shared" si="24"/>
        <v>13.1274550228954</v>
      </c>
      <c r="J314">
        <v>2.282712</v>
      </c>
      <c r="K314">
        <v>15.7843591307182</v>
      </c>
      <c r="L314">
        <f t="shared" si="25"/>
        <v>0.707701370007407</v>
      </c>
      <c r="O314">
        <v>6.5221</v>
      </c>
      <c r="P314">
        <v>5.52447003265819</v>
      </c>
      <c r="Q314">
        <f t="shared" si="26"/>
        <v>2.02202428748143</v>
      </c>
      <c r="T314">
        <v>0.002728</v>
      </c>
      <c r="U314">
        <v>13.2078980938416</v>
      </c>
      <c r="V314">
        <f t="shared" si="27"/>
        <v>0.845752480987621</v>
      </c>
      <c r="Y314">
        <v>12531.416988</v>
      </c>
      <c r="Z314">
        <v>12.531416988</v>
      </c>
      <c r="AA314">
        <v>0.891408576715235</v>
      </c>
      <c r="AD314">
        <v>0.0105927</v>
      </c>
      <c r="AE314">
        <v>3.40150726443683</v>
      </c>
      <c r="AF314">
        <f t="shared" si="28"/>
        <v>3.28401844038033</v>
      </c>
      <c r="AI314">
        <v>3.22553</v>
      </c>
      <c r="AJ314">
        <v>11.1706125814982</v>
      </c>
    </row>
    <row r="315" spans="1:36">
      <c r="A315">
        <f t="shared" si="29"/>
        <v>314</v>
      </c>
      <c r="B315" t="s">
        <v>342</v>
      </c>
      <c r="C315">
        <v>36031146</v>
      </c>
      <c r="E315">
        <v>44.617</v>
      </c>
      <c r="F315">
        <v>0.807565412286797</v>
      </c>
      <c r="G315">
        <f t="shared" si="24"/>
        <v>12.5162003399967</v>
      </c>
      <c r="J315">
        <v>2.164463</v>
      </c>
      <c r="K315">
        <v>16.6466906572208</v>
      </c>
      <c r="L315">
        <f t="shared" si="25"/>
        <v>0.607186779400459</v>
      </c>
      <c r="O315">
        <v>6.2372</v>
      </c>
      <c r="P315">
        <v>5.7768142756365</v>
      </c>
      <c r="Q315">
        <f t="shared" si="26"/>
        <v>1.74969282472214</v>
      </c>
      <c r="T315">
        <v>0.002661</v>
      </c>
      <c r="U315">
        <v>13.5404532130778</v>
      </c>
      <c r="V315">
        <f t="shared" si="27"/>
        <v>0.746478004005901</v>
      </c>
      <c r="Y315">
        <v>11339.870038</v>
      </c>
      <c r="Z315">
        <v>11.339870038</v>
      </c>
      <c r="AA315">
        <v>0.891337418679648</v>
      </c>
      <c r="AD315">
        <v>0.00991339</v>
      </c>
      <c r="AE315">
        <v>3.63459381704947</v>
      </c>
      <c r="AF315">
        <f t="shared" si="28"/>
        <v>2.78095737697559</v>
      </c>
      <c r="AI315">
        <v>3.56474</v>
      </c>
      <c r="AJ315">
        <v>10.1076504878336</v>
      </c>
    </row>
    <row r="316" spans="1:36">
      <c r="A316">
        <f t="shared" si="29"/>
        <v>315</v>
      </c>
      <c r="B316" t="s">
        <v>343</v>
      </c>
      <c r="C316">
        <v>6803752</v>
      </c>
      <c r="E316">
        <v>16.272</v>
      </c>
      <c r="F316">
        <v>0.418126352015733</v>
      </c>
      <c r="G316">
        <f t="shared" si="24"/>
        <v>6.68548397036891</v>
      </c>
      <c r="J316">
        <v>1.54704</v>
      </c>
      <c r="K316">
        <v>4.39791602027097</v>
      </c>
      <c r="L316">
        <f t="shared" si="25"/>
        <v>0.635614006976372</v>
      </c>
      <c r="O316">
        <v>7.0928</v>
      </c>
      <c r="P316">
        <v>0.959247687796075</v>
      </c>
      <c r="Q316">
        <f t="shared" si="26"/>
        <v>2.91413475325913</v>
      </c>
      <c r="T316">
        <v>0.002609</v>
      </c>
      <c r="U316">
        <v>2.60780068991951</v>
      </c>
      <c r="V316">
        <f t="shared" si="27"/>
        <v>1.07192893797274</v>
      </c>
      <c r="Y316">
        <v>2533.332433</v>
      </c>
      <c r="Z316">
        <v>2.533332433</v>
      </c>
      <c r="AA316">
        <v>1.10343869109973</v>
      </c>
      <c r="AD316">
        <v>0.00260399</v>
      </c>
      <c r="AE316">
        <v>2.61281802157458</v>
      </c>
      <c r="AF316">
        <f t="shared" si="28"/>
        <v>1.06987053859396</v>
      </c>
      <c r="AI316">
        <v>2.43393</v>
      </c>
      <c r="AJ316">
        <v>2.79537702399001</v>
      </c>
    </row>
    <row r="317" spans="1:36">
      <c r="A317">
        <f t="shared" si="29"/>
        <v>316</v>
      </c>
      <c r="B317" t="s">
        <v>344</v>
      </c>
      <c r="C317">
        <v>13122998</v>
      </c>
      <c r="E317">
        <v>10.721</v>
      </c>
      <c r="F317">
        <v>1.22404607779125</v>
      </c>
      <c r="G317">
        <f t="shared" si="24"/>
        <v>10.4704423153926</v>
      </c>
      <c r="J317">
        <v>1.537597</v>
      </c>
      <c r="K317">
        <v>8.53474479984027</v>
      </c>
      <c r="L317">
        <f t="shared" si="25"/>
        <v>1.50166222300352</v>
      </c>
      <c r="O317">
        <v>4.6319</v>
      </c>
      <c r="P317">
        <v>2.83317817742179</v>
      </c>
      <c r="Q317">
        <f t="shared" si="26"/>
        <v>4.52364907757366</v>
      </c>
      <c r="T317">
        <v>0.002695</v>
      </c>
      <c r="U317">
        <v>4.86938701298701</v>
      </c>
      <c r="V317">
        <f t="shared" si="27"/>
        <v>2.63201586045921</v>
      </c>
      <c r="Y317">
        <v>13997.94463</v>
      </c>
      <c r="Z317">
        <v>13.99794463</v>
      </c>
      <c r="AA317">
        <v>0.91558469387201</v>
      </c>
      <c r="AD317">
        <v>0.00295008</v>
      </c>
      <c r="AE317">
        <v>4.4483532649962</v>
      </c>
      <c r="AF317">
        <f t="shared" si="28"/>
        <v>2.88113445255046</v>
      </c>
      <c r="AI317">
        <v>1.02393</v>
      </c>
      <c r="AJ317">
        <v>12.8163038488959</v>
      </c>
    </row>
    <row r="318" spans="1:36">
      <c r="A318">
        <f t="shared" si="29"/>
        <v>317</v>
      </c>
      <c r="B318" t="s">
        <v>345</v>
      </c>
      <c r="C318">
        <v>6389468</v>
      </c>
      <c r="E318">
        <v>16.47</v>
      </c>
      <c r="F318">
        <v>0.38794584092289</v>
      </c>
      <c r="G318">
        <f t="shared" si="24"/>
        <v>7.449657143891</v>
      </c>
      <c r="J318">
        <v>1.544155</v>
      </c>
      <c r="K318">
        <v>4.13784108460614</v>
      </c>
      <c r="L318">
        <f t="shared" si="25"/>
        <v>0.698447196540681</v>
      </c>
      <c r="O318">
        <v>8.4708</v>
      </c>
      <c r="P318">
        <v>0.754293337111017</v>
      </c>
      <c r="Q318">
        <f t="shared" si="26"/>
        <v>3.83148486548099</v>
      </c>
      <c r="T318">
        <v>0.004168</v>
      </c>
      <c r="U318">
        <v>1.53298176583493</v>
      </c>
      <c r="V318">
        <f t="shared" si="27"/>
        <v>1.88525628267989</v>
      </c>
      <c r="Y318">
        <v>1231.015335</v>
      </c>
      <c r="Z318">
        <v>1.231015335</v>
      </c>
      <c r="AA318">
        <v>2.34770715124683</v>
      </c>
      <c r="AD318">
        <v>0.00319196</v>
      </c>
      <c r="AE318">
        <v>2.00173811701901</v>
      </c>
      <c r="AF318">
        <f t="shared" si="28"/>
        <v>1.4437770259268</v>
      </c>
      <c r="AI318">
        <v>2.21084</v>
      </c>
      <c r="AJ318">
        <v>2.89006350527401</v>
      </c>
    </row>
    <row r="319" spans="1:36">
      <c r="A319">
        <f t="shared" si="29"/>
        <v>318</v>
      </c>
      <c r="B319" t="s">
        <v>346</v>
      </c>
      <c r="C319">
        <v>54549924</v>
      </c>
      <c r="E319">
        <v>287.729</v>
      </c>
      <c r="F319">
        <v>0.189587855238784</v>
      </c>
      <c r="G319">
        <f t="shared" si="24"/>
        <v>21.0717921301822</v>
      </c>
      <c r="J319">
        <v>36.083926</v>
      </c>
      <c r="K319">
        <v>1.51175135432879</v>
      </c>
      <c r="L319">
        <f t="shared" si="25"/>
        <v>2.64260115564605</v>
      </c>
      <c r="O319">
        <v>26.9851</v>
      </c>
      <c r="P319">
        <v>2.02148311475592</v>
      </c>
      <c r="Q319">
        <f t="shared" si="26"/>
        <v>1.9762499359195</v>
      </c>
      <c r="T319">
        <v>0.013526</v>
      </c>
      <c r="U319">
        <v>4.03296791364779</v>
      </c>
      <c r="V319">
        <f t="shared" si="27"/>
        <v>0.9905746739218</v>
      </c>
      <c r="Y319">
        <v>3855.794173</v>
      </c>
      <c r="Z319">
        <v>3.855794173</v>
      </c>
      <c r="AA319">
        <v>1.03609157977706</v>
      </c>
      <c r="AD319">
        <v>0.00945675</v>
      </c>
      <c r="AE319">
        <v>5.7683584741058</v>
      </c>
      <c r="AF319">
        <f t="shared" si="28"/>
        <v>0.692563732634184</v>
      </c>
      <c r="AI319">
        <v>13.6547</v>
      </c>
      <c r="AJ319">
        <v>3.99495587599874</v>
      </c>
    </row>
    <row r="320" spans="1:36">
      <c r="A320">
        <f t="shared" si="29"/>
        <v>319</v>
      </c>
      <c r="B320" t="s">
        <v>347</v>
      </c>
      <c r="C320">
        <v>13887484</v>
      </c>
      <c r="E320">
        <v>23.552</v>
      </c>
      <c r="F320">
        <v>0.589652004076087</v>
      </c>
      <c r="G320">
        <f t="shared" si="24"/>
        <v>10.9368179580768</v>
      </c>
      <c r="J320">
        <v>3.292025</v>
      </c>
      <c r="K320">
        <v>4.21852324936779</v>
      </c>
      <c r="L320">
        <f t="shared" si="25"/>
        <v>1.52871425519861</v>
      </c>
      <c r="O320">
        <v>7.6483</v>
      </c>
      <c r="P320">
        <v>1.81576088804048</v>
      </c>
      <c r="Q320">
        <f t="shared" si="26"/>
        <v>3.551633185664</v>
      </c>
      <c r="T320">
        <v>0.002958</v>
      </c>
      <c r="U320">
        <v>4.69488979039892</v>
      </c>
      <c r="V320">
        <f t="shared" si="27"/>
        <v>1.37360341032571</v>
      </c>
      <c r="Y320">
        <v>5170.69985</v>
      </c>
      <c r="Z320">
        <v>5.17069985</v>
      </c>
      <c r="AA320">
        <v>1.24720382429378</v>
      </c>
      <c r="AD320">
        <v>0.00426322</v>
      </c>
      <c r="AE320">
        <v>3.25751052021711</v>
      </c>
      <c r="AF320">
        <f t="shared" si="28"/>
        <v>1.97970707605435</v>
      </c>
      <c r="AI320">
        <v>2.15346</v>
      </c>
      <c r="AJ320">
        <v>6.4489166271953</v>
      </c>
    </row>
    <row r="321" spans="1:36">
      <c r="A321">
        <f t="shared" si="29"/>
        <v>320</v>
      </c>
      <c r="B321" t="s">
        <v>348</v>
      </c>
      <c r="C321">
        <v>38700932</v>
      </c>
      <c r="E321">
        <v>23.255</v>
      </c>
      <c r="F321">
        <v>1.6641983229413</v>
      </c>
      <c r="G321">
        <f t="shared" si="24"/>
        <v>28.7423447474617</v>
      </c>
      <c r="J321">
        <v>1.329217</v>
      </c>
      <c r="K321">
        <v>29.1155860931661</v>
      </c>
      <c r="L321">
        <f t="shared" si="25"/>
        <v>1.64286447035849</v>
      </c>
      <c r="O321">
        <v>6.1763</v>
      </c>
      <c r="P321">
        <v>6.266038242961</v>
      </c>
      <c r="Q321">
        <f t="shared" si="26"/>
        <v>7.63368496511491</v>
      </c>
      <c r="T321">
        <v>0.003518</v>
      </c>
      <c r="U321">
        <v>11.0008334280841</v>
      </c>
      <c r="V321">
        <f t="shared" si="27"/>
        <v>4.34812164358505</v>
      </c>
      <c r="Y321">
        <v>30921.830709</v>
      </c>
      <c r="Z321">
        <v>30.921830709</v>
      </c>
      <c r="AA321">
        <v>1.54689941796377</v>
      </c>
      <c r="AD321">
        <v>0.00857791</v>
      </c>
      <c r="AE321">
        <v>4.51169713834722</v>
      </c>
      <c r="AF321">
        <f t="shared" si="28"/>
        <v>10.6019886662094</v>
      </c>
      <c r="AI321">
        <v>0.809085</v>
      </c>
      <c r="AJ321">
        <v>47.8329619261264</v>
      </c>
    </row>
    <row r="322" spans="1:36">
      <c r="A322">
        <f t="shared" si="29"/>
        <v>321</v>
      </c>
      <c r="B322" t="s">
        <v>349</v>
      </c>
      <c r="C322">
        <v>21417480</v>
      </c>
      <c r="E322">
        <v>13.66</v>
      </c>
      <c r="F322">
        <v>1.56789751098097</v>
      </c>
      <c r="G322">
        <f t="shared" si="24"/>
        <v>15.3055107681999</v>
      </c>
      <c r="J322">
        <v>0.959537</v>
      </c>
      <c r="K322">
        <v>22.320640058695</v>
      </c>
      <c r="L322">
        <f t="shared" si="25"/>
        <v>1.07512473543091</v>
      </c>
      <c r="O322">
        <v>6.3519</v>
      </c>
      <c r="P322">
        <v>3.37182260426014</v>
      </c>
      <c r="Q322">
        <f t="shared" si="26"/>
        <v>7.11706250721299</v>
      </c>
      <c r="T322">
        <v>0.002534</v>
      </c>
      <c r="U322">
        <v>8.45204419889503</v>
      </c>
      <c r="V322">
        <f t="shared" si="27"/>
        <v>2.83925067984031</v>
      </c>
      <c r="Y322">
        <v>15720.098485</v>
      </c>
      <c r="Z322">
        <v>15.720098485</v>
      </c>
      <c r="AA322">
        <v>1.5265471943863</v>
      </c>
      <c r="AD322">
        <v>0.0117443</v>
      </c>
      <c r="AE322">
        <v>1.82364891905009</v>
      </c>
      <c r="AF322">
        <f t="shared" si="28"/>
        <v>13.1590417360887</v>
      </c>
      <c r="AI322">
        <v>0.892489</v>
      </c>
      <c r="AJ322">
        <v>23.9974722377531</v>
      </c>
    </row>
    <row r="323" spans="1:36">
      <c r="A323">
        <f t="shared" si="29"/>
        <v>322</v>
      </c>
      <c r="B323" t="s">
        <v>350</v>
      </c>
      <c r="C323">
        <v>186742056</v>
      </c>
      <c r="E323">
        <v>19.654</v>
      </c>
      <c r="F323">
        <v>9.50147837590312</v>
      </c>
      <c r="G323">
        <f t="shared" ref="G323:G386" si="30">AJ323/F323</f>
        <v>18.4203867025315</v>
      </c>
      <c r="J323">
        <v>1.634684</v>
      </c>
      <c r="K323">
        <v>114.23740368169</v>
      </c>
      <c r="L323">
        <f t="shared" ref="L323:L386" si="31">AJ323/K323</f>
        <v>1.53208056458945</v>
      </c>
      <c r="O323">
        <v>4.9</v>
      </c>
      <c r="P323">
        <v>38.1106236734694</v>
      </c>
      <c r="Q323">
        <f t="shared" ref="Q323:Q386" si="32">AJ323/P323</f>
        <v>4.59244402373074</v>
      </c>
      <c r="T323">
        <v>0.002469</v>
      </c>
      <c r="U323">
        <v>75.6346925880923</v>
      </c>
      <c r="V323">
        <f t="shared" ref="V323:V386" si="33">AJ323/U323</f>
        <v>2.31402944787576</v>
      </c>
      <c r="Y323">
        <v>71851.178488</v>
      </c>
      <c r="Z323">
        <v>71.851178488</v>
      </c>
      <c r="AA323">
        <v>2.43588079712717</v>
      </c>
      <c r="AD323">
        <v>0.0096714</v>
      </c>
      <c r="AE323">
        <v>19.3086891246355</v>
      </c>
      <c r="AF323">
        <f t="shared" ref="AF323:AF386" si="34">AJ323/AE323</f>
        <v>9.06435982267543</v>
      </c>
      <c r="AI323">
        <v>1.06697</v>
      </c>
      <c r="AJ323">
        <v>175.020905929876</v>
      </c>
    </row>
    <row r="324" spans="1:36">
      <c r="A324">
        <f t="shared" ref="A324:A387" si="35">A323+1</f>
        <v>323</v>
      </c>
      <c r="B324" t="s">
        <v>351</v>
      </c>
      <c r="C324">
        <v>48844004</v>
      </c>
      <c r="E324">
        <v>173.913</v>
      </c>
      <c r="F324">
        <v>0.280853093213273</v>
      </c>
      <c r="G324">
        <f t="shared" si="30"/>
        <v>26.7122845820662</v>
      </c>
      <c r="J324">
        <v>17.039051</v>
      </c>
      <c r="K324">
        <v>2.86659180725499</v>
      </c>
      <c r="L324">
        <f t="shared" si="31"/>
        <v>2.61712453537309</v>
      </c>
      <c r="O324">
        <v>22.363</v>
      </c>
      <c r="P324">
        <v>2.1841436301033</v>
      </c>
      <c r="Q324">
        <f t="shared" si="32"/>
        <v>3.4348600743403</v>
      </c>
      <c r="T324">
        <v>0.011623</v>
      </c>
      <c r="U324">
        <v>4.20235773896584</v>
      </c>
      <c r="V324">
        <f t="shared" si="33"/>
        <v>1.78524252757042</v>
      </c>
      <c r="Y324">
        <v>8540.944366</v>
      </c>
      <c r="Z324">
        <v>8.540944366</v>
      </c>
      <c r="AA324">
        <v>0.878383868361391</v>
      </c>
      <c r="AD324">
        <v>0.00145456</v>
      </c>
      <c r="AE324">
        <v>33.5799169508305</v>
      </c>
      <c r="AF324">
        <f t="shared" si="34"/>
        <v>0.223414124658249</v>
      </c>
      <c r="AI324">
        <v>6.5106</v>
      </c>
      <c r="AJ324">
        <v>7.50222775166651</v>
      </c>
    </row>
    <row r="325" spans="1:36">
      <c r="A325">
        <f t="shared" si="35"/>
        <v>324</v>
      </c>
      <c r="B325" t="s">
        <v>352</v>
      </c>
      <c r="C325">
        <v>4844058</v>
      </c>
      <c r="E325">
        <v>7.407</v>
      </c>
      <c r="F325">
        <v>0.653983799108951</v>
      </c>
      <c r="G325">
        <f t="shared" si="30"/>
        <v>6.58575620165377</v>
      </c>
      <c r="J325">
        <v>0.911716</v>
      </c>
      <c r="K325">
        <v>5.31312162998127</v>
      </c>
      <c r="L325">
        <f t="shared" si="31"/>
        <v>0.810630390326309</v>
      </c>
      <c r="O325">
        <v>5.0923</v>
      </c>
      <c r="P325">
        <v>0.951251497358757</v>
      </c>
      <c r="Q325">
        <f t="shared" si="32"/>
        <v>4.52769627456211</v>
      </c>
      <c r="T325">
        <v>0.003078</v>
      </c>
      <c r="U325">
        <v>1.57376803118908</v>
      </c>
      <c r="V325">
        <f t="shared" si="33"/>
        <v>2.7367297946119</v>
      </c>
      <c r="Y325">
        <v>1646.699499</v>
      </c>
      <c r="Z325">
        <v>1.646699499</v>
      </c>
      <c r="AA325">
        <v>2.61552144965028</v>
      </c>
      <c r="AD325">
        <v>0.00176041</v>
      </c>
      <c r="AE325">
        <v>2.75166466902597</v>
      </c>
      <c r="AF325">
        <f t="shared" si="34"/>
        <v>1.56522628256424</v>
      </c>
      <c r="AI325">
        <v>1.1247</v>
      </c>
      <c r="AJ325">
        <v>4.30697786076287</v>
      </c>
    </row>
    <row r="326" spans="1:36">
      <c r="A326">
        <f t="shared" si="35"/>
        <v>325</v>
      </c>
      <c r="B326" t="s">
        <v>353</v>
      </c>
      <c r="C326">
        <v>14486894</v>
      </c>
      <c r="E326">
        <v>20.582</v>
      </c>
      <c r="F326">
        <v>0.703862306870081</v>
      </c>
      <c r="G326">
        <f t="shared" si="30"/>
        <v>12.6481776226441</v>
      </c>
      <c r="J326">
        <v>1.723865</v>
      </c>
      <c r="K326">
        <v>8.40372883027383</v>
      </c>
      <c r="L326">
        <f t="shared" si="31"/>
        <v>1.05936015535222</v>
      </c>
      <c r="O326">
        <v>6.0812</v>
      </c>
      <c r="P326">
        <v>2.38224264947708</v>
      </c>
      <c r="Q326">
        <f t="shared" si="32"/>
        <v>3.73705654255286</v>
      </c>
      <c r="T326">
        <v>0.003276</v>
      </c>
      <c r="U326">
        <v>4.42212881562882</v>
      </c>
      <c r="V326">
        <f t="shared" si="33"/>
        <v>2.01318773159955</v>
      </c>
      <c r="Y326">
        <v>6555.861342</v>
      </c>
      <c r="Z326">
        <v>6.555861342</v>
      </c>
      <c r="AA326">
        <v>1.35795664593188</v>
      </c>
      <c r="AD326">
        <v>0.0129985</v>
      </c>
      <c r="AE326">
        <v>1.11450505827596</v>
      </c>
      <c r="AF326">
        <f t="shared" si="34"/>
        <v>7.98791841550569</v>
      </c>
      <c r="AI326">
        <v>1.62727</v>
      </c>
      <c r="AJ326">
        <v>8.90257547917678</v>
      </c>
    </row>
    <row r="327" spans="1:36">
      <c r="A327">
        <f t="shared" si="35"/>
        <v>326</v>
      </c>
      <c r="B327" t="s">
        <v>354</v>
      </c>
      <c r="C327">
        <v>67360030</v>
      </c>
      <c r="E327">
        <v>407.483</v>
      </c>
      <c r="F327">
        <v>0.165307583383847</v>
      </c>
      <c r="G327">
        <f t="shared" si="30"/>
        <v>66.4992827569547</v>
      </c>
      <c r="J327">
        <v>12.026925</v>
      </c>
      <c r="K327">
        <v>5.60076910764805</v>
      </c>
      <c r="L327">
        <f t="shared" si="31"/>
        <v>1.96273681668116</v>
      </c>
      <c r="O327">
        <v>38.5579</v>
      </c>
      <c r="P327">
        <v>1.74698388657059</v>
      </c>
      <c r="Q327">
        <f t="shared" si="32"/>
        <v>6.29246543932969</v>
      </c>
      <c r="T327">
        <v>0.018663</v>
      </c>
      <c r="U327">
        <v>3.60928200182179</v>
      </c>
      <c r="V327">
        <f t="shared" si="33"/>
        <v>3.04571261646019</v>
      </c>
      <c r="Y327">
        <v>9863.972907</v>
      </c>
      <c r="Z327">
        <v>9.863972907</v>
      </c>
      <c r="AA327">
        <v>1.11444301732725</v>
      </c>
      <c r="AD327">
        <v>0.0432856</v>
      </c>
      <c r="AE327">
        <v>1.55617641894764</v>
      </c>
      <c r="AF327">
        <f t="shared" si="34"/>
        <v>7.06400353807262</v>
      </c>
      <c r="AI327">
        <v>6.12763</v>
      </c>
      <c r="AJ327">
        <v>10.9928357293113</v>
      </c>
    </row>
    <row r="328" spans="1:36">
      <c r="A328">
        <f t="shared" si="35"/>
        <v>327</v>
      </c>
      <c r="B328" t="s">
        <v>355</v>
      </c>
      <c r="C328">
        <v>143404670</v>
      </c>
      <c r="E328">
        <v>283.838</v>
      </c>
      <c r="F328">
        <v>0.505234218110331</v>
      </c>
      <c r="G328">
        <f t="shared" si="30"/>
        <v>23.5577577477881</v>
      </c>
      <c r="J328">
        <v>20.684064</v>
      </c>
      <c r="K328">
        <v>6.93309931742621</v>
      </c>
      <c r="L328">
        <f t="shared" si="31"/>
        <v>1.7167192868881</v>
      </c>
      <c r="O328">
        <v>34.7848</v>
      </c>
      <c r="P328">
        <v>4.12262453715416</v>
      </c>
      <c r="Q328">
        <f t="shared" si="32"/>
        <v>2.88704081802035</v>
      </c>
      <c r="T328">
        <v>0.022128</v>
      </c>
      <c r="U328">
        <v>6.48068826825741</v>
      </c>
      <c r="V328">
        <f t="shared" si="33"/>
        <v>1.83656192420696</v>
      </c>
      <c r="Y328">
        <v>8659.085877</v>
      </c>
      <c r="Z328">
        <v>8.659085877</v>
      </c>
      <c r="AA328">
        <v>1.37453138647701</v>
      </c>
      <c r="AD328">
        <v>0.00150837</v>
      </c>
      <c r="AE328">
        <v>95.0726081796907</v>
      </c>
      <c r="AF328">
        <f t="shared" si="34"/>
        <v>0.125190478561824</v>
      </c>
      <c r="AI328">
        <v>12.0486</v>
      </c>
      <c r="AJ328">
        <v>11.9021853161363</v>
      </c>
    </row>
    <row r="329" spans="1:36">
      <c r="A329">
        <f t="shared" si="35"/>
        <v>328</v>
      </c>
      <c r="B329" t="s">
        <v>356</v>
      </c>
      <c r="C329">
        <v>143404670</v>
      </c>
      <c r="E329">
        <v>282.902</v>
      </c>
      <c r="F329">
        <v>0.506905818976182</v>
      </c>
      <c r="G329">
        <f t="shared" si="30"/>
        <v>21.75616958772</v>
      </c>
      <c r="J329">
        <v>31.562873</v>
      </c>
      <c r="K329">
        <v>4.54346060322202</v>
      </c>
      <c r="L329">
        <f t="shared" si="31"/>
        <v>2.42729714764713</v>
      </c>
      <c r="O329">
        <v>34.5717</v>
      </c>
      <c r="P329">
        <v>4.14803639971422</v>
      </c>
      <c r="Q329">
        <f t="shared" si="32"/>
        <v>2.6586866410834</v>
      </c>
      <c r="T329">
        <v>0.02216</v>
      </c>
      <c r="U329">
        <v>6.47132987364621</v>
      </c>
      <c r="V329">
        <f t="shared" si="33"/>
        <v>1.70418278437011</v>
      </c>
      <c r="Y329">
        <v>9809.053566</v>
      </c>
      <c r="Z329">
        <v>9.809053566</v>
      </c>
      <c r="AA329">
        <v>1.1243010233805</v>
      </c>
      <c r="AD329">
        <v>0.00148902</v>
      </c>
      <c r="AE329">
        <v>96.3080885414568</v>
      </c>
      <c r="AF329">
        <f t="shared" si="34"/>
        <v>0.114510931840379</v>
      </c>
      <c r="AI329">
        <v>13.0033</v>
      </c>
      <c r="AJ329">
        <v>11.0283289626479</v>
      </c>
    </row>
    <row r="330" spans="1:36">
      <c r="A330">
        <f t="shared" si="35"/>
        <v>329</v>
      </c>
      <c r="B330" t="s">
        <v>357</v>
      </c>
      <c r="C330">
        <v>42805332</v>
      </c>
      <c r="E330">
        <v>13.075</v>
      </c>
      <c r="F330">
        <v>3.27383036328872</v>
      </c>
      <c r="G330">
        <f t="shared" si="30"/>
        <v>24.2714842082205</v>
      </c>
      <c r="J330">
        <v>1.445524</v>
      </c>
      <c r="K330">
        <v>29.6123288164015</v>
      </c>
      <c r="L330">
        <f t="shared" si="31"/>
        <v>2.68336619033299</v>
      </c>
      <c r="O330">
        <v>3.9529</v>
      </c>
      <c r="P330">
        <v>10.8288426218725</v>
      </c>
      <c r="Q330">
        <f t="shared" si="32"/>
        <v>7.3378776234551</v>
      </c>
      <c r="T330">
        <v>0.003366</v>
      </c>
      <c r="U330">
        <v>12.7169732620321</v>
      </c>
      <c r="V330">
        <f t="shared" si="33"/>
        <v>6.2483989173897</v>
      </c>
      <c r="Y330">
        <v>47819.92813</v>
      </c>
      <c r="Z330">
        <v>47.81992813</v>
      </c>
      <c r="AA330">
        <v>1.66166544096299</v>
      </c>
      <c r="AD330">
        <v>0.00824014</v>
      </c>
      <c r="AE330">
        <v>5.19473358462356</v>
      </c>
      <c r="AF330">
        <f t="shared" si="34"/>
        <v>15.2963998381282</v>
      </c>
      <c r="AI330">
        <v>0.538698</v>
      </c>
      <c r="AJ330">
        <v>79.4607219629551</v>
      </c>
    </row>
    <row r="331" spans="1:36">
      <c r="A331">
        <f t="shared" si="35"/>
        <v>330</v>
      </c>
      <c r="B331" t="s">
        <v>358</v>
      </c>
      <c r="C331">
        <v>64527332</v>
      </c>
      <c r="E331">
        <v>24.588</v>
      </c>
      <c r="F331">
        <v>2.62434244346836</v>
      </c>
      <c r="G331">
        <f t="shared" si="30"/>
        <v>21.5839463473726</v>
      </c>
      <c r="J331">
        <v>1.954001</v>
      </c>
      <c r="K331">
        <v>33.0231826902852</v>
      </c>
      <c r="L331">
        <f t="shared" si="31"/>
        <v>1.71526975543812</v>
      </c>
      <c r="O331">
        <v>6.0617</v>
      </c>
      <c r="P331">
        <v>10.6450883415543</v>
      </c>
      <c r="Q331">
        <f t="shared" si="32"/>
        <v>5.32110816552259</v>
      </c>
      <c r="T331">
        <v>0.002789</v>
      </c>
      <c r="U331">
        <v>23.1363685908928</v>
      </c>
      <c r="V331">
        <f t="shared" si="33"/>
        <v>2.44825225161958</v>
      </c>
      <c r="Y331">
        <v>34433.519329</v>
      </c>
      <c r="Z331">
        <v>34.433519329</v>
      </c>
      <c r="AA331">
        <v>1.64501531068445</v>
      </c>
      <c r="AD331">
        <v>0.0118438</v>
      </c>
      <c r="AE331">
        <v>5.44819500498151</v>
      </c>
      <c r="AF331">
        <f t="shared" si="34"/>
        <v>10.3967766288032</v>
      </c>
      <c r="AI331">
        <v>1.13918</v>
      </c>
      <c r="AJ331">
        <v>56.6436664969539</v>
      </c>
    </row>
    <row r="332" spans="1:36">
      <c r="A332">
        <f t="shared" si="35"/>
        <v>331</v>
      </c>
      <c r="B332" t="s">
        <v>359</v>
      </c>
      <c r="C332">
        <v>4527402</v>
      </c>
      <c r="E332">
        <v>8.831</v>
      </c>
      <c r="F332">
        <v>0.512671498131582</v>
      </c>
      <c r="G332">
        <f t="shared" si="30"/>
        <v>5.38176987159564</v>
      </c>
      <c r="J332">
        <v>1.468356</v>
      </c>
      <c r="K332">
        <v>3.08331358335444</v>
      </c>
      <c r="L332">
        <f t="shared" si="31"/>
        <v>0.894842495932138</v>
      </c>
      <c r="O332">
        <v>4.8327</v>
      </c>
      <c r="P332">
        <v>0.936826618660376</v>
      </c>
      <c r="Q332">
        <f t="shared" si="32"/>
        <v>2.94513410241878</v>
      </c>
      <c r="T332">
        <v>0.00349</v>
      </c>
      <c r="U332">
        <v>1.29724985673352</v>
      </c>
      <c r="V332">
        <f t="shared" si="33"/>
        <v>2.12686862777362</v>
      </c>
      <c r="Y332">
        <v>1284.431643</v>
      </c>
      <c r="Z332">
        <v>1.284431643</v>
      </c>
      <c r="AA332">
        <v>2.14809409103786</v>
      </c>
      <c r="AD332">
        <v>0.00215328</v>
      </c>
      <c r="AE332">
        <v>2.10256074453856</v>
      </c>
      <c r="AF332">
        <f t="shared" si="34"/>
        <v>1.31224747243908</v>
      </c>
      <c r="AI332">
        <v>1.64091</v>
      </c>
      <c r="AJ332">
        <v>2.75908002267035</v>
      </c>
    </row>
    <row r="333" spans="1:36">
      <c r="A333">
        <f t="shared" si="35"/>
        <v>332</v>
      </c>
      <c r="B333" t="s">
        <v>360</v>
      </c>
      <c r="C333">
        <v>19992960</v>
      </c>
      <c r="E333">
        <v>14.229</v>
      </c>
      <c r="F333">
        <v>1.40508538899431</v>
      </c>
      <c r="G333">
        <f t="shared" si="30"/>
        <v>17.2781430094496</v>
      </c>
      <c r="J333">
        <v>1.045281</v>
      </c>
      <c r="K333">
        <v>19.1268759309698</v>
      </c>
      <c r="L333">
        <f t="shared" si="31"/>
        <v>1.26927504413947</v>
      </c>
      <c r="O333">
        <v>7.4513</v>
      </c>
      <c r="P333">
        <v>2.68315059117201</v>
      </c>
      <c r="Q333">
        <f t="shared" si="32"/>
        <v>9.04804462761347</v>
      </c>
      <c r="T333">
        <v>0.003065</v>
      </c>
      <c r="U333">
        <v>6.52298858075041</v>
      </c>
      <c r="V333">
        <f t="shared" si="33"/>
        <v>3.72180113317612</v>
      </c>
      <c r="Y333">
        <v>16048.587364</v>
      </c>
      <c r="Z333">
        <v>16.048587364</v>
      </c>
      <c r="AA333">
        <v>1.51273540411353</v>
      </c>
      <c r="AD333">
        <v>0.00815068</v>
      </c>
      <c r="AE333">
        <v>2.45291926563182</v>
      </c>
      <c r="AF333">
        <f t="shared" si="34"/>
        <v>9.89729528879479</v>
      </c>
      <c r="AI333">
        <v>0.823526</v>
      </c>
      <c r="AJ333">
        <v>24.2772662915318</v>
      </c>
    </row>
    <row r="334" spans="1:36">
      <c r="A334">
        <f t="shared" si="35"/>
        <v>333</v>
      </c>
      <c r="B334" t="s">
        <v>361</v>
      </c>
      <c r="C334">
        <v>4960296</v>
      </c>
      <c r="E334">
        <v>7.803</v>
      </c>
      <c r="F334">
        <v>0.635690888119954</v>
      </c>
      <c r="G334">
        <f t="shared" si="30"/>
        <v>9.93436925094371</v>
      </c>
      <c r="J334">
        <v>0.887341</v>
      </c>
      <c r="K334">
        <v>5.59006740362499</v>
      </c>
      <c r="L334">
        <f t="shared" si="31"/>
        <v>1.12971589715515</v>
      </c>
      <c r="O334">
        <v>5.9885</v>
      </c>
      <c r="P334">
        <v>0.828303581865242</v>
      </c>
      <c r="Q334">
        <f t="shared" si="32"/>
        <v>7.62424327300736</v>
      </c>
      <c r="T334">
        <v>0.003078</v>
      </c>
      <c r="U334">
        <v>1.61153216374269</v>
      </c>
      <c r="V334">
        <f t="shared" si="33"/>
        <v>3.91874773220617</v>
      </c>
      <c r="Y334">
        <v>6722.882505</v>
      </c>
      <c r="Z334">
        <v>6.722882505</v>
      </c>
      <c r="AA334">
        <v>0.939357189025271</v>
      </c>
      <c r="AD334">
        <v>0.00468564</v>
      </c>
      <c r="AE334">
        <v>1.05861653904269</v>
      </c>
      <c r="AF334">
        <f t="shared" si="34"/>
        <v>5.96551043662591</v>
      </c>
      <c r="AI334">
        <v>0.785455</v>
      </c>
      <c r="AJ334">
        <v>6.31518801204397</v>
      </c>
    </row>
    <row r="335" spans="1:36">
      <c r="A335">
        <f t="shared" si="35"/>
        <v>334</v>
      </c>
      <c r="B335" t="s">
        <v>362</v>
      </c>
      <c r="C335">
        <v>15522442</v>
      </c>
      <c r="E335">
        <v>11.714</v>
      </c>
      <c r="F335">
        <v>1.32511883216664</v>
      </c>
      <c r="G335">
        <f t="shared" si="30"/>
        <v>8.2245064172775</v>
      </c>
      <c r="J335">
        <v>0.971396</v>
      </c>
      <c r="K335">
        <v>15.9795201956771</v>
      </c>
      <c r="L335">
        <f t="shared" si="31"/>
        <v>0.682026006122395</v>
      </c>
      <c r="O335">
        <v>4.9949</v>
      </c>
      <c r="P335">
        <v>3.1076582113756</v>
      </c>
      <c r="Q335">
        <f t="shared" si="32"/>
        <v>3.50696492262758</v>
      </c>
      <c r="T335">
        <v>0.002909</v>
      </c>
      <c r="U335">
        <v>5.33600618769337</v>
      </c>
      <c r="V335">
        <f t="shared" si="33"/>
        <v>2.04243547617042</v>
      </c>
      <c r="Y335">
        <v>13993.29077</v>
      </c>
      <c r="Z335">
        <v>13.99329077</v>
      </c>
      <c r="AA335">
        <v>0.778833836725155</v>
      </c>
      <c r="AD335">
        <v>0.00340976</v>
      </c>
      <c r="AE335">
        <v>4.55235617756088</v>
      </c>
      <c r="AF335">
        <f t="shared" si="34"/>
        <v>2.3940236470357</v>
      </c>
      <c r="AI335">
        <v>1.42428</v>
      </c>
      <c r="AJ335">
        <v>10.8984483388098</v>
      </c>
    </row>
    <row r="336" spans="1:36">
      <c r="A336">
        <f t="shared" si="35"/>
        <v>335</v>
      </c>
      <c r="B336" t="s">
        <v>363</v>
      </c>
      <c r="C336">
        <v>48301476</v>
      </c>
      <c r="E336">
        <v>14.515</v>
      </c>
      <c r="F336">
        <v>3.32769383396486</v>
      </c>
      <c r="G336">
        <f t="shared" si="30"/>
        <v>22.6174189185399</v>
      </c>
      <c r="J336">
        <v>1.506496</v>
      </c>
      <c r="K336">
        <v>32.0621335868134</v>
      </c>
      <c r="L336">
        <f t="shared" si="31"/>
        <v>2.34743721192592</v>
      </c>
      <c r="O336">
        <v>4.2322</v>
      </c>
      <c r="P336">
        <v>11.41285288975</v>
      </c>
      <c r="Q336">
        <f t="shared" si="32"/>
        <v>6.59465658608644</v>
      </c>
      <c r="T336">
        <v>0.002509</v>
      </c>
      <c r="U336">
        <v>19.2512857712236</v>
      </c>
      <c r="V336">
        <f t="shared" si="33"/>
        <v>3.90954902284648</v>
      </c>
      <c r="Y336">
        <v>50538.41994</v>
      </c>
      <c r="Z336">
        <v>50.53841994</v>
      </c>
      <c r="AA336">
        <v>1.48924017736961</v>
      </c>
      <c r="AD336">
        <v>0.00754896</v>
      </c>
      <c r="AE336">
        <v>6.39842786291092</v>
      </c>
      <c r="AF336">
        <f t="shared" si="34"/>
        <v>11.7628653613022</v>
      </c>
      <c r="AI336">
        <v>0.641762</v>
      </c>
      <c r="AJ336">
        <v>75.2638454754255</v>
      </c>
    </row>
    <row r="337" spans="1:36">
      <c r="A337">
        <f t="shared" si="35"/>
        <v>336</v>
      </c>
      <c r="B337" t="s">
        <v>364</v>
      </c>
      <c r="C337">
        <v>1809439090</v>
      </c>
      <c r="E337">
        <v>2312.295</v>
      </c>
      <c r="F337">
        <v>0.782529517211256</v>
      </c>
      <c r="G337">
        <f t="shared" si="30"/>
        <v>9.21016573793411</v>
      </c>
      <c r="J337">
        <v>217.695451</v>
      </c>
      <c r="K337">
        <v>8.31179099833372</v>
      </c>
      <c r="L337">
        <f t="shared" si="31"/>
        <v>0.867108731413732</v>
      </c>
      <c r="O337">
        <v>467.02</v>
      </c>
      <c r="P337">
        <v>3.87443597704595</v>
      </c>
      <c r="Q337">
        <f t="shared" si="32"/>
        <v>1.86020019198675</v>
      </c>
      <c r="T337">
        <v>0.197875</v>
      </c>
      <c r="U337">
        <v>9.14435421351864</v>
      </c>
      <c r="V337">
        <f t="shared" si="33"/>
        <v>0.788161348527637</v>
      </c>
      <c r="Y337">
        <v>9815.953605</v>
      </c>
      <c r="Z337">
        <v>9.815953605</v>
      </c>
      <c r="AA337">
        <v>0.734236003791832</v>
      </c>
      <c r="AD337">
        <v>0.392068</v>
      </c>
      <c r="AE337">
        <v>4.61511546466429</v>
      </c>
      <c r="AF337">
        <f t="shared" si="34"/>
        <v>1.56165682170327</v>
      </c>
      <c r="AI337">
        <v>251.059</v>
      </c>
      <c r="AJ337">
        <v>7.20722654834123</v>
      </c>
    </row>
    <row r="338" spans="1:36">
      <c r="A338">
        <f t="shared" si="35"/>
        <v>337</v>
      </c>
      <c r="B338" t="s">
        <v>365</v>
      </c>
      <c r="C338">
        <v>1762440102</v>
      </c>
      <c r="E338">
        <v>1484.317</v>
      </c>
      <c r="F338">
        <v>1.18737446381063</v>
      </c>
      <c r="G338">
        <f t="shared" si="30"/>
        <v>6.49202447547858</v>
      </c>
      <c r="J338">
        <v>194.470686</v>
      </c>
      <c r="K338">
        <v>9.06275458914152</v>
      </c>
      <c r="L338">
        <f t="shared" si="31"/>
        <v>0.850565245345241</v>
      </c>
      <c r="O338">
        <v>460.7682</v>
      </c>
      <c r="P338">
        <v>3.8250037697914</v>
      </c>
      <c r="Q338">
        <f t="shared" si="32"/>
        <v>2.01528274076374</v>
      </c>
      <c r="T338">
        <v>0.198392</v>
      </c>
      <c r="U338">
        <v>8.88362485382475</v>
      </c>
      <c r="V338">
        <f t="shared" si="33"/>
        <v>0.867716073951285</v>
      </c>
      <c r="Y338">
        <v>9446.01972</v>
      </c>
      <c r="Z338">
        <v>9.44601972</v>
      </c>
      <c r="AA338">
        <v>0.816054201569766</v>
      </c>
      <c r="AD338">
        <v>0.382832</v>
      </c>
      <c r="AE338">
        <v>4.60369065804321</v>
      </c>
      <c r="AF338">
        <f t="shared" si="34"/>
        <v>1.67440965373059</v>
      </c>
      <c r="AI338">
        <v>228.637</v>
      </c>
      <c r="AJ338">
        <v>7.70846408061687</v>
      </c>
    </row>
    <row r="339" spans="1:36">
      <c r="A339">
        <f t="shared" si="35"/>
        <v>338</v>
      </c>
      <c r="B339" t="s">
        <v>366</v>
      </c>
      <c r="C339">
        <v>1809439090</v>
      </c>
      <c r="E339">
        <v>2304.118</v>
      </c>
      <c r="F339">
        <v>0.785306607560897</v>
      </c>
      <c r="G339">
        <f t="shared" si="30"/>
        <v>11.682154192482</v>
      </c>
      <c r="J339">
        <v>297.87643</v>
      </c>
      <c r="K339">
        <v>6.07446211840259</v>
      </c>
      <c r="L339">
        <f t="shared" si="31"/>
        <v>1.51026917265786</v>
      </c>
      <c r="O339">
        <v>469.1632</v>
      </c>
      <c r="P339">
        <v>3.85673703734649</v>
      </c>
      <c r="Q339">
        <f t="shared" si="32"/>
        <v>2.37871360921545</v>
      </c>
      <c r="T339">
        <v>0.201109</v>
      </c>
      <c r="U339">
        <v>8.99730539160356</v>
      </c>
      <c r="V339">
        <f t="shared" si="33"/>
        <v>1.01964671405539</v>
      </c>
      <c r="Y339">
        <v>9816.323663</v>
      </c>
      <c r="Z339">
        <v>9.816323663</v>
      </c>
      <c r="AA339">
        <v>0.934573185731496</v>
      </c>
      <c r="AD339">
        <v>0.365524</v>
      </c>
      <c r="AE339">
        <v>4.95026069423622</v>
      </c>
      <c r="AF339">
        <f t="shared" si="34"/>
        <v>1.85325045377572</v>
      </c>
      <c r="AI339">
        <v>197.234</v>
      </c>
      <c r="AJ339">
        <v>9.17407287790138</v>
      </c>
    </row>
    <row r="340" spans="1:36">
      <c r="A340">
        <f t="shared" si="35"/>
        <v>339</v>
      </c>
      <c r="B340" t="s">
        <v>367</v>
      </c>
      <c r="C340">
        <v>57801612</v>
      </c>
      <c r="E340">
        <v>146.645</v>
      </c>
      <c r="F340">
        <v>0.394160128200757</v>
      </c>
      <c r="G340">
        <f t="shared" si="30"/>
        <v>16.6938361045401</v>
      </c>
      <c r="J340">
        <v>18.205627</v>
      </c>
      <c r="K340">
        <v>3.17493113530229</v>
      </c>
      <c r="L340">
        <f t="shared" si="31"/>
        <v>2.07249993738886</v>
      </c>
      <c r="O340">
        <v>21.1912</v>
      </c>
      <c r="P340">
        <v>2.72762335308996</v>
      </c>
      <c r="Q340">
        <f t="shared" si="32"/>
        <v>2.41237287093682</v>
      </c>
      <c r="T340">
        <v>0.012539</v>
      </c>
      <c r="U340">
        <v>4.60974655076162</v>
      </c>
      <c r="V340">
        <f t="shared" si="33"/>
        <v>1.42742003419706</v>
      </c>
      <c r="Y340">
        <v>10345.498722</v>
      </c>
      <c r="Z340">
        <v>10.345498722</v>
      </c>
      <c r="AA340">
        <v>0.636029712626158</v>
      </c>
      <c r="AD340">
        <v>0.00158984</v>
      </c>
      <c r="AE340">
        <v>36.3568736476627</v>
      </c>
      <c r="AF340">
        <f t="shared" si="34"/>
        <v>0.180984884533683</v>
      </c>
      <c r="AI340">
        <v>8.78438</v>
      </c>
      <c r="AJ340">
        <v>6.58004457912795</v>
      </c>
    </row>
    <row r="341" spans="1:36">
      <c r="A341">
        <f t="shared" si="35"/>
        <v>340</v>
      </c>
      <c r="B341" t="s">
        <v>368</v>
      </c>
      <c r="C341">
        <v>23587180</v>
      </c>
      <c r="E341">
        <v>66.803</v>
      </c>
      <c r="F341">
        <v>0.353085639866473</v>
      </c>
      <c r="G341">
        <f t="shared" si="30"/>
        <v>14.1435890921409</v>
      </c>
      <c r="J341">
        <v>19.085349</v>
      </c>
      <c r="K341">
        <v>1.23587889328091</v>
      </c>
      <c r="L341">
        <f t="shared" si="31"/>
        <v>4.04076664126018</v>
      </c>
      <c r="O341">
        <v>16.5728</v>
      </c>
      <c r="P341">
        <v>1.42324652442556</v>
      </c>
      <c r="Q341">
        <f t="shared" si="32"/>
        <v>3.50880758807589</v>
      </c>
      <c r="T341">
        <v>0.008069</v>
      </c>
      <c r="U341">
        <v>2.92318502912381</v>
      </c>
      <c r="V341">
        <f t="shared" si="33"/>
        <v>1.70837567750677</v>
      </c>
      <c r="Y341">
        <v>6564.195682</v>
      </c>
      <c r="Z341">
        <v>6.564195682</v>
      </c>
      <c r="AA341">
        <v>0.760778387259396</v>
      </c>
      <c r="AD341">
        <v>0.00226205</v>
      </c>
      <c r="AE341">
        <v>10.4273468756217</v>
      </c>
      <c r="AF341">
        <f t="shared" si="34"/>
        <v>0.478923187669376</v>
      </c>
      <c r="AI341">
        <v>4.7232</v>
      </c>
      <c r="AJ341">
        <v>4.99389820460705</v>
      </c>
    </row>
    <row r="342" spans="1:36">
      <c r="A342">
        <f t="shared" si="35"/>
        <v>341</v>
      </c>
      <c r="B342" t="s">
        <v>369</v>
      </c>
      <c r="C342">
        <v>38173744</v>
      </c>
      <c r="E342">
        <v>23.632</v>
      </c>
      <c r="F342">
        <v>1.61534123222749</v>
      </c>
      <c r="G342">
        <f t="shared" si="30"/>
        <v>13.0116395590842</v>
      </c>
      <c r="J342">
        <v>1.742275</v>
      </c>
      <c r="K342">
        <v>21.9102862636495</v>
      </c>
      <c r="L342">
        <f t="shared" si="31"/>
        <v>0.959286319939217</v>
      </c>
      <c r="O342">
        <v>6.4647</v>
      </c>
      <c r="P342">
        <v>5.90495212461522</v>
      </c>
      <c r="Q342">
        <f t="shared" si="32"/>
        <v>3.55942562024424</v>
      </c>
      <c r="T342">
        <v>0.004456</v>
      </c>
      <c r="U342">
        <v>8.56681867145422</v>
      </c>
      <c r="V342">
        <f t="shared" si="33"/>
        <v>2.4534472696039</v>
      </c>
      <c r="Y342">
        <v>12743.354696</v>
      </c>
      <c r="Z342">
        <v>12.743354696</v>
      </c>
      <c r="AA342">
        <v>1.64934888654308</v>
      </c>
      <c r="AD342">
        <v>0.0120074</v>
      </c>
      <c r="AE342">
        <v>3.17918483601779</v>
      </c>
      <c r="AF342">
        <f t="shared" si="34"/>
        <v>6.61120348856416</v>
      </c>
      <c r="AI342">
        <v>1.81622</v>
      </c>
      <c r="AJ342">
        <v>21.0182378786711</v>
      </c>
    </row>
    <row r="343" spans="1:36">
      <c r="A343">
        <f t="shared" si="35"/>
        <v>342</v>
      </c>
      <c r="B343" t="s">
        <v>370</v>
      </c>
      <c r="C343">
        <v>32169814</v>
      </c>
      <c r="E343">
        <v>43.378</v>
      </c>
      <c r="F343">
        <v>0.741615888238278</v>
      </c>
      <c r="G343">
        <f t="shared" si="30"/>
        <v>21.2585150698358</v>
      </c>
      <c r="J343">
        <v>2.056564</v>
      </c>
      <c r="K343">
        <v>15.6425056550635</v>
      </c>
      <c r="L343">
        <f t="shared" si="31"/>
        <v>1.00787258024994</v>
      </c>
      <c r="O343">
        <v>8.5216</v>
      </c>
      <c r="P343">
        <v>3.77509082801352</v>
      </c>
      <c r="Q343">
        <f t="shared" si="32"/>
        <v>4.17623131585396</v>
      </c>
      <c r="T343">
        <v>0.003783</v>
      </c>
      <c r="U343">
        <v>8.50378376949511</v>
      </c>
      <c r="V343">
        <f t="shared" si="33"/>
        <v>1.85395736339133</v>
      </c>
      <c r="Y343">
        <v>14146.122206</v>
      </c>
      <c r="Z343">
        <v>14.146122206</v>
      </c>
      <c r="AA343">
        <v>1.11448581502118</v>
      </c>
      <c r="AD343">
        <v>0.0149429</v>
      </c>
      <c r="AE343">
        <v>2.15284944689451</v>
      </c>
      <c r="AF343">
        <f t="shared" si="34"/>
        <v>7.32315608919383</v>
      </c>
      <c r="AI343">
        <v>2.0405</v>
      </c>
      <c r="AJ343">
        <v>15.7656525361431</v>
      </c>
    </row>
    <row r="344" spans="1:36">
      <c r="A344">
        <f t="shared" si="35"/>
        <v>343</v>
      </c>
      <c r="B344" t="s">
        <v>371</v>
      </c>
      <c r="C344">
        <v>32169814</v>
      </c>
      <c r="E344">
        <v>40.935</v>
      </c>
      <c r="F344">
        <v>0.785875509954806</v>
      </c>
      <c r="G344">
        <f t="shared" si="30"/>
        <v>17.9021254263973</v>
      </c>
      <c r="J344">
        <v>3.152572</v>
      </c>
      <c r="K344">
        <v>10.204307467046</v>
      </c>
      <c r="L344">
        <f t="shared" si="31"/>
        <v>1.37871599755095</v>
      </c>
      <c r="O344">
        <v>8.1483</v>
      </c>
      <c r="P344">
        <v>3.9480399592553</v>
      </c>
      <c r="Q344">
        <f t="shared" si="32"/>
        <v>3.56350039359749</v>
      </c>
      <c r="T344">
        <v>0.004203</v>
      </c>
      <c r="U344">
        <v>7.65401237211516</v>
      </c>
      <c r="V344">
        <f t="shared" si="33"/>
        <v>1.83810023615849</v>
      </c>
      <c r="Y344">
        <v>14234.349569</v>
      </c>
      <c r="Z344">
        <v>14.234349569</v>
      </c>
      <c r="AA344">
        <v>0.988372660130847</v>
      </c>
      <c r="AD344">
        <v>0.0146394</v>
      </c>
      <c r="AE344">
        <v>2.1974817273932</v>
      </c>
      <c r="AF344">
        <f t="shared" si="34"/>
        <v>6.40225662555761</v>
      </c>
      <c r="AI344">
        <v>2.2866</v>
      </c>
      <c r="AJ344">
        <v>14.0688419487449</v>
      </c>
    </row>
    <row r="345" spans="1:36">
      <c r="A345">
        <f t="shared" si="35"/>
        <v>344</v>
      </c>
      <c r="B345" t="s">
        <v>372</v>
      </c>
      <c r="C345">
        <v>4204944</v>
      </c>
      <c r="E345">
        <v>5.806</v>
      </c>
      <c r="F345">
        <v>0.724241129865656</v>
      </c>
      <c r="G345">
        <f t="shared" si="30"/>
        <v>7.11625130687271</v>
      </c>
      <c r="J345">
        <v>1.047607</v>
      </c>
      <c r="K345">
        <v>4.01385634116611</v>
      </c>
      <c r="L345">
        <f t="shared" si="31"/>
        <v>1.28402250823958</v>
      </c>
      <c r="O345">
        <v>3.6614</v>
      </c>
      <c r="P345">
        <v>1.14845250450647</v>
      </c>
      <c r="Q345">
        <f t="shared" si="32"/>
        <v>4.4876752557671</v>
      </c>
      <c r="T345">
        <v>0.00304</v>
      </c>
      <c r="U345">
        <v>1.38320526315789</v>
      </c>
      <c r="V345">
        <f t="shared" si="33"/>
        <v>3.72604270976457</v>
      </c>
      <c r="Y345">
        <v>6245.247607</v>
      </c>
      <c r="Z345">
        <v>6.245247607</v>
      </c>
      <c r="AA345">
        <v>0.825248606815957</v>
      </c>
      <c r="AD345">
        <v>0.0159915</v>
      </c>
      <c r="AE345">
        <v>0.262948691492355</v>
      </c>
      <c r="AF345">
        <f t="shared" si="34"/>
        <v>19.6003328925</v>
      </c>
      <c r="AI345">
        <v>0.815879</v>
      </c>
      <c r="AJ345">
        <v>5.15388188689744</v>
      </c>
    </row>
    <row r="346" spans="1:36">
      <c r="A346">
        <f t="shared" si="35"/>
        <v>345</v>
      </c>
      <c r="B346" t="s">
        <v>373</v>
      </c>
      <c r="C346">
        <v>52600628</v>
      </c>
      <c r="E346">
        <v>15.893</v>
      </c>
      <c r="F346">
        <v>3.30967268608821</v>
      </c>
      <c r="G346">
        <f t="shared" si="30"/>
        <v>24.0414360420351</v>
      </c>
      <c r="J346">
        <v>1.6032</v>
      </c>
      <c r="K346">
        <v>32.8097729540918</v>
      </c>
      <c r="L346">
        <f t="shared" si="31"/>
        <v>2.4251702172397</v>
      </c>
      <c r="O346">
        <v>4.5567</v>
      </c>
      <c r="P346">
        <v>11.5435793447012</v>
      </c>
      <c r="Q346">
        <f t="shared" si="32"/>
        <v>6.89294731093823</v>
      </c>
      <c r="T346">
        <v>0.00257</v>
      </c>
      <c r="U346">
        <v>20.4671704280156</v>
      </c>
      <c r="V346">
        <f t="shared" si="33"/>
        <v>3.8876543527358</v>
      </c>
      <c r="Y346">
        <v>50629.171926</v>
      </c>
      <c r="Z346">
        <v>50.629171926</v>
      </c>
      <c r="AA346">
        <v>1.57160943337093</v>
      </c>
      <c r="AD346">
        <v>0.0250886</v>
      </c>
      <c r="AE346">
        <v>2.09659478807108</v>
      </c>
      <c r="AF346">
        <f t="shared" si="34"/>
        <v>37.95167509496</v>
      </c>
      <c r="AI346">
        <v>0.661067</v>
      </c>
      <c r="AJ346">
        <v>79.5692842026602</v>
      </c>
    </row>
    <row r="347" spans="1:36">
      <c r="A347">
        <f t="shared" si="35"/>
        <v>346</v>
      </c>
      <c r="B347" t="s">
        <v>374</v>
      </c>
      <c r="C347">
        <v>51970628</v>
      </c>
      <c r="E347">
        <v>19.474</v>
      </c>
      <c r="F347">
        <v>2.66871870185889</v>
      </c>
      <c r="G347">
        <f t="shared" si="30"/>
        <v>12.3644444444444</v>
      </c>
      <c r="J347">
        <v>3.481631</v>
      </c>
      <c r="K347">
        <v>14.9270925034847</v>
      </c>
      <c r="L347">
        <f t="shared" si="31"/>
        <v>2.21055936507937</v>
      </c>
      <c r="O347">
        <v>6.2801</v>
      </c>
      <c r="P347">
        <v>8.27544593238961</v>
      </c>
      <c r="Q347">
        <f t="shared" si="32"/>
        <v>3.98736507936508</v>
      </c>
      <c r="T347">
        <v>0.003408</v>
      </c>
      <c r="U347">
        <v>15.2495974178404</v>
      </c>
      <c r="V347">
        <f t="shared" si="33"/>
        <v>2.16380952380952</v>
      </c>
      <c r="Y347">
        <v>25085.238825</v>
      </c>
      <c r="Z347">
        <v>25.085238825</v>
      </c>
      <c r="AA347">
        <v>1.31540402533856</v>
      </c>
      <c r="AD347">
        <v>0.0110348</v>
      </c>
      <c r="AE347">
        <v>4.70970275854569</v>
      </c>
      <c r="AF347">
        <f t="shared" si="34"/>
        <v>7.00622222222222</v>
      </c>
      <c r="AI347">
        <v>1.575</v>
      </c>
      <c r="AJ347">
        <v>32.9972241269841</v>
      </c>
    </row>
    <row r="348" spans="1:36">
      <c r="A348">
        <f t="shared" si="35"/>
        <v>347</v>
      </c>
      <c r="B348" t="s">
        <v>375</v>
      </c>
      <c r="C348">
        <v>92140016</v>
      </c>
      <c r="E348">
        <v>41.875</v>
      </c>
      <c r="F348">
        <v>2.20035859104478</v>
      </c>
      <c r="G348">
        <f t="shared" si="30"/>
        <v>23.7809933782356</v>
      </c>
      <c r="J348">
        <v>7.55342</v>
      </c>
      <c r="K348">
        <v>12.1984499736543</v>
      </c>
      <c r="L348">
        <f t="shared" si="31"/>
        <v>4.28961984484854</v>
      </c>
      <c r="O348">
        <v>6.5067</v>
      </c>
      <c r="P348">
        <v>14.1607905697204</v>
      </c>
      <c r="Q348">
        <f t="shared" si="32"/>
        <v>3.69518303556218</v>
      </c>
      <c r="T348">
        <v>0.003918</v>
      </c>
      <c r="U348">
        <v>23.5171046452272</v>
      </c>
      <c r="V348">
        <f t="shared" si="33"/>
        <v>2.22504912372363</v>
      </c>
      <c r="Y348">
        <v>33411.909597</v>
      </c>
      <c r="Z348">
        <v>33.411909597</v>
      </c>
      <c r="AA348">
        <v>1.56610962122554</v>
      </c>
      <c r="AD348">
        <v>0.0152865</v>
      </c>
      <c r="AE348">
        <v>6.02754168710954</v>
      </c>
      <c r="AF348">
        <f t="shared" si="34"/>
        <v>8.6812693797349</v>
      </c>
      <c r="AI348">
        <v>1.76086</v>
      </c>
      <c r="AJ348">
        <v>52.3267130833797</v>
      </c>
    </row>
    <row r="349" spans="1:36">
      <c r="A349">
        <f t="shared" si="35"/>
        <v>348</v>
      </c>
      <c r="B349" t="s">
        <v>376</v>
      </c>
      <c r="C349">
        <v>8488384</v>
      </c>
      <c r="E349">
        <v>18.093</v>
      </c>
      <c r="F349">
        <v>0.469152932073177</v>
      </c>
      <c r="G349">
        <f t="shared" si="30"/>
        <v>6.17118883981105</v>
      </c>
      <c r="J349">
        <v>2.071888</v>
      </c>
      <c r="K349">
        <v>4.09693188048775</v>
      </c>
      <c r="L349">
        <f t="shared" si="31"/>
        <v>0.706682811194297</v>
      </c>
      <c r="O349">
        <v>10.5702</v>
      </c>
      <c r="P349">
        <v>0.803048570509546</v>
      </c>
      <c r="Q349">
        <f t="shared" si="32"/>
        <v>3.60530040759247</v>
      </c>
      <c r="T349">
        <v>0.004892</v>
      </c>
      <c r="U349">
        <v>1.73515617334424</v>
      </c>
      <c r="V349">
        <f t="shared" si="33"/>
        <v>1.66857103876392</v>
      </c>
      <c r="Y349">
        <v>2711.860747</v>
      </c>
      <c r="Z349">
        <v>2.711860747</v>
      </c>
      <c r="AA349">
        <v>1.06761799689659</v>
      </c>
      <c r="AD349">
        <v>0.00335033</v>
      </c>
      <c r="AE349">
        <v>2.53359639199721</v>
      </c>
      <c r="AF349">
        <f t="shared" si="34"/>
        <v>1.14273581527022</v>
      </c>
      <c r="AI349">
        <v>2.93185</v>
      </c>
      <c r="AJ349">
        <v>2.89523133857462</v>
      </c>
    </row>
    <row r="350" spans="1:36">
      <c r="A350">
        <f t="shared" si="35"/>
        <v>349</v>
      </c>
      <c r="B350" t="s">
        <v>377</v>
      </c>
      <c r="C350">
        <v>79848200</v>
      </c>
      <c r="E350">
        <v>424.102</v>
      </c>
      <c r="F350">
        <v>0.188275933619742</v>
      </c>
      <c r="G350">
        <f t="shared" si="30"/>
        <v>23.1304812600899</v>
      </c>
      <c r="J350">
        <v>73.242286</v>
      </c>
      <c r="K350">
        <v>1.09019262451748</v>
      </c>
      <c r="L350">
        <f t="shared" si="31"/>
        <v>3.99462705615429</v>
      </c>
      <c r="O350">
        <v>32.265</v>
      </c>
      <c r="P350">
        <v>2.47476212614288</v>
      </c>
      <c r="Q350">
        <f t="shared" si="32"/>
        <v>1.75972991840831</v>
      </c>
      <c r="T350">
        <v>0.018959</v>
      </c>
      <c r="U350">
        <v>4.21162508571127</v>
      </c>
      <c r="V350">
        <f t="shared" si="33"/>
        <v>1.03402199048824</v>
      </c>
      <c r="Y350">
        <v>3758.140438</v>
      </c>
      <c r="Z350">
        <v>3.758140438</v>
      </c>
      <c r="AA350">
        <v>1.15879462892956</v>
      </c>
      <c r="AD350">
        <v>0.03426</v>
      </c>
      <c r="AE350">
        <v>2.33065382370111</v>
      </c>
      <c r="AF350">
        <f t="shared" si="34"/>
        <v>1.86853702168506</v>
      </c>
      <c r="AI350">
        <v>18.3352</v>
      </c>
      <c r="AJ350">
        <v>4.35491295431738</v>
      </c>
    </row>
    <row r="351" spans="1:36">
      <c r="A351">
        <f t="shared" si="35"/>
        <v>350</v>
      </c>
      <c r="B351" t="s">
        <v>378</v>
      </c>
      <c r="C351">
        <v>26165844</v>
      </c>
      <c r="E351">
        <v>23.671</v>
      </c>
      <c r="F351">
        <v>1.10539664568459</v>
      </c>
      <c r="G351">
        <f t="shared" si="30"/>
        <v>12.2629877530721</v>
      </c>
      <c r="J351">
        <v>1.355575</v>
      </c>
      <c r="K351">
        <v>19.302394924663</v>
      </c>
      <c r="L351">
        <f t="shared" si="31"/>
        <v>0.702268582796275</v>
      </c>
      <c r="O351">
        <v>7.0445</v>
      </c>
      <c r="P351">
        <v>3.71436496557598</v>
      </c>
      <c r="Q351">
        <f t="shared" si="32"/>
        <v>3.64947054313363</v>
      </c>
      <c r="T351">
        <v>0.002824</v>
      </c>
      <c r="U351">
        <v>9.26552549575071</v>
      </c>
      <c r="V351">
        <f t="shared" si="33"/>
        <v>1.46300018650144</v>
      </c>
      <c r="Y351">
        <v>10109.149731</v>
      </c>
      <c r="Z351">
        <v>10.109149731</v>
      </c>
      <c r="AA351">
        <v>1.34091055024627</v>
      </c>
      <c r="AD351">
        <v>0.00615301</v>
      </c>
      <c r="AE351">
        <v>4.25252746216892</v>
      </c>
      <c r="AF351">
        <f t="shared" si="34"/>
        <v>3.18762562944235</v>
      </c>
      <c r="AI351">
        <v>1.93028</v>
      </c>
      <c r="AJ351">
        <v>13.5554655283171</v>
      </c>
    </row>
    <row r="352" spans="1:36">
      <c r="A352">
        <f t="shared" si="35"/>
        <v>351</v>
      </c>
      <c r="B352" t="s">
        <v>379</v>
      </c>
      <c r="C352">
        <v>26165844</v>
      </c>
      <c r="E352">
        <v>23.495</v>
      </c>
      <c r="F352">
        <v>1.11367712279208</v>
      </c>
      <c r="G352">
        <f t="shared" si="30"/>
        <v>13.6591689969711</v>
      </c>
      <c r="J352">
        <v>1.380397</v>
      </c>
      <c r="K352">
        <v>18.9553034380689</v>
      </c>
      <c r="L352">
        <f t="shared" si="31"/>
        <v>0.802514403316106</v>
      </c>
      <c r="O352">
        <v>6.9475</v>
      </c>
      <c r="P352">
        <v>3.7662243972652</v>
      </c>
      <c r="Q352">
        <f t="shared" si="32"/>
        <v>4.03903284130482</v>
      </c>
      <c r="T352">
        <v>0.002835</v>
      </c>
      <c r="U352">
        <v>9.2295746031746</v>
      </c>
      <c r="V352">
        <f t="shared" si="33"/>
        <v>1.64816957252237</v>
      </c>
      <c r="Y352">
        <v>9720.690243</v>
      </c>
      <c r="Z352">
        <v>9.720690243</v>
      </c>
      <c r="AA352">
        <v>1.56489957482514</v>
      </c>
      <c r="AD352">
        <v>0.00683762</v>
      </c>
      <c r="AE352">
        <v>3.82674731851141</v>
      </c>
      <c r="AF352">
        <f t="shared" si="34"/>
        <v>3.97515246295252</v>
      </c>
      <c r="AI352">
        <v>1.72009</v>
      </c>
      <c r="AJ352">
        <v>15.2119040282776</v>
      </c>
    </row>
    <row r="353" spans="1:36">
      <c r="A353">
        <f t="shared" si="35"/>
        <v>352</v>
      </c>
      <c r="B353" t="s">
        <v>380</v>
      </c>
      <c r="C353">
        <v>11242656</v>
      </c>
      <c r="E353">
        <v>13.741</v>
      </c>
      <c r="F353">
        <v>0.81818324721636</v>
      </c>
      <c r="G353">
        <f t="shared" si="30"/>
        <v>14.2031271480149</v>
      </c>
      <c r="J353">
        <v>0.815823</v>
      </c>
      <c r="K353">
        <v>13.7807539135327</v>
      </c>
      <c r="L353">
        <f t="shared" si="31"/>
        <v>0.84326015568554</v>
      </c>
      <c r="O353">
        <v>4.4397</v>
      </c>
      <c r="P353">
        <v>2.53230083113724</v>
      </c>
      <c r="Q353">
        <f t="shared" si="32"/>
        <v>4.58901270642907</v>
      </c>
      <c r="T353">
        <v>0.002846</v>
      </c>
      <c r="U353">
        <v>3.95033591004919</v>
      </c>
      <c r="V353">
        <f t="shared" si="33"/>
        <v>2.94171456686198</v>
      </c>
      <c r="Y353">
        <v>8324.095581</v>
      </c>
      <c r="Z353">
        <v>8.324095581</v>
      </c>
      <c r="AA353">
        <v>1.39603883419052</v>
      </c>
      <c r="AD353">
        <v>0.00325579</v>
      </c>
      <c r="AE353">
        <v>3.45312689086213</v>
      </c>
      <c r="AF353">
        <f t="shared" si="34"/>
        <v>3.36528632102725</v>
      </c>
      <c r="AI353">
        <v>0.967463</v>
      </c>
      <c r="AJ353">
        <v>11.6207606905897</v>
      </c>
    </row>
    <row r="354" spans="1:36">
      <c r="A354">
        <f t="shared" si="35"/>
        <v>353</v>
      </c>
      <c r="B354" t="s">
        <v>381</v>
      </c>
      <c r="C354">
        <v>18139536</v>
      </c>
      <c r="E354">
        <v>46.486</v>
      </c>
      <c r="F354">
        <v>0.390215032482898</v>
      </c>
      <c r="G354">
        <f t="shared" si="30"/>
        <v>15.2564178301137</v>
      </c>
      <c r="J354">
        <v>6.053831</v>
      </c>
      <c r="K354">
        <v>2.99637304047635</v>
      </c>
      <c r="L354">
        <f t="shared" si="31"/>
        <v>1.98682991027181</v>
      </c>
      <c r="O354">
        <v>18.9108</v>
      </c>
      <c r="P354">
        <v>0.95921568627451</v>
      </c>
      <c r="Q354">
        <f t="shared" si="32"/>
        <v>6.20640765610538</v>
      </c>
      <c r="T354">
        <v>0.009067</v>
      </c>
      <c r="U354">
        <v>2.00061056578802</v>
      </c>
      <c r="V354">
        <f t="shared" si="33"/>
        <v>2.97573334908664</v>
      </c>
      <c r="Y354">
        <v>5240.91309</v>
      </c>
      <c r="Z354">
        <v>5.24091309</v>
      </c>
      <c r="AA354">
        <v>1.13592488120243</v>
      </c>
      <c r="AD354">
        <v>0.01427</v>
      </c>
      <c r="AE354">
        <v>1.27116580238262</v>
      </c>
      <c r="AF354">
        <f t="shared" si="34"/>
        <v>4.68332578487552</v>
      </c>
      <c r="AI354">
        <v>3.04698</v>
      </c>
      <c r="AJ354">
        <v>5.9532835791505</v>
      </c>
    </row>
    <row r="355" spans="1:36">
      <c r="A355">
        <f t="shared" si="35"/>
        <v>354</v>
      </c>
      <c r="B355" t="s">
        <v>382</v>
      </c>
      <c r="C355">
        <v>43168124</v>
      </c>
      <c r="E355">
        <v>458.991</v>
      </c>
      <c r="F355">
        <v>0.0940500445542505</v>
      </c>
      <c r="G355">
        <f t="shared" si="30"/>
        <v>38.3739653875094</v>
      </c>
      <c r="J355">
        <v>33.308633</v>
      </c>
      <c r="K355">
        <v>1.29600407197738</v>
      </c>
      <c r="L355">
        <f t="shared" si="31"/>
        <v>2.7847699189031</v>
      </c>
      <c r="O355">
        <v>30.6964</v>
      </c>
      <c r="P355">
        <v>1.40629272487979</v>
      </c>
      <c r="Q355">
        <f t="shared" si="32"/>
        <v>2.56637404899256</v>
      </c>
      <c r="T355">
        <v>0.015353</v>
      </c>
      <c r="U355">
        <v>2.81170611606852</v>
      </c>
      <c r="V355">
        <f t="shared" si="33"/>
        <v>1.28358832873506</v>
      </c>
      <c r="Y355">
        <v>2439.010874</v>
      </c>
      <c r="Z355">
        <v>2.439010874</v>
      </c>
      <c r="AA355">
        <v>1.47972819346214</v>
      </c>
      <c r="AD355">
        <v>0.0294708</v>
      </c>
      <c r="AE355">
        <v>1.4647761173772</v>
      </c>
      <c r="AF355">
        <f t="shared" si="34"/>
        <v>2.46390770002508</v>
      </c>
      <c r="AI355">
        <v>11.961</v>
      </c>
      <c r="AJ355">
        <v>3.60907315441853</v>
      </c>
    </row>
    <row r="356" spans="1:36">
      <c r="A356">
        <f t="shared" si="35"/>
        <v>355</v>
      </c>
      <c r="B356" t="s">
        <v>383</v>
      </c>
      <c r="C356">
        <v>241787550</v>
      </c>
      <c r="E356">
        <v>3000.458</v>
      </c>
      <c r="F356">
        <v>0.080583547578403</v>
      </c>
      <c r="G356">
        <f t="shared" si="30"/>
        <v>301.701538040768</v>
      </c>
      <c r="J356">
        <v>41.375356</v>
      </c>
      <c r="K356">
        <v>5.84375757395296</v>
      </c>
      <c r="L356">
        <f t="shared" si="31"/>
        <v>4.16036769792622</v>
      </c>
      <c r="O356">
        <v>40.0302</v>
      </c>
      <c r="P356">
        <v>6.04012845301797</v>
      </c>
      <c r="Q356">
        <f t="shared" si="32"/>
        <v>4.02510980259666</v>
      </c>
      <c r="T356">
        <v>0.027761</v>
      </c>
      <c r="U356">
        <v>8.70961240589316</v>
      </c>
      <c r="V356">
        <f t="shared" si="33"/>
        <v>2.79141930916872</v>
      </c>
      <c r="Y356">
        <v>12111.65097</v>
      </c>
      <c r="Z356">
        <v>12.11165097</v>
      </c>
      <c r="AA356">
        <v>2.00733824855139</v>
      </c>
      <c r="AD356">
        <v>0.00151081</v>
      </c>
      <c r="AE356">
        <v>160.038356907884</v>
      </c>
      <c r="AF356">
        <f t="shared" si="34"/>
        <v>0.151914707917049</v>
      </c>
      <c r="AI356">
        <v>9.94512</v>
      </c>
      <c r="AJ356">
        <v>24.3121802451856</v>
      </c>
    </row>
    <row r="357" spans="1:36">
      <c r="A357">
        <f t="shared" si="35"/>
        <v>356</v>
      </c>
      <c r="B357" t="s">
        <v>384</v>
      </c>
      <c r="C357">
        <v>241787550</v>
      </c>
      <c r="E357">
        <v>2965.933</v>
      </c>
      <c r="F357">
        <v>0.0815215819103129</v>
      </c>
      <c r="G357">
        <f t="shared" si="30"/>
        <v>301.063490710063</v>
      </c>
      <c r="J357">
        <v>30.57593</v>
      </c>
      <c r="K357">
        <v>7.90777418708115</v>
      </c>
      <c r="L357">
        <f t="shared" si="31"/>
        <v>3.10367638699408</v>
      </c>
      <c r="O357">
        <v>39.3779</v>
      </c>
      <c r="P357">
        <v>6.1401839610543</v>
      </c>
      <c r="Q357">
        <f t="shared" si="32"/>
        <v>3.99713952770739</v>
      </c>
      <c r="T357">
        <v>0.026375</v>
      </c>
      <c r="U357">
        <v>9.16730047393365</v>
      </c>
      <c r="V357">
        <f t="shared" si="33"/>
        <v>2.67725183524979</v>
      </c>
      <c r="Y357">
        <v>12582.487066</v>
      </c>
      <c r="Z357">
        <v>12.582487066</v>
      </c>
      <c r="AA357">
        <v>1.95058193895902</v>
      </c>
      <c r="AD357">
        <v>0.00144155</v>
      </c>
      <c r="AE357">
        <v>167.727480836599</v>
      </c>
      <c r="AF357">
        <f t="shared" si="34"/>
        <v>0.146327673293056</v>
      </c>
      <c r="AI357">
        <v>9.85152</v>
      </c>
      <c r="AJ357">
        <v>24.5431720181251</v>
      </c>
    </row>
    <row r="358" spans="1:36">
      <c r="A358">
        <f t="shared" si="35"/>
        <v>357</v>
      </c>
      <c r="B358" t="s">
        <v>385</v>
      </c>
      <c r="C358">
        <v>107194894</v>
      </c>
      <c r="E358">
        <v>45.502</v>
      </c>
      <c r="F358">
        <v>2.35582818337656</v>
      </c>
      <c r="G358">
        <f t="shared" si="30"/>
        <v>22.1180908308745</v>
      </c>
      <c r="J358">
        <v>6.721708</v>
      </c>
      <c r="K358">
        <v>15.9475677908056</v>
      </c>
      <c r="L358">
        <f t="shared" si="31"/>
        <v>3.26735853550647</v>
      </c>
      <c r="O358">
        <v>7.0043</v>
      </c>
      <c r="P358">
        <v>15.3041551618292</v>
      </c>
      <c r="Q358">
        <f t="shared" si="32"/>
        <v>3.40472382767118</v>
      </c>
      <c r="T358">
        <v>0.003687</v>
      </c>
      <c r="U358">
        <v>29.0737439652834</v>
      </c>
      <c r="V358">
        <f t="shared" si="33"/>
        <v>1.7922157464163</v>
      </c>
      <c r="Y358">
        <v>24571.750206</v>
      </c>
      <c r="Z358">
        <v>24.571750206</v>
      </c>
      <c r="AA358">
        <v>2.12058242921309</v>
      </c>
      <c r="AD358">
        <v>0.0147565</v>
      </c>
      <c r="AE358">
        <v>7.26424924609494</v>
      </c>
      <c r="AF358">
        <f t="shared" si="34"/>
        <v>7.1729947550833</v>
      </c>
      <c r="AI358">
        <v>2.05723</v>
      </c>
      <c r="AJ358">
        <v>52.1064217418568</v>
      </c>
    </row>
    <row r="359" spans="1:36">
      <c r="A359">
        <f t="shared" si="35"/>
        <v>358</v>
      </c>
      <c r="B359" t="s">
        <v>386</v>
      </c>
      <c r="C359">
        <v>57145790</v>
      </c>
      <c r="E359">
        <v>33.307</v>
      </c>
      <c r="F359">
        <v>1.71572912600955</v>
      </c>
      <c r="G359">
        <f t="shared" si="30"/>
        <v>5.13284810116828</v>
      </c>
      <c r="J359">
        <v>5.599594</v>
      </c>
      <c r="K359">
        <v>10.2053452446731</v>
      </c>
      <c r="L359">
        <f t="shared" si="31"/>
        <v>0.862937683676504</v>
      </c>
      <c r="O359">
        <v>20.6804</v>
      </c>
      <c r="P359">
        <v>2.76328262509429</v>
      </c>
      <c r="Q359">
        <f t="shared" si="32"/>
        <v>3.186998284787</v>
      </c>
      <c r="T359">
        <v>0.012064</v>
      </c>
      <c r="U359">
        <v>4.73688577586207</v>
      </c>
      <c r="V359">
        <f t="shared" si="33"/>
        <v>1.85914911257376</v>
      </c>
      <c r="Y359">
        <v>11973.31317</v>
      </c>
      <c r="Z359">
        <v>11.97331317</v>
      </c>
      <c r="AA359">
        <v>0.735517133939396</v>
      </c>
      <c r="AD359">
        <v>0.0261663</v>
      </c>
      <c r="AE359">
        <v>2.18394614446827</v>
      </c>
      <c r="AF359">
        <f t="shared" si="34"/>
        <v>4.03241490586362</v>
      </c>
      <c r="AI359">
        <v>6.48899</v>
      </c>
      <c r="AJ359">
        <v>8.80657698655723</v>
      </c>
    </row>
    <row r="360" spans="1:36">
      <c r="A360">
        <f t="shared" si="35"/>
        <v>359</v>
      </c>
      <c r="B360" t="s">
        <v>387</v>
      </c>
      <c r="C360">
        <v>57145790</v>
      </c>
      <c r="E360">
        <v>32.006</v>
      </c>
      <c r="F360">
        <v>1.78547116165719</v>
      </c>
      <c r="G360">
        <f t="shared" si="30"/>
        <v>5.09985069799087</v>
      </c>
      <c r="J360">
        <v>6.24619</v>
      </c>
      <c r="K360">
        <v>9.14890357161726</v>
      </c>
      <c r="L360">
        <f t="shared" si="31"/>
        <v>0.995270775207262</v>
      </c>
      <c r="O360">
        <v>22.6609</v>
      </c>
      <c r="P360">
        <v>2.52177936445596</v>
      </c>
      <c r="Q360">
        <f t="shared" si="32"/>
        <v>3.61079818415614</v>
      </c>
      <c r="T360">
        <v>0.012434</v>
      </c>
      <c r="U360">
        <v>4.5959297088628</v>
      </c>
      <c r="V360">
        <f t="shared" si="33"/>
        <v>1.98123925447786</v>
      </c>
      <c r="Y360">
        <v>12155.72896</v>
      </c>
      <c r="Z360">
        <v>12.15572896</v>
      </c>
      <c r="AA360">
        <v>0.749081883939933</v>
      </c>
      <c r="AD360">
        <v>0.0281611</v>
      </c>
      <c r="AE360">
        <v>2.02924566156862</v>
      </c>
      <c r="AF360">
        <f t="shared" si="34"/>
        <v>4.48720257111763</v>
      </c>
      <c r="AI360">
        <v>6.27587</v>
      </c>
      <c r="AJ360">
        <v>9.10563635002</v>
      </c>
    </row>
    <row r="361" spans="1:36">
      <c r="A361">
        <f t="shared" si="35"/>
        <v>360</v>
      </c>
      <c r="B361" t="s">
        <v>388</v>
      </c>
      <c r="C361">
        <v>61999464</v>
      </c>
      <c r="E361">
        <v>18.803</v>
      </c>
      <c r="F361">
        <v>3.2973176620752</v>
      </c>
      <c r="G361">
        <f t="shared" si="30"/>
        <v>19.8849816199021</v>
      </c>
      <c r="J361">
        <v>1.729683</v>
      </c>
      <c r="K361">
        <v>35.8444084840979</v>
      </c>
      <c r="L361">
        <f t="shared" si="31"/>
        <v>1.82921420322593</v>
      </c>
      <c r="O361">
        <v>4.4449</v>
      </c>
      <c r="P361">
        <v>13.9484496839074</v>
      </c>
      <c r="Q361">
        <f t="shared" si="32"/>
        <v>4.7006730203852</v>
      </c>
      <c r="T361">
        <v>0.00268</v>
      </c>
      <c r="U361">
        <v>23.134128358209</v>
      </c>
      <c r="V361">
        <f t="shared" si="33"/>
        <v>2.83421532422154</v>
      </c>
      <c r="Y361">
        <v>51866.610957</v>
      </c>
      <c r="Z361">
        <v>51.866610957</v>
      </c>
      <c r="AA361">
        <v>1.26414855136192</v>
      </c>
      <c r="AD361">
        <v>0.00841388</v>
      </c>
      <c r="AE361">
        <v>7.36871265100049</v>
      </c>
      <c r="AF361">
        <f t="shared" si="34"/>
        <v>8.89804016125416</v>
      </c>
      <c r="AI361">
        <v>0.945588</v>
      </c>
      <c r="AJ361">
        <v>65.567101105344</v>
      </c>
    </row>
    <row r="362" spans="1:36">
      <c r="A362">
        <f t="shared" si="35"/>
        <v>361</v>
      </c>
      <c r="B362" t="s">
        <v>389</v>
      </c>
      <c r="C362">
        <v>459065752</v>
      </c>
      <c r="E362">
        <v>100.411</v>
      </c>
      <c r="F362">
        <v>4.57186714602982</v>
      </c>
      <c r="G362">
        <f t="shared" si="30"/>
        <v>11.4803711732477</v>
      </c>
      <c r="J362">
        <v>24.109948</v>
      </c>
      <c r="K362">
        <v>19.0405119081966</v>
      </c>
      <c r="L362">
        <f t="shared" si="31"/>
        <v>2.75658196818776</v>
      </c>
      <c r="O362">
        <v>30.414</v>
      </c>
      <c r="P362">
        <v>15.0938959689617</v>
      </c>
      <c r="Q362">
        <f t="shared" si="32"/>
        <v>3.47734818758059</v>
      </c>
      <c r="T362">
        <v>0.011961</v>
      </c>
      <c r="U362">
        <v>38.3802150321879</v>
      </c>
      <c r="V362">
        <f t="shared" si="33"/>
        <v>1.36754657959005</v>
      </c>
      <c r="Y362">
        <v>25705.962223</v>
      </c>
      <c r="Z362">
        <v>25.705962223</v>
      </c>
      <c r="AA362">
        <v>2.04181159747591</v>
      </c>
      <c r="AD362">
        <v>0.0507974</v>
      </c>
      <c r="AE362">
        <v>9.03718993491793</v>
      </c>
      <c r="AF362">
        <f t="shared" si="34"/>
        <v>5.80785976273449</v>
      </c>
      <c r="AI362">
        <v>8.74632</v>
      </c>
      <c r="AJ362">
        <v>52.486731791199</v>
      </c>
    </row>
    <row r="363" spans="1:36">
      <c r="A363">
        <f t="shared" si="35"/>
        <v>362</v>
      </c>
      <c r="B363" t="s">
        <v>390</v>
      </c>
      <c r="C363">
        <v>7312928</v>
      </c>
      <c r="E363">
        <v>9.882</v>
      </c>
      <c r="F363">
        <v>0.740025096134386</v>
      </c>
      <c r="G363">
        <f t="shared" si="30"/>
        <v>5.57523921285431</v>
      </c>
      <c r="J363">
        <v>1.098103</v>
      </c>
      <c r="K363">
        <v>6.65960114852614</v>
      </c>
      <c r="L363">
        <f t="shared" si="31"/>
        <v>0.619529134320275</v>
      </c>
      <c r="O363">
        <v>7.7793</v>
      </c>
      <c r="P363">
        <v>0.940049618860309</v>
      </c>
      <c r="Q363">
        <f t="shared" si="32"/>
        <v>4.38893527712584</v>
      </c>
      <c r="T363">
        <v>0.004791</v>
      </c>
      <c r="U363">
        <v>1.52638864537675</v>
      </c>
      <c r="V363">
        <f t="shared" si="33"/>
        <v>2.70299241740386</v>
      </c>
      <c r="Y363">
        <v>2233.771807</v>
      </c>
      <c r="Z363">
        <v>2.233771807</v>
      </c>
      <c r="AA363">
        <v>1.84701808910632</v>
      </c>
      <c r="AD363">
        <v>0.00418419</v>
      </c>
      <c r="AE363">
        <v>1.7477523726217</v>
      </c>
      <c r="AF363">
        <f t="shared" si="34"/>
        <v>2.36064158692905</v>
      </c>
      <c r="AI363">
        <v>1.77248</v>
      </c>
      <c r="AJ363">
        <v>4.12581693446471</v>
      </c>
    </row>
    <row r="364" spans="1:36">
      <c r="A364">
        <f t="shared" si="35"/>
        <v>363</v>
      </c>
      <c r="B364" t="s">
        <v>391</v>
      </c>
      <c r="C364">
        <v>461232120</v>
      </c>
      <c r="E364">
        <v>97.486</v>
      </c>
      <c r="F364">
        <v>4.73126520731182</v>
      </c>
      <c r="G364">
        <f t="shared" si="30"/>
        <v>10.4042997807846</v>
      </c>
      <c r="J364">
        <v>21.459302</v>
      </c>
      <c r="K364">
        <v>21.4933421413241</v>
      </c>
      <c r="L364">
        <f t="shared" si="31"/>
        <v>2.29026743424072</v>
      </c>
      <c r="O364">
        <v>30.2247</v>
      </c>
      <c r="P364">
        <v>15.2601058075018</v>
      </c>
      <c r="Q364">
        <f t="shared" si="32"/>
        <v>3.22576410545392</v>
      </c>
      <c r="T364">
        <v>0.012068</v>
      </c>
      <c r="U364">
        <v>38.2194332117998</v>
      </c>
      <c r="V364">
        <f t="shared" si="33"/>
        <v>1.28797047529398</v>
      </c>
      <c r="Y364">
        <v>24718.499685</v>
      </c>
      <c r="Z364">
        <v>24.718499685</v>
      </c>
      <c r="AA364">
        <v>1.99144374402059</v>
      </c>
      <c r="AD364">
        <v>0.0442966</v>
      </c>
      <c r="AE364">
        <v>10.4123594135893</v>
      </c>
      <c r="AF364">
        <f t="shared" si="34"/>
        <v>4.72760299601485</v>
      </c>
      <c r="AI364">
        <v>9.36978</v>
      </c>
      <c r="AJ364">
        <v>49.2255015592682</v>
      </c>
    </row>
    <row r="365" spans="1:36">
      <c r="A365">
        <f t="shared" si="35"/>
        <v>364</v>
      </c>
      <c r="B365" t="s">
        <v>392</v>
      </c>
      <c r="C365">
        <v>461232120</v>
      </c>
      <c r="E365">
        <v>97.112</v>
      </c>
      <c r="F365">
        <v>4.74948636625752</v>
      </c>
      <c r="G365">
        <f t="shared" si="30"/>
        <v>10.4861132856999</v>
      </c>
      <c r="J365">
        <v>24.75683</v>
      </c>
      <c r="K365">
        <v>18.6304999468833</v>
      </c>
      <c r="L365">
        <f t="shared" si="31"/>
        <v>2.67323218525842</v>
      </c>
      <c r="O365">
        <v>28.7479</v>
      </c>
      <c r="P365">
        <v>16.0440282594555</v>
      </c>
      <c r="Q365">
        <f t="shared" si="32"/>
        <v>3.10418626046187</v>
      </c>
      <c r="T365">
        <v>0.011718</v>
      </c>
      <c r="U365">
        <v>39.360993343574</v>
      </c>
      <c r="V365">
        <f t="shared" si="33"/>
        <v>1.2653047561767</v>
      </c>
      <c r="Y365">
        <v>26306.598135</v>
      </c>
      <c r="Z365">
        <v>26.306598135</v>
      </c>
      <c r="AA365">
        <v>1.89320001886529</v>
      </c>
      <c r="AD365">
        <v>0.0422611</v>
      </c>
      <c r="AE365">
        <v>10.9138692556512</v>
      </c>
      <c r="AF365">
        <f t="shared" si="34"/>
        <v>4.56333596443584</v>
      </c>
      <c r="AI365">
        <v>9.26101</v>
      </c>
      <c r="AJ365">
        <v>49.8036520854637</v>
      </c>
    </row>
    <row r="366" spans="1:36">
      <c r="A366">
        <f t="shared" si="35"/>
        <v>365</v>
      </c>
      <c r="B366" t="s">
        <v>393</v>
      </c>
      <c r="C366">
        <v>6408660</v>
      </c>
      <c r="E366">
        <v>13.957</v>
      </c>
      <c r="F366">
        <v>0.459171741778319</v>
      </c>
      <c r="G366">
        <f t="shared" si="30"/>
        <v>10.7092982213833</v>
      </c>
      <c r="J366">
        <v>1.534852</v>
      </c>
      <c r="K366">
        <v>4.17542538303367</v>
      </c>
      <c r="L366">
        <f t="shared" si="31"/>
        <v>1.17770207019321</v>
      </c>
      <c r="O366">
        <v>5.382</v>
      </c>
      <c r="P366">
        <v>1.19075808249721</v>
      </c>
      <c r="Q366">
        <f t="shared" si="32"/>
        <v>4.12964412319876</v>
      </c>
      <c r="T366">
        <v>0.003673</v>
      </c>
      <c r="U366">
        <v>1.7448026136673</v>
      </c>
      <c r="V366">
        <f t="shared" si="33"/>
        <v>2.81831714316407</v>
      </c>
      <c r="Y366">
        <v>5031.810403</v>
      </c>
      <c r="Z366">
        <v>5.031810403</v>
      </c>
      <c r="AA366">
        <v>0.977263991227539</v>
      </c>
      <c r="AD366">
        <v>0.00253146</v>
      </c>
      <c r="AE366">
        <v>2.53160626673935</v>
      </c>
      <c r="AF366">
        <f t="shared" si="34"/>
        <v>1.94240596657613</v>
      </c>
      <c r="AI366">
        <v>1.30326</v>
      </c>
      <c r="AJ366">
        <v>4.91740711753603</v>
      </c>
    </row>
    <row r="367" spans="1:36">
      <c r="A367">
        <f t="shared" si="35"/>
        <v>366</v>
      </c>
      <c r="B367" t="s">
        <v>394</v>
      </c>
      <c r="C367">
        <v>44404850</v>
      </c>
      <c r="E367">
        <v>463.799</v>
      </c>
      <c r="F367">
        <v>0.0957415820215222</v>
      </c>
      <c r="G367">
        <f t="shared" si="30"/>
        <v>38.5827184320642</v>
      </c>
      <c r="J367">
        <v>30.400194</v>
      </c>
      <c r="K367">
        <v>1.46067653384054</v>
      </c>
      <c r="L367">
        <f t="shared" si="31"/>
        <v>2.52894492092938</v>
      </c>
      <c r="O367">
        <v>30.3807</v>
      </c>
      <c r="P367">
        <v>1.46161378770074</v>
      </c>
      <c r="Q367">
        <f t="shared" si="32"/>
        <v>2.52732324534769</v>
      </c>
      <c r="T367">
        <v>0.014786</v>
      </c>
      <c r="U367">
        <v>3.00316853780603</v>
      </c>
      <c r="V367">
        <f t="shared" si="33"/>
        <v>1.23002437421491</v>
      </c>
      <c r="Y367">
        <v>2569.193715</v>
      </c>
      <c r="Z367">
        <v>2.569193715</v>
      </c>
      <c r="AA367">
        <v>1.43779368593729</v>
      </c>
      <c r="AD367">
        <v>0.0300739</v>
      </c>
      <c r="AE367">
        <v>1.47652449466148</v>
      </c>
      <c r="AF367">
        <f t="shared" si="34"/>
        <v>2.50180102987298</v>
      </c>
      <c r="AI367">
        <v>12.0209</v>
      </c>
      <c r="AJ367">
        <v>3.69397050137677</v>
      </c>
    </row>
    <row r="368" spans="1:36">
      <c r="A368">
        <f t="shared" si="35"/>
        <v>367</v>
      </c>
      <c r="B368" t="s">
        <v>395</v>
      </c>
      <c r="C368">
        <v>45278092</v>
      </c>
      <c r="E368">
        <v>459.496</v>
      </c>
      <c r="F368">
        <v>0.0985385988126121</v>
      </c>
      <c r="G368">
        <f t="shared" si="30"/>
        <v>37.9579361276785</v>
      </c>
      <c r="J368">
        <v>33.945542</v>
      </c>
      <c r="K368">
        <v>1.333845015643</v>
      </c>
      <c r="L368">
        <f t="shared" si="31"/>
        <v>2.80416524856675</v>
      </c>
      <c r="O368">
        <v>28.7527</v>
      </c>
      <c r="P368">
        <v>1.57474226768269</v>
      </c>
      <c r="Q368">
        <f t="shared" si="32"/>
        <v>2.37519619343433</v>
      </c>
      <c r="T368">
        <v>0.015588</v>
      </c>
      <c r="U368">
        <v>2.9046761611496</v>
      </c>
      <c r="V368">
        <f t="shared" si="33"/>
        <v>1.28768979133279</v>
      </c>
      <c r="Y368">
        <v>2592.610032</v>
      </c>
      <c r="Z368">
        <v>2.592610032</v>
      </c>
      <c r="AA368">
        <v>1.44268586238351</v>
      </c>
      <c r="AD368">
        <v>0.0362408</v>
      </c>
      <c r="AE368">
        <v>1.24936789474846</v>
      </c>
      <c r="AF368">
        <f t="shared" si="34"/>
        <v>2.99377137475837</v>
      </c>
      <c r="AI368">
        <v>12.1054</v>
      </c>
      <c r="AJ368">
        <v>3.74032183984007</v>
      </c>
    </row>
    <row r="369" spans="1:36">
      <c r="A369">
        <f t="shared" si="35"/>
        <v>368</v>
      </c>
      <c r="B369" t="s">
        <v>396</v>
      </c>
      <c r="C369">
        <v>62573378</v>
      </c>
      <c r="E369">
        <v>350.525</v>
      </c>
      <c r="F369">
        <v>0.178513310034948</v>
      </c>
      <c r="G369">
        <f t="shared" si="30"/>
        <v>82.9692100853062</v>
      </c>
      <c r="J369">
        <v>12.695459</v>
      </c>
      <c r="K369">
        <v>4.92879997485715</v>
      </c>
      <c r="L369">
        <f t="shared" si="31"/>
        <v>3.00501306583095</v>
      </c>
      <c r="O369">
        <v>35.0872</v>
      </c>
      <c r="P369">
        <v>1.78336766684147</v>
      </c>
      <c r="Q369">
        <f t="shared" si="32"/>
        <v>8.30513449284691</v>
      </c>
      <c r="T369">
        <v>0.016987</v>
      </c>
      <c r="U369">
        <v>3.68360381468182</v>
      </c>
      <c r="V369">
        <f t="shared" si="33"/>
        <v>4.02082011759246</v>
      </c>
      <c r="Y369">
        <v>6116.296406</v>
      </c>
      <c r="Z369">
        <v>6.116296406</v>
      </c>
      <c r="AA369">
        <v>2.4215811890319</v>
      </c>
      <c r="AD369">
        <v>0.0280175</v>
      </c>
      <c r="AE369">
        <v>2.23336764522174</v>
      </c>
      <c r="AF369">
        <f t="shared" si="34"/>
        <v>6.63173766083751</v>
      </c>
      <c r="AI369">
        <v>4.22476</v>
      </c>
      <c r="AJ369">
        <v>14.811108323313</v>
      </c>
    </row>
    <row r="370" spans="1:36">
      <c r="A370">
        <f t="shared" si="35"/>
        <v>369</v>
      </c>
      <c r="B370" t="s">
        <v>397</v>
      </c>
      <c r="C370">
        <v>157618374</v>
      </c>
      <c r="E370">
        <v>229.794</v>
      </c>
      <c r="F370">
        <v>0.685911616491292</v>
      </c>
      <c r="G370">
        <f t="shared" si="30"/>
        <v>13.0278308492122</v>
      </c>
      <c r="J370">
        <v>33.272456</v>
      </c>
      <c r="K370">
        <v>4.73720286834251</v>
      </c>
      <c r="L370">
        <f t="shared" si="31"/>
        <v>1.88633266623958</v>
      </c>
      <c r="O370">
        <v>37.9415</v>
      </c>
      <c r="P370">
        <v>4.1542473017672</v>
      </c>
      <c r="Q370">
        <f t="shared" si="32"/>
        <v>2.1510372079575</v>
      </c>
      <c r="T370">
        <v>0.023392</v>
      </c>
      <c r="U370">
        <v>6.73813158344733</v>
      </c>
      <c r="V370">
        <f t="shared" si="33"/>
        <v>1.32617483147851</v>
      </c>
      <c r="Y370">
        <v>9688.138055</v>
      </c>
      <c r="Z370">
        <v>9.688138055</v>
      </c>
      <c r="AA370">
        <v>0.922358916277674</v>
      </c>
      <c r="AD370">
        <v>0.0016626</v>
      </c>
      <c r="AE370">
        <v>94.80234211476</v>
      </c>
      <c r="AF370">
        <f t="shared" si="34"/>
        <v>0.0942586471792139</v>
      </c>
      <c r="AI370">
        <v>17.6387</v>
      </c>
      <c r="AJ370">
        <v>8.93594051715829</v>
      </c>
    </row>
    <row r="371" spans="1:36">
      <c r="A371">
        <f t="shared" si="35"/>
        <v>370</v>
      </c>
      <c r="B371" t="s">
        <v>398</v>
      </c>
      <c r="C371">
        <v>33425162</v>
      </c>
      <c r="E371">
        <v>30.302</v>
      </c>
      <c r="F371">
        <v>1.10306785030691</v>
      </c>
      <c r="G371">
        <f t="shared" si="30"/>
        <v>31.0847768506532</v>
      </c>
      <c r="J371">
        <v>1.531011</v>
      </c>
      <c r="K371">
        <v>21.8320848119315</v>
      </c>
      <c r="L371">
        <f t="shared" si="31"/>
        <v>1.57056086366891</v>
      </c>
      <c r="O371">
        <v>6.6739</v>
      </c>
      <c r="P371">
        <v>5.00834025082785</v>
      </c>
      <c r="Q371">
        <f t="shared" si="32"/>
        <v>6.84630361770095</v>
      </c>
      <c r="T371">
        <v>0.003208</v>
      </c>
      <c r="U371">
        <v>10.4193148379052</v>
      </c>
      <c r="V371">
        <f t="shared" si="33"/>
        <v>3.29087070612157</v>
      </c>
      <c r="Y371">
        <v>25218.998765</v>
      </c>
      <c r="Z371">
        <v>25.218998765</v>
      </c>
      <c r="AA371">
        <v>1.35963438903479</v>
      </c>
      <c r="AD371">
        <v>0.0182992</v>
      </c>
      <c r="AE371">
        <v>1.82659143569118</v>
      </c>
      <c r="AF371">
        <f t="shared" si="34"/>
        <v>18.7719143470884</v>
      </c>
      <c r="AI371">
        <v>0.974818</v>
      </c>
      <c r="AJ371">
        <v>34.28861797792</v>
      </c>
    </row>
    <row r="372" spans="1:36">
      <c r="A372">
        <f t="shared" si="35"/>
        <v>371</v>
      </c>
      <c r="B372" t="s">
        <v>399</v>
      </c>
      <c r="C372">
        <v>8315694</v>
      </c>
      <c r="E372">
        <v>18.972</v>
      </c>
      <c r="F372">
        <v>0.438314041745731</v>
      </c>
      <c r="G372">
        <f t="shared" si="30"/>
        <v>18.0331920232686</v>
      </c>
      <c r="J372">
        <v>1.289281</v>
      </c>
      <c r="K372">
        <v>6.44986934578265</v>
      </c>
      <c r="L372">
        <f t="shared" si="31"/>
        <v>1.22548238693611</v>
      </c>
      <c r="O372">
        <v>7.5289</v>
      </c>
      <c r="P372">
        <v>1.10450318107559</v>
      </c>
      <c r="Q372">
        <f t="shared" si="32"/>
        <v>7.15634089310494</v>
      </c>
      <c r="T372">
        <v>0.003638</v>
      </c>
      <c r="U372">
        <v>2.28578724573942</v>
      </c>
      <c r="V372">
        <f t="shared" si="33"/>
        <v>3.45797768188126</v>
      </c>
      <c r="Y372">
        <v>2723.3617</v>
      </c>
      <c r="Z372">
        <v>2.7233617</v>
      </c>
      <c r="AA372">
        <v>2.90236925976294</v>
      </c>
      <c r="AD372">
        <v>0.00246223</v>
      </c>
      <c r="AE372">
        <v>3.377301876754</v>
      </c>
      <c r="AF372">
        <f t="shared" si="34"/>
        <v>2.34038933140695</v>
      </c>
      <c r="AI372">
        <v>1.05206</v>
      </c>
      <c r="AJ372">
        <v>7.90420128129574</v>
      </c>
    </row>
    <row r="373" spans="1:36">
      <c r="A373">
        <f t="shared" si="35"/>
        <v>372</v>
      </c>
      <c r="B373" t="s">
        <v>400</v>
      </c>
      <c r="C373">
        <v>30796486</v>
      </c>
      <c r="E373">
        <v>66.278</v>
      </c>
      <c r="F373">
        <v>0.464656235855035</v>
      </c>
      <c r="G373">
        <f t="shared" si="30"/>
        <v>13.2576151575039</v>
      </c>
      <c r="J373">
        <v>4.773776</v>
      </c>
      <c r="K373">
        <v>6.45117952748516</v>
      </c>
      <c r="L373">
        <f t="shared" si="31"/>
        <v>0.954900344852418</v>
      </c>
      <c r="O373">
        <v>16.4366</v>
      </c>
      <c r="P373">
        <v>1.87365306693598</v>
      </c>
      <c r="Q373">
        <f t="shared" si="32"/>
        <v>3.2878197486018</v>
      </c>
      <c r="T373">
        <v>0.006858</v>
      </c>
      <c r="U373">
        <v>4.4905928842228</v>
      </c>
      <c r="V373">
        <f t="shared" si="33"/>
        <v>1.37180851489427</v>
      </c>
      <c r="Y373">
        <v>3969.288237</v>
      </c>
      <c r="Z373">
        <v>3.969288237</v>
      </c>
      <c r="AA373">
        <v>1.5519743560262</v>
      </c>
      <c r="AD373">
        <v>0.00685127</v>
      </c>
      <c r="AE373">
        <v>4.49500399196062</v>
      </c>
      <c r="AF373">
        <f t="shared" si="34"/>
        <v>1.37046231027116</v>
      </c>
      <c r="AI373">
        <v>4.99924</v>
      </c>
      <c r="AJ373">
        <v>6.16023355550044</v>
      </c>
    </row>
    <row r="374" spans="1:36">
      <c r="A374">
        <f t="shared" si="35"/>
        <v>373</v>
      </c>
      <c r="B374" t="s">
        <v>401</v>
      </c>
      <c r="C374">
        <v>30798388</v>
      </c>
      <c r="E374">
        <v>64.374</v>
      </c>
      <c r="F374">
        <v>0.478428993071737</v>
      </c>
      <c r="G374">
        <f t="shared" si="30"/>
        <v>13.1700460933201</v>
      </c>
      <c r="J374">
        <v>4.609473</v>
      </c>
      <c r="K374">
        <v>6.68154211989093</v>
      </c>
      <c r="L374">
        <f t="shared" si="31"/>
        <v>0.943035571440555</v>
      </c>
      <c r="O374">
        <v>17.2457</v>
      </c>
      <c r="P374">
        <v>1.78585896774268</v>
      </c>
      <c r="Q374">
        <f t="shared" si="32"/>
        <v>3.52823599452528</v>
      </c>
      <c r="T374">
        <v>0.007083</v>
      </c>
      <c r="U374">
        <v>4.34821233940421</v>
      </c>
      <c r="V374">
        <f t="shared" si="33"/>
        <v>1.44908560100329</v>
      </c>
      <c r="Y374">
        <v>4077.104348</v>
      </c>
      <c r="Z374">
        <v>4.077104348</v>
      </c>
      <c r="AA374">
        <v>1.54544288134945</v>
      </c>
      <c r="AD374">
        <v>0.00689071</v>
      </c>
      <c r="AE374">
        <v>4.46955219418609</v>
      </c>
      <c r="AF374">
        <f t="shared" si="34"/>
        <v>1.40974567862338</v>
      </c>
      <c r="AI374">
        <v>4.88791</v>
      </c>
      <c r="AJ374">
        <v>6.30093189113548</v>
      </c>
    </row>
    <row r="375" spans="1:36">
      <c r="A375">
        <f t="shared" si="35"/>
        <v>374</v>
      </c>
      <c r="B375" t="s">
        <v>402</v>
      </c>
      <c r="C375">
        <v>87552228</v>
      </c>
      <c r="E375">
        <v>714.333</v>
      </c>
      <c r="F375">
        <v>0.122565005396643</v>
      </c>
      <c r="G375">
        <f t="shared" si="30"/>
        <v>97.9214416528669</v>
      </c>
      <c r="J375">
        <v>21.457318</v>
      </c>
      <c r="K375">
        <v>4.08029689451403</v>
      </c>
      <c r="L375">
        <f t="shared" si="31"/>
        <v>2.9413893976115</v>
      </c>
      <c r="O375">
        <v>39.0005</v>
      </c>
      <c r="P375">
        <v>2.24490014230587</v>
      </c>
      <c r="Q375">
        <f t="shared" si="32"/>
        <v>5.34622533913825</v>
      </c>
      <c r="T375">
        <v>0.025504</v>
      </c>
      <c r="U375">
        <v>3.43288221455458</v>
      </c>
      <c r="V375">
        <f t="shared" si="33"/>
        <v>3.49611238444076</v>
      </c>
      <c r="Y375">
        <v>10652.548969</v>
      </c>
      <c r="Z375">
        <v>10.652548969</v>
      </c>
      <c r="AA375">
        <v>1.12665448049636</v>
      </c>
      <c r="AD375">
        <v>0.0451783</v>
      </c>
      <c r="AE375">
        <v>1.93792657094224</v>
      </c>
      <c r="AF375">
        <f t="shared" si="34"/>
        <v>6.19308399223575</v>
      </c>
      <c r="AI375">
        <v>7.29496</v>
      </c>
      <c r="AJ375">
        <v>12.0017420246307</v>
      </c>
    </row>
    <row r="376" spans="1:36">
      <c r="A376">
        <f t="shared" si="35"/>
        <v>375</v>
      </c>
      <c r="B376" t="s">
        <v>403</v>
      </c>
      <c r="C376">
        <v>13130804</v>
      </c>
      <c r="E376">
        <v>12.833</v>
      </c>
      <c r="F376">
        <v>1.02320610924959</v>
      </c>
      <c r="G376">
        <f t="shared" si="30"/>
        <v>4.91474922638562</v>
      </c>
      <c r="J376">
        <v>1.101427</v>
      </c>
      <c r="K376">
        <v>11.9216289413642</v>
      </c>
      <c r="L376">
        <f t="shared" si="31"/>
        <v>0.421821670394315</v>
      </c>
      <c r="O376">
        <v>5.6346</v>
      </c>
      <c r="P376">
        <v>2.33038796010365</v>
      </c>
      <c r="Q376">
        <f t="shared" si="32"/>
        <v>2.15792456876742</v>
      </c>
      <c r="T376">
        <v>0.004049</v>
      </c>
      <c r="U376">
        <v>3.24297456162015</v>
      </c>
      <c r="V376">
        <f t="shared" si="33"/>
        <v>1.55067557216827</v>
      </c>
      <c r="Y376">
        <v>4222.783916</v>
      </c>
      <c r="Z376">
        <v>4.222783916</v>
      </c>
      <c r="AA376">
        <v>1.1908734933875</v>
      </c>
      <c r="AD376">
        <v>0.00386231</v>
      </c>
      <c r="AE376">
        <v>3.39972814196685</v>
      </c>
      <c r="AF376">
        <f t="shared" si="34"/>
        <v>1.47917751769356</v>
      </c>
      <c r="AI376">
        <v>2.61112</v>
      </c>
      <c r="AJ376">
        <v>5.02880143386746</v>
      </c>
    </row>
    <row r="377" spans="1:36">
      <c r="A377">
        <f t="shared" si="35"/>
        <v>376</v>
      </c>
      <c r="B377" t="s">
        <v>404</v>
      </c>
      <c r="C377">
        <v>113274026</v>
      </c>
      <c r="E377">
        <v>368.446</v>
      </c>
      <c r="F377">
        <v>0.307437252677462</v>
      </c>
      <c r="G377">
        <f t="shared" si="30"/>
        <v>25.1536749546007</v>
      </c>
      <c r="J377">
        <v>31.518781</v>
      </c>
      <c r="K377">
        <v>3.59385808734164</v>
      </c>
      <c r="L377">
        <f t="shared" si="31"/>
        <v>2.15177576154781</v>
      </c>
      <c r="O377">
        <v>31.8754</v>
      </c>
      <c r="P377">
        <v>3.55365033850556</v>
      </c>
      <c r="Q377">
        <f t="shared" si="32"/>
        <v>2.1761220114966</v>
      </c>
      <c r="T377">
        <v>0.022241</v>
      </c>
      <c r="U377">
        <v>5.09302756171035</v>
      </c>
      <c r="V377">
        <f t="shared" si="33"/>
        <v>1.51838501344912</v>
      </c>
      <c r="Y377">
        <v>9569.354572</v>
      </c>
      <c r="Z377">
        <v>9.569354572</v>
      </c>
      <c r="AA377">
        <v>0.808118945180654</v>
      </c>
      <c r="AD377">
        <v>0.00150015</v>
      </c>
      <c r="AE377">
        <v>75.5084664866847</v>
      </c>
      <c r="AF377">
        <f t="shared" si="34"/>
        <v>0.102414697087617</v>
      </c>
      <c r="AI377">
        <v>14.6478</v>
      </c>
      <c r="AJ377">
        <v>7.73317672278431</v>
      </c>
    </row>
    <row r="378" spans="1:36">
      <c r="A378">
        <f t="shared" si="35"/>
        <v>377</v>
      </c>
      <c r="B378" t="s">
        <v>405</v>
      </c>
      <c r="C378">
        <v>113274026</v>
      </c>
      <c r="E378">
        <v>383.541</v>
      </c>
      <c r="F378">
        <v>0.295337463269898</v>
      </c>
      <c r="G378">
        <f t="shared" si="30"/>
        <v>26.3556777186051</v>
      </c>
      <c r="J378">
        <v>24.678726</v>
      </c>
      <c r="K378">
        <v>4.58994625573459</v>
      </c>
      <c r="L378">
        <f t="shared" si="31"/>
        <v>1.6958409895207</v>
      </c>
      <c r="O378">
        <v>31.3838</v>
      </c>
      <c r="P378">
        <v>3.60931518809067</v>
      </c>
      <c r="Q378">
        <f t="shared" si="32"/>
        <v>2.15659165091909</v>
      </c>
      <c r="T378">
        <v>0.022269</v>
      </c>
      <c r="U378">
        <v>5.08662382684449</v>
      </c>
      <c r="V378">
        <f t="shared" si="33"/>
        <v>1.53025253392888</v>
      </c>
      <c r="Y378">
        <v>9674.735782</v>
      </c>
      <c r="Z378">
        <v>9.674735782</v>
      </c>
      <c r="AA378">
        <v>0.804551067394906</v>
      </c>
      <c r="AD378">
        <v>0.00150499</v>
      </c>
      <c r="AE378">
        <v>75.2656336586954</v>
      </c>
      <c r="AF378">
        <f t="shared" si="34"/>
        <v>0.103417969421062</v>
      </c>
      <c r="AI378">
        <v>14.5525</v>
      </c>
      <c r="AJ378">
        <v>7.78381900017179</v>
      </c>
    </row>
    <row r="379" spans="1:36">
      <c r="A379">
        <f t="shared" si="35"/>
        <v>378</v>
      </c>
      <c r="B379" t="s">
        <v>406</v>
      </c>
      <c r="C379">
        <v>17597124</v>
      </c>
      <c r="E379">
        <v>29.274</v>
      </c>
      <c r="F379">
        <v>0.601117852018856</v>
      </c>
      <c r="G379">
        <f t="shared" si="30"/>
        <v>6.39592045409856</v>
      </c>
      <c r="J379">
        <v>2.546728</v>
      </c>
      <c r="K379">
        <v>6.90969903342642</v>
      </c>
      <c r="L379">
        <f t="shared" si="31"/>
        <v>0.55642104619203</v>
      </c>
      <c r="O379">
        <v>8.2269</v>
      </c>
      <c r="P379">
        <v>2.13897385406411</v>
      </c>
      <c r="Q379">
        <f t="shared" si="32"/>
        <v>1.79745159471966</v>
      </c>
      <c r="T379">
        <v>0.004045</v>
      </c>
      <c r="U379">
        <v>4.35033967861558</v>
      </c>
      <c r="V379">
        <f t="shared" si="33"/>
        <v>0.883770521173349</v>
      </c>
      <c r="Y379">
        <v>4829.280357</v>
      </c>
      <c r="Z379">
        <v>4.829280357</v>
      </c>
      <c r="AA379">
        <v>0.796123165530932</v>
      </c>
      <c r="AD379">
        <v>0.0108021</v>
      </c>
      <c r="AE379">
        <v>1.62904657427722</v>
      </c>
      <c r="AF379">
        <f t="shared" si="34"/>
        <v>2.36009333665431</v>
      </c>
      <c r="AI379">
        <v>4.57698</v>
      </c>
      <c r="AJ379">
        <v>3.84470196505119</v>
      </c>
    </row>
    <row r="380" spans="1:36">
      <c r="A380">
        <f t="shared" si="35"/>
        <v>379</v>
      </c>
      <c r="B380" t="s">
        <v>407</v>
      </c>
      <c r="C380">
        <v>10265412</v>
      </c>
      <c r="E380">
        <v>19.703</v>
      </c>
      <c r="F380">
        <v>0.521007562300157</v>
      </c>
      <c r="G380">
        <f t="shared" si="30"/>
        <v>11.4556987784387</v>
      </c>
      <c r="J380">
        <v>1.360422</v>
      </c>
      <c r="K380">
        <v>7.54575565523051</v>
      </c>
      <c r="L380">
        <f t="shared" si="31"/>
        <v>0.790975214107552</v>
      </c>
      <c r="O380">
        <v>8.7965</v>
      </c>
      <c r="P380">
        <v>1.16698823395669</v>
      </c>
      <c r="Q380">
        <f t="shared" si="32"/>
        <v>5.11445233236236</v>
      </c>
      <c r="T380">
        <v>0.00365</v>
      </c>
      <c r="U380">
        <v>2.81244164383562</v>
      </c>
      <c r="V380">
        <f t="shared" si="33"/>
        <v>2.12217939102173</v>
      </c>
      <c r="Y380">
        <v>3451.111293</v>
      </c>
      <c r="Z380">
        <v>3.451111293</v>
      </c>
      <c r="AA380">
        <v>1.72944457256575</v>
      </c>
      <c r="AD380">
        <v>0.00375789</v>
      </c>
      <c r="AE380">
        <v>2.73169571222149</v>
      </c>
      <c r="AF380">
        <f t="shared" si="34"/>
        <v>2.18490868814428</v>
      </c>
      <c r="AI380">
        <v>1.71993</v>
      </c>
      <c r="AJ380">
        <v>5.96850569499922</v>
      </c>
    </row>
    <row r="381" spans="1:36">
      <c r="A381">
        <f t="shared" si="35"/>
        <v>380</v>
      </c>
      <c r="B381" t="s">
        <v>408</v>
      </c>
      <c r="C381">
        <v>5209580</v>
      </c>
      <c r="E381">
        <v>24.569</v>
      </c>
      <c r="F381">
        <v>0.212038748015792</v>
      </c>
      <c r="G381">
        <f t="shared" si="30"/>
        <v>8.10007978425284</v>
      </c>
      <c r="J381">
        <v>5.162733</v>
      </c>
      <c r="K381">
        <v>1.00907406987733</v>
      </c>
      <c r="L381">
        <f t="shared" si="31"/>
        <v>1.70208592961842</v>
      </c>
      <c r="O381">
        <v>8.4153</v>
      </c>
      <c r="P381">
        <v>0.619060520718216</v>
      </c>
      <c r="Q381">
        <f t="shared" si="32"/>
        <v>2.77441497042708</v>
      </c>
      <c r="T381">
        <v>0.006349</v>
      </c>
      <c r="U381">
        <v>0.820535517404316</v>
      </c>
      <c r="V381">
        <f t="shared" si="33"/>
        <v>2.09318273231394</v>
      </c>
      <c r="Y381">
        <v>1232.105444</v>
      </c>
      <c r="Z381">
        <v>1.232105444</v>
      </c>
      <c r="AA381">
        <v>1.39398034855286</v>
      </c>
      <c r="AD381">
        <v>0.0173496</v>
      </c>
      <c r="AE381">
        <v>0.300270899617282</v>
      </c>
      <c r="AF381">
        <f t="shared" si="34"/>
        <v>5.71993749134572</v>
      </c>
      <c r="AI381">
        <v>3.03318</v>
      </c>
      <c r="AJ381">
        <v>1.717530776281</v>
      </c>
    </row>
    <row r="382" spans="1:36">
      <c r="A382">
        <f t="shared" si="35"/>
        <v>381</v>
      </c>
      <c r="B382" t="s">
        <v>409</v>
      </c>
      <c r="C382">
        <v>44060988</v>
      </c>
      <c r="E382">
        <v>27.254</v>
      </c>
      <c r="F382">
        <v>1.61667968004697</v>
      </c>
      <c r="G382">
        <f t="shared" si="30"/>
        <v>24.6586745080298</v>
      </c>
      <c r="J382">
        <v>1.501572</v>
      </c>
      <c r="K382">
        <v>29.3432402841822</v>
      </c>
      <c r="L382">
        <f t="shared" si="31"/>
        <v>1.35858131644424</v>
      </c>
      <c r="O382">
        <v>6.6633</v>
      </c>
      <c r="P382">
        <v>6.61248750619063</v>
      </c>
      <c r="Q382">
        <f t="shared" si="32"/>
        <v>6.02877177109251</v>
      </c>
      <c r="T382">
        <v>0.003578</v>
      </c>
      <c r="U382">
        <v>12.3144181106764</v>
      </c>
      <c r="V382">
        <f t="shared" si="33"/>
        <v>3.23727663424564</v>
      </c>
      <c r="Y382">
        <v>33996.947988</v>
      </c>
      <c r="Z382">
        <v>33.996947988</v>
      </c>
      <c r="AA382">
        <v>1.17261049515666</v>
      </c>
      <c r="AD382">
        <v>0.0144166</v>
      </c>
      <c r="AE382">
        <v>3.0562676359197</v>
      </c>
      <c r="AF382">
        <f t="shared" si="34"/>
        <v>13.0437457588781</v>
      </c>
      <c r="AI382">
        <v>1.10525</v>
      </c>
      <c r="AJ382">
        <v>39.865178014024</v>
      </c>
    </row>
    <row r="383" spans="1:36">
      <c r="A383">
        <f t="shared" si="35"/>
        <v>382</v>
      </c>
      <c r="B383" t="s">
        <v>410</v>
      </c>
      <c r="C383">
        <v>38440814</v>
      </c>
      <c r="E383">
        <v>54.271</v>
      </c>
      <c r="F383">
        <v>0.708312247793481</v>
      </c>
      <c r="G383">
        <f t="shared" si="30"/>
        <v>21.9913851440335</v>
      </c>
      <c r="J383">
        <v>4.280728</v>
      </c>
      <c r="K383">
        <v>8.97997116378336</v>
      </c>
      <c r="L383">
        <f t="shared" si="31"/>
        <v>1.7346121896565</v>
      </c>
      <c r="O383">
        <v>12.4077</v>
      </c>
      <c r="P383">
        <v>3.09814179904414</v>
      </c>
      <c r="Q383">
        <f t="shared" si="32"/>
        <v>5.02777744009921</v>
      </c>
      <c r="T383">
        <v>0.005997</v>
      </c>
      <c r="U383">
        <v>6.41000733700183</v>
      </c>
      <c r="V383">
        <f t="shared" si="33"/>
        <v>2.43007014259492</v>
      </c>
      <c r="Y383">
        <v>14834.599134</v>
      </c>
      <c r="Z383">
        <v>14.834599134</v>
      </c>
      <c r="AA383">
        <v>1.05002954935004</v>
      </c>
      <c r="AD383">
        <v>0.0190399</v>
      </c>
      <c r="AE383">
        <v>2.01896091891239</v>
      </c>
      <c r="AF383">
        <f t="shared" si="34"/>
        <v>7.71523970451774</v>
      </c>
      <c r="AI383">
        <v>2.46783</v>
      </c>
      <c r="AJ383">
        <v>15.5767674434625</v>
      </c>
    </row>
    <row r="384" spans="1:36">
      <c r="A384">
        <f t="shared" si="35"/>
        <v>383</v>
      </c>
      <c r="B384" t="s">
        <v>411</v>
      </c>
      <c r="C384">
        <v>38440814</v>
      </c>
      <c r="E384">
        <v>60.066</v>
      </c>
      <c r="F384">
        <v>0.639976259447941</v>
      </c>
      <c r="G384">
        <f t="shared" si="30"/>
        <v>23.7761794870779</v>
      </c>
      <c r="J384">
        <v>4.230868</v>
      </c>
      <c r="K384">
        <v>9.085798469723</v>
      </c>
      <c r="L384">
        <f t="shared" si="31"/>
        <v>1.67472242123888</v>
      </c>
      <c r="O384">
        <v>12.5575</v>
      </c>
      <c r="P384">
        <v>3.06118367509457</v>
      </c>
      <c r="Q384">
        <f t="shared" si="32"/>
        <v>4.9706884744944</v>
      </c>
      <c r="T384">
        <v>0.006189</v>
      </c>
      <c r="U384">
        <v>6.21115107448699</v>
      </c>
      <c r="V384">
        <f t="shared" si="33"/>
        <v>2.44981811416651</v>
      </c>
      <c r="Y384">
        <v>13901.952864</v>
      </c>
      <c r="Z384">
        <v>13.901952864</v>
      </c>
      <c r="AA384">
        <v>1.09453618214361</v>
      </c>
      <c r="AD384">
        <v>0.01632</v>
      </c>
      <c r="AE384">
        <v>2.35544203431373</v>
      </c>
      <c r="AF384">
        <f t="shared" si="34"/>
        <v>6.46001480420057</v>
      </c>
      <c r="AI384">
        <v>2.52631</v>
      </c>
      <c r="AJ384">
        <v>15.216190412103</v>
      </c>
    </row>
    <row r="385" spans="1:36">
      <c r="A385">
        <f t="shared" si="35"/>
        <v>384</v>
      </c>
      <c r="B385" t="s">
        <v>412</v>
      </c>
      <c r="C385">
        <v>18632682</v>
      </c>
      <c r="E385">
        <v>15.12</v>
      </c>
      <c r="F385">
        <v>1.23232023809524</v>
      </c>
      <c r="G385">
        <f t="shared" si="30"/>
        <v>13.6884607724203</v>
      </c>
      <c r="J385">
        <v>1.186474</v>
      </c>
      <c r="K385">
        <v>15.7042480492619</v>
      </c>
      <c r="L385">
        <f t="shared" si="31"/>
        <v>1.07414039725507</v>
      </c>
      <c r="O385">
        <v>5.3211</v>
      </c>
      <c r="P385">
        <v>3.50165980718272</v>
      </c>
      <c r="Q385">
        <f t="shared" si="32"/>
        <v>4.81730612540514</v>
      </c>
      <c r="T385">
        <v>0.003257</v>
      </c>
      <c r="U385">
        <v>5.72081117592877</v>
      </c>
      <c r="V385">
        <f t="shared" si="33"/>
        <v>2.94863205924424</v>
      </c>
      <c r="Y385">
        <v>14311.440686</v>
      </c>
      <c r="Z385">
        <v>14.311440686</v>
      </c>
      <c r="AA385">
        <v>1.17867708837502</v>
      </c>
      <c r="AD385">
        <v>0.00401119</v>
      </c>
      <c r="AE385">
        <v>4.64517562119969</v>
      </c>
      <c r="AF385">
        <f t="shared" si="34"/>
        <v>3.63141646598708</v>
      </c>
      <c r="AI385">
        <v>1.10458</v>
      </c>
      <c r="AJ385">
        <v>16.8685672382263</v>
      </c>
    </row>
    <row r="386" spans="1:36">
      <c r="A386">
        <f t="shared" si="35"/>
        <v>385</v>
      </c>
      <c r="B386" t="s">
        <v>413</v>
      </c>
      <c r="C386">
        <v>55150168</v>
      </c>
      <c r="E386">
        <v>141.064</v>
      </c>
      <c r="F386">
        <v>0.390958486927919</v>
      </c>
      <c r="G386">
        <f t="shared" si="30"/>
        <v>22.0218432506354</v>
      </c>
      <c r="J386">
        <v>24.681995</v>
      </c>
      <c r="K386">
        <v>2.23442910510273</v>
      </c>
      <c r="L386">
        <f t="shared" si="31"/>
        <v>3.85316611611017</v>
      </c>
      <c r="O386">
        <v>26.777</v>
      </c>
      <c r="P386">
        <v>2.05960966501102</v>
      </c>
      <c r="Q386">
        <f t="shared" si="32"/>
        <v>4.18022242898445</v>
      </c>
      <c r="T386">
        <v>0.011742</v>
      </c>
      <c r="U386">
        <v>4.69682916027934</v>
      </c>
      <c r="V386">
        <f t="shared" si="33"/>
        <v>1.83307210520729</v>
      </c>
      <c r="Y386">
        <v>8100.865545</v>
      </c>
      <c r="Z386">
        <v>8.100865545</v>
      </c>
      <c r="AA386">
        <v>1.06280328550154</v>
      </c>
      <c r="AD386">
        <v>0.00170622</v>
      </c>
      <c r="AE386">
        <v>32.3230111005615</v>
      </c>
      <c r="AF386">
        <f t="shared" si="34"/>
        <v>0.266362143361163</v>
      </c>
      <c r="AI386">
        <v>6.40564</v>
      </c>
      <c r="AJ386">
        <v>8.60962651663222</v>
      </c>
    </row>
    <row r="387" spans="1:36">
      <c r="A387">
        <f t="shared" si="35"/>
        <v>386</v>
      </c>
      <c r="B387" t="s">
        <v>414</v>
      </c>
      <c r="C387">
        <v>9042684</v>
      </c>
      <c r="E387">
        <v>21.761</v>
      </c>
      <c r="F387">
        <v>0.415545425302146</v>
      </c>
      <c r="G387">
        <f t="shared" ref="G387:G450" si="36">AJ387/F387</f>
        <v>10.2441825979296</v>
      </c>
      <c r="J387">
        <v>3.256517</v>
      </c>
      <c r="K387">
        <v>2.77679619053117</v>
      </c>
      <c r="L387">
        <f t="shared" ref="L387:L450" si="37">AJ387/K387</f>
        <v>1.53303408764588</v>
      </c>
      <c r="O387">
        <v>10.5477</v>
      </c>
      <c r="P387">
        <v>0.857313347933673</v>
      </c>
      <c r="Q387">
        <f t="shared" ref="Q387:Q450" si="38">AJ387/P387</f>
        <v>4.96542276495483</v>
      </c>
      <c r="T387">
        <v>0.005908</v>
      </c>
      <c r="U387">
        <v>1.53058293838863</v>
      </c>
      <c r="V387">
        <f t="shared" ref="V387:V450" si="39">AJ387/U387</f>
        <v>2.78124308572988</v>
      </c>
      <c r="Y387">
        <v>2515.560739</v>
      </c>
      <c r="Z387">
        <v>2.515560739</v>
      </c>
      <c r="AA387">
        <v>1.69223630681314</v>
      </c>
      <c r="AD387">
        <v>0.00376147</v>
      </c>
      <c r="AE387">
        <v>2.40402927578846</v>
      </c>
      <c r="AF387">
        <f t="shared" ref="AF387:AF450" si="40">AJ387/AE387</f>
        <v>1.77074516413006</v>
      </c>
      <c r="AI387">
        <v>2.12423</v>
      </c>
      <c r="AJ387">
        <v>4.2569232145295</v>
      </c>
    </row>
    <row r="388" spans="1:36">
      <c r="A388">
        <f t="shared" ref="A388:A451" si="41">A387+1</f>
        <v>387</v>
      </c>
      <c r="B388" t="s">
        <v>415</v>
      </c>
      <c r="C388">
        <v>8112220</v>
      </c>
      <c r="E388">
        <v>17.469</v>
      </c>
      <c r="F388">
        <v>0.46437804110138</v>
      </c>
      <c r="G388">
        <f t="shared" si="36"/>
        <v>14.4056405393147</v>
      </c>
      <c r="J388">
        <v>1.962291</v>
      </c>
      <c r="K388">
        <v>4.13405555037454</v>
      </c>
      <c r="L388">
        <f t="shared" si="37"/>
        <v>1.61818414216798</v>
      </c>
      <c r="O388">
        <v>4.7686</v>
      </c>
      <c r="P388">
        <v>1.7011743488655</v>
      </c>
      <c r="Q388">
        <f t="shared" si="38"/>
        <v>3.93237949944335</v>
      </c>
      <c r="T388">
        <v>0.003972</v>
      </c>
      <c r="U388">
        <v>2.04235146022155</v>
      </c>
      <c r="V388">
        <f t="shared" si="39"/>
        <v>3.27547107574321</v>
      </c>
      <c r="Y388">
        <v>5815.322679</v>
      </c>
      <c r="Z388">
        <v>5.815322679</v>
      </c>
      <c r="AA388">
        <v>1.15035115052428</v>
      </c>
      <c r="AD388">
        <v>0.00321456</v>
      </c>
      <c r="AE388">
        <v>2.5235864317356</v>
      </c>
      <c r="AF388">
        <f t="shared" si="40"/>
        <v>2.65085556426009</v>
      </c>
      <c r="AI388">
        <v>1.21265</v>
      </c>
      <c r="AJ388">
        <v>6.68966313445759</v>
      </c>
    </row>
    <row r="389" spans="1:36">
      <c r="A389">
        <f t="shared" si="41"/>
        <v>388</v>
      </c>
      <c r="B389" t="s">
        <v>416</v>
      </c>
      <c r="C389">
        <v>10353012</v>
      </c>
      <c r="E389">
        <v>21.183</v>
      </c>
      <c r="F389">
        <v>0.488741538025775</v>
      </c>
      <c r="G389">
        <f t="shared" si="36"/>
        <v>5.71554229253064</v>
      </c>
      <c r="J389">
        <v>2.33765</v>
      </c>
      <c r="K389">
        <v>4.42881184095138</v>
      </c>
      <c r="L389">
        <f t="shared" si="37"/>
        <v>0.630738679135828</v>
      </c>
      <c r="O389">
        <v>11.1227</v>
      </c>
      <c r="P389">
        <v>0.930800255333687</v>
      </c>
      <c r="Q389">
        <f t="shared" si="38"/>
        <v>3.00109815687724</v>
      </c>
      <c r="T389">
        <v>0.005417</v>
      </c>
      <c r="U389">
        <v>1.91120767952741</v>
      </c>
      <c r="V389">
        <f t="shared" si="39"/>
        <v>1.46160093464753</v>
      </c>
      <c r="Y389">
        <v>2611.196255</v>
      </c>
      <c r="Z389">
        <v>2.611196255</v>
      </c>
      <c r="AA389">
        <v>1.06978666400653</v>
      </c>
      <c r="AD389">
        <v>0.00490604</v>
      </c>
      <c r="AE389">
        <v>2.11025837539034</v>
      </c>
      <c r="AF389">
        <f t="shared" si="40"/>
        <v>1.32373502850621</v>
      </c>
      <c r="AI389">
        <v>3.70621</v>
      </c>
      <c r="AJ389">
        <v>2.79342293070279</v>
      </c>
    </row>
    <row r="390" spans="1:36">
      <c r="A390">
        <f t="shared" si="41"/>
        <v>389</v>
      </c>
      <c r="B390" t="s">
        <v>417</v>
      </c>
      <c r="C390">
        <v>14293332</v>
      </c>
      <c r="E390">
        <v>31.762</v>
      </c>
      <c r="F390">
        <v>0.450013601158617</v>
      </c>
      <c r="G390">
        <f t="shared" si="36"/>
        <v>11.2888607711911</v>
      </c>
      <c r="J390">
        <v>3.892365</v>
      </c>
      <c r="K390">
        <v>3.67214585476953</v>
      </c>
      <c r="L390">
        <f t="shared" si="37"/>
        <v>1.38342568338445</v>
      </c>
      <c r="O390">
        <v>14.7604</v>
      </c>
      <c r="P390">
        <v>0.968356684100702</v>
      </c>
      <c r="Q390">
        <f t="shared" si="38"/>
        <v>5.24614635498673</v>
      </c>
      <c r="T390">
        <v>0.008433</v>
      </c>
      <c r="U390">
        <v>1.69492849519744</v>
      </c>
      <c r="V390">
        <f t="shared" si="39"/>
        <v>2.99725970919508</v>
      </c>
      <c r="Y390">
        <v>3555.486471</v>
      </c>
      <c r="Z390">
        <v>3.555486471</v>
      </c>
      <c r="AA390">
        <v>1.4288173868914</v>
      </c>
      <c r="AD390">
        <v>0.0151446</v>
      </c>
      <c r="AE390">
        <v>0.943790658056337</v>
      </c>
      <c r="AF390">
        <f t="shared" si="40"/>
        <v>5.38269884879353</v>
      </c>
      <c r="AI390">
        <v>2.81357</v>
      </c>
      <c r="AJ390">
        <v>5.08014088862193</v>
      </c>
    </row>
    <row r="391" spans="1:36">
      <c r="A391">
        <f t="shared" si="41"/>
        <v>390</v>
      </c>
      <c r="B391" t="s">
        <v>418</v>
      </c>
      <c r="C391">
        <v>28699428</v>
      </c>
      <c r="E391">
        <v>16.23</v>
      </c>
      <c r="F391">
        <v>1.76829500924214</v>
      </c>
      <c r="G391">
        <f t="shared" si="36"/>
        <v>10.2587765318635</v>
      </c>
      <c r="J391">
        <v>1.201406</v>
      </c>
      <c r="K391">
        <v>23.888200991172</v>
      </c>
      <c r="L391">
        <f t="shared" si="37"/>
        <v>0.759393449047445</v>
      </c>
      <c r="O391">
        <v>7.5667</v>
      </c>
      <c r="P391">
        <v>3.79285923850556</v>
      </c>
      <c r="Q391">
        <f t="shared" si="38"/>
        <v>4.78281481106911</v>
      </c>
      <c r="T391">
        <v>0.003123</v>
      </c>
      <c r="U391">
        <v>9.18969836695485</v>
      </c>
      <c r="V391">
        <f t="shared" si="39"/>
        <v>1.9740085711035</v>
      </c>
      <c r="Y391">
        <v>12380.427793</v>
      </c>
      <c r="Z391">
        <v>12.380427793</v>
      </c>
      <c r="AA391">
        <v>1.46525981537419</v>
      </c>
      <c r="AD391">
        <v>0.00545499</v>
      </c>
      <c r="AE391">
        <v>5.26113301765906</v>
      </c>
      <c r="AF391">
        <f t="shared" si="40"/>
        <v>3.44802978395257</v>
      </c>
      <c r="AI391">
        <v>1.58206</v>
      </c>
      <c r="AJ391">
        <v>18.1405433422247</v>
      </c>
    </row>
    <row r="392" spans="1:36">
      <c r="A392">
        <f t="shared" si="41"/>
        <v>391</v>
      </c>
      <c r="B392" t="s">
        <v>419</v>
      </c>
      <c r="C392">
        <v>73016184</v>
      </c>
      <c r="E392">
        <v>20.95</v>
      </c>
      <c r="F392">
        <v>3.48525937947494</v>
      </c>
      <c r="G392">
        <f t="shared" si="36"/>
        <v>21.2059988177276</v>
      </c>
      <c r="J392">
        <v>2.055474</v>
      </c>
      <c r="K392">
        <v>35.522796201752</v>
      </c>
      <c r="L392">
        <f t="shared" si="37"/>
        <v>2.08059089326348</v>
      </c>
      <c r="O392">
        <v>5.3127</v>
      </c>
      <c r="P392">
        <v>13.7437054605003</v>
      </c>
      <c r="Q392">
        <f t="shared" si="38"/>
        <v>5.37761861188265</v>
      </c>
      <c r="T392">
        <v>0.002644</v>
      </c>
      <c r="U392">
        <v>27.6158033282905</v>
      </c>
      <c r="V392">
        <f t="shared" si="39"/>
        <v>2.67630839494376</v>
      </c>
      <c r="Y392">
        <v>53857.778089</v>
      </c>
      <c r="Z392">
        <v>53.857778089</v>
      </c>
      <c r="AA392">
        <v>1.37228844009283</v>
      </c>
      <c r="AD392">
        <v>0.00825051</v>
      </c>
      <c r="AE392">
        <v>8.84989946076061</v>
      </c>
      <c r="AF392">
        <f t="shared" si="40"/>
        <v>8.35132722222671</v>
      </c>
      <c r="AI392">
        <v>0.987928</v>
      </c>
      <c r="AJ392">
        <v>73.9084062806196</v>
      </c>
    </row>
    <row r="393" spans="1:36">
      <c r="A393">
        <f t="shared" si="41"/>
        <v>392</v>
      </c>
      <c r="B393" t="s">
        <v>420</v>
      </c>
      <c r="C393">
        <v>84723900</v>
      </c>
      <c r="E393">
        <v>30.329</v>
      </c>
      <c r="F393">
        <v>2.79349467506347</v>
      </c>
      <c r="G393">
        <f t="shared" si="36"/>
        <v>20.503927851918</v>
      </c>
      <c r="J393">
        <v>2.73336</v>
      </c>
      <c r="K393">
        <v>30.9962463780841</v>
      </c>
      <c r="L393">
        <f t="shared" si="37"/>
        <v>1.84788869508782</v>
      </c>
      <c r="O393">
        <v>7.7676</v>
      </c>
      <c r="P393">
        <v>10.907345898347</v>
      </c>
      <c r="Q393">
        <f t="shared" si="38"/>
        <v>5.25128787571491</v>
      </c>
      <c r="T393">
        <v>0.003184</v>
      </c>
      <c r="U393">
        <v>26.6092650753769</v>
      </c>
      <c r="V393">
        <f t="shared" si="39"/>
        <v>2.15254397706837</v>
      </c>
      <c r="Y393">
        <v>36403.636267</v>
      </c>
      <c r="Z393">
        <v>36.403636267</v>
      </c>
      <c r="AA393">
        <v>1.57340362517963</v>
      </c>
      <c r="AD393">
        <v>0.0313972</v>
      </c>
      <c r="AE393">
        <v>2.69845400226772</v>
      </c>
      <c r="AF393">
        <f t="shared" si="40"/>
        <v>21.2260847226166</v>
      </c>
      <c r="AI393">
        <v>1.47918</v>
      </c>
      <c r="AJ393">
        <v>57.2776132722184</v>
      </c>
    </row>
    <row r="394" spans="1:36">
      <c r="A394">
        <f t="shared" si="41"/>
        <v>393</v>
      </c>
      <c r="B394" t="s">
        <v>421</v>
      </c>
      <c r="C394">
        <v>9791210</v>
      </c>
      <c r="E394">
        <v>19.871</v>
      </c>
      <c r="F394">
        <v>0.492738664385285</v>
      </c>
      <c r="G394">
        <f t="shared" si="36"/>
        <v>13.2925279282895</v>
      </c>
      <c r="J394">
        <v>1.182626</v>
      </c>
      <c r="K394">
        <v>8.27921084095902</v>
      </c>
      <c r="L394">
        <f t="shared" si="37"/>
        <v>0.791107097464713</v>
      </c>
      <c r="O394">
        <v>5.1777</v>
      </c>
      <c r="P394">
        <v>1.89103462927555</v>
      </c>
      <c r="Q394">
        <f t="shared" si="38"/>
        <v>3.46357615894039</v>
      </c>
      <c r="T394">
        <v>0.003395</v>
      </c>
      <c r="U394">
        <v>2.8840088365243</v>
      </c>
      <c r="V394">
        <f t="shared" si="39"/>
        <v>2.27105492006154</v>
      </c>
      <c r="Y394">
        <v>7279.627135</v>
      </c>
      <c r="Z394">
        <v>7.279627135</v>
      </c>
      <c r="AA394">
        <v>0.899735980459593</v>
      </c>
      <c r="AD394">
        <v>0.0208282</v>
      </c>
      <c r="AE394">
        <v>0.470093911139705</v>
      </c>
      <c r="AF394">
        <f t="shared" si="40"/>
        <v>13.9328383169443</v>
      </c>
      <c r="AI394">
        <v>1.4949</v>
      </c>
      <c r="AJ394">
        <v>6.54974245768948</v>
      </c>
    </row>
    <row r="395" spans="1:36">
      <c r="A395">
        <f t="shared" si="41"/>
        <v>394</v>
      </c>
      <c r="B395" t="s">
        <v>422</v>
      </c>
      <c r="C395">
        <v>194704526</v>
      </c>
      <c r="E395">
        <v>220.636</v>
      </c>
      <c r="F395">
        <v>0.882469433818597</v>
      </c>
      <c r="G395">
        <f t="shared" si="36"/>
        <v>4.17925035800065</v>
      </c>
      <c r="J395">
        <v>115.440932</v>
      </c>
      <c r="K395">
        <v>1.68661602628087</v>
      </c>
      <c r="L395">
        <f t="shared" si="37"/>
        <v>2.18666290355576</v>
      </c>
      <c r="O395">
        <v>77.2942</v>
      </c>
      <c r="P395">
        <v>2.51900564337298</v>
      </c>
      <c r="Q395">
        <f t="shared" si="38"/>
        <v>1.46409386057295</v>
      </c>
      <c r="T395">
        <v>0.051475</v>
      </c>
      <c r="U395">
        <v>3.78250657600777</v>
      </c>
      <c r="V395">
        <f t="shared" si="39"/>
        <v>0.97503087518847</v>
      </c>
      <c r="Y395">
        <v>1993.146629</v>
      </c>
      <c r="Z395">
        <v>1.993146629</v>
      </c>
      <c r="AA395">
        <v>1.85037098803984</v>
      </c>
      <c r="AD395">
        <v>0.109787</v>
      </c>
      <c r="AE395">
        <v>1.77347523841621</v>
      </c>
      <c r="AF395">
        <f t="shared" si="40"/>
        <v>2.07956706545539</v>
      </c>
      <c r="AI395">
        <v>52.7932</v>
      </c>
      <c r="AJ395">
        <v>3.688060697211</v>
      </c>
    </row>
    <row r="396" spans="1:36">
      <c r="A396">
        <f t="shared" si="41"/>
        <v>395</v>
      </c>
      <c r="B396" t="s">
        <v>423</v>
      </c>
      <c r="C396">
        <v>15427584</v>
      </c>
      <c r="E396">
        <v>27.25</v>
      </c>
      <c r="F396">
        <v>0.566149871559633</v>
      </c>
      <c r="G396">
        <f t="shared" si="36"/>
        <v>9.54924079155321</v>
      </c>
      <c r="J396">
        <v>2.291547</v>
      </c>
      <c r="K396">
        <v>6.73238820761695</v>
      </c>
      <c r="L396">
        <f t="shared" si="37"/>
        <v>0.803028773877482</v>
      </c>
      <c r="O396">
        <v>12.6874</v>
      </c>
      <c r="P396">
        <v>1.21597679587622</v>
      </c>
      <c r="Q396">
        <f t="shared" si="38"/>
        <v>4.44605642637624</v>
      </c>
      <c r="T396">
        <v>0.007114</v>
      </c>
      <c r="U396">
        <v>2.16862299690751</v>
      </c>
      <c r="V396">
        <f t="shared" si="39"/>
        <v>2.49296510059117</v>
      </c>
      <c r="Y396">
        <v>4340.580976</v>
      </c>
      <c r="Z396">
        <v>4.340580976</v>
      </c>
      <c r="AA396">
        <v>1.24552484506624</v>
      </c>
      <c r="AD396">
        <v>0.00401148</v>
      </c>
      <c r="AE396">
        <v>3.84585838643094</v>
      </c>
      <c r="AF396">
        <f t="shared" si="40"/>
        <v>1.40574636515596</v>
      </c>
      <c r="AI396">
        <v>2.85363</v>
      </c>
      <c r="AJ396">
        <v>5.40630144762986</v>
      </c>
    </row>
    <row r="397" spans="1:36">
      <c r="A397">
        <f t="shared" si="41"/>
        <v>396</v>
      </c>
      <c r="B397" t="s">
        <v>424</v>
      </c>
      <c r="C397">
        <v>15427584</v>
      </c>
      <c r="E397">
        <v>28.736</v>
      </c>
      <c r="F397">
        <v>0.536873051224944</v>
      </c>
      <c r="G397">
        <f t="shared" si="36"/>
        <v>11.8369616707516</v>
      </c>
      <c r="J397">
        <v>3.085956</v>
      </c>
      <c r="K397">
        <v>4.99928838907619</v>
      </c>
      <c r="L397">
        <f t="shared" si="37"/>
        <v>1.27117006158219</v>
      </c>
      <c r="O397">
        <v>14.7701</v>
      </c>
      <c r="P397">
        <v>1.044514525968</v>
      </c>
      <c r="Q397">
        <f t="shared" si="38"/>
        <v>6.08411426688363</v>
      </c>
      <c r="T397">
        <v>0.006529</v>
      </c>
      <c r="U397">
        <v>2.36293214887425</v>
      </c>
      <c r="V397">
        <f t="shared" si="39"/>
        <v>2.68943216691039</v>
      </c>
      <c r="Y397">
        <v>4773.733852</v>
      </c>
      <c r="Z397">
        <v>4.773733852</v>
      </c>
      <c r="AA397">
        <v>1.33123167868829</v>
      </c>
      <c r="AD397">
        <v>0.00360638</v>
      </c>
      <c r="AE397">
        <v>4.27785868377708</v>
      </c>
      <c r="AF397">
        <f t="shared" si="40"/>
        <v>1.48554363273124</v>
      </c>
      <c r="AI397">
        <v>2.42765</v>
      </c>
      <c r="AJ397">
        <v>6.3549457294091</v>
      </c>
    </row>
    <row r="398" spans="1:36">
      <c r="A398">
        <f t="shared" si="41"/>
        <v>397</v>
      </c>
      <c r="B398" t="s">
        <v>425</v>
      </c>
      <c r="C398">
        <v>64631728</v>
      </c>
      <c r="E398">
        <v>143.243</v>
      </c>
      <c r="F398">
        <v>0.451203395628408</v>
      </c>
      <c r="G398">
        <f t="shared" si="36"/>
        <v>5.47307649690702</v>
      </c>
      <c r="J398">
        <v>20.284799</v>
      </c>
      <c r="K398">
        <v>3.18621485970849</v>
      </c>
      <c r="L398">
        <f t="shared" si="37"/>
        <v>0.775048390855981</v>
      </c>
      <c r="O398">
        <v>36.2041</v>
      </c>
      <c r="P398">
        <v>1.78520465914082</v>
      </c>
      <c r="Q398">
        <f t="shared" si="38"/>
        <v>1.38329837270702</v>
      </c>
      <c r="T398">
        <v>0.017521</v>
      </c>
      <c r="U398">
        <v>3.68881502197363</v>
      </c>
      <c r="V398">
        <f t="shared" si="39"/>
        <v>0.669448233437641</v>
      </c>
      <c r="Y398">
        <v>5464.007727</v>
      </c>
      <c r="Z398">
        <v>5.464007727</v>
      </c>
      <c r="AA398">
        <v>0.451952270809532</v>
      </c>
      <c r="AD398">
        <v>0.00693815</v>
      </c>
      <c r="AE398">
        <v>9.31541232172841</v>
      </c>
      <c r="AF398">
        <f t="shared" si="40"/>
        <v>0.265095157857735</v>
      </c>
      <c r="AI398">
        <v>26.1723</v>
      </c>
      <c r="AJ398">
        <v>2.46947069993848</v>
      </c>
    </row>
    <row r="399" spans="1:36">
      <c r="A399">
        <f t="shared" si="41"/>
        <v>398</v>
      </c>
      <c r="B399" t="s">
        <v>426</v>
      </c>
      <c r="C399">
        <v>1812018218</v>
      </c>
      <c r="E399">
        <v>1442.037</v>
      </c>
      <c r="F399">
        <v>1.25656846391597</v>
      </c>
      <c r="G399">
        <f t="shared" si="36"/>
        <v>6.07048230049382</v>
      </c>
      <c r="J399">
        <v>207.284303</v>
      </c>
      <c r="K399">
        <v>8.74170495196638</v>
      </c>
      <c r="L399">
        <f t="shared" si="37"/>
        <v>0.872595982302599</v>
      </c>
      <c r="O399">
        <v>471.002</v>
      </c>
      <c r="P399">
        <v>3.84715610124798</v>
      </c>
      <c r="Q399">
        <f t="shared" si="38"/>
        <v>1.98275724166383</v>
      </c>
      <c r="T399">
        <v>0.199092</v>
      </c>
      <c r="U399">
        <v>9.10141149820184</v>
      </c>
      <c r="V399">
        <f t="shared" si="39"/>
        <v>0.838109190103937</v>
      </c>
      <c r="Y399">
        <v>9447.394102</v>
      </c>
      <c r="Z399">
        <v>9.447394102</v>
      </c>
      <c r="AA399">
        <v>0.807415943190701</v>
      </c>
      <c r="AD399">
        <v>0.384279</v>
      </c>
      <c r="AE399">
        <v>4.71537143065325</v>
      </c>
      <c r="AF399">
        <f t="shared" si="40"/>
        <v>1.61768308854173</v>
      </c>
      <c r="AI399">
        <v>237.549</v>
      </c>
      <c r="AJ399">
        <v>7.6279766195606</v>
      </c>
    </row>
    <row r="400" spans="1:36">
      <c r="A400">
        <f t="shared" si="41"/>
        <v>399</v>
      </c>
      <c r="B400" t="s">
        <v>427</v>
      </c>
      <c r="C400">
        <v>1821434330</v>
      </c>
      <c r="E400">
        <v>1286.204</v>
      </c>
      <c r="F400">
        <v>1.41613175670422</v>
      </c>
      <c r="G400">
        <f t="shared" si="36"/>
        <v>5.80419586730989</v>
      </c>
      <c r="J400">
        <v>279.094042</v>
      </c>
      <c r="K400">
        <v>6.52623867190974</v>
      </c>
      <c r="L400">
        <f t="shared" si="37"/>
        <v>1.25945533147713</v>
      </c>
      <c r="O400">
        <v>476.406</v>
      </c>
      <c r="P400">
        <v>3.82328167571357</v>
      </c>
      <c r="Q400">
        <f t="shared" si="38"/>
        <v>2.14985627191459</v>
      </c>
      <c r="T400">
        <v>0.197844</v>
      </c>
      <c r="U400">
        <v>9.20641682335578</v>
      </c>
      <c r="V400">
        <f t="shared" si="39"/>
        <v>0.892801862824291</v>
      </c>
      <c r="Y400">
        <v>9271.894195</v>
      </c>
      <c r="Z400">
        <v>9.271894195</v>
      </c>
      <c r="AA400">
        <v>0.886496967821463</v>
      </c>
      <c r="AD400">
        <v>0.404049</v>
      </c>
      <c r="AE400">
        <v>4.50795406002737</v>
      </c>
      <c r="AF400">
        <f t="shared" si="40"/>
        <v>1.82333404031607</v>
      </c>
      <c r="AI400">
        <v>221.599</v>
      </c>
      <c r="AJ400">
        <v>8.21950608982893</v>
      </c>
    </row>
    <row r="401" spans="1:36">
      <c r="A401">
        <f t="shared" si="41"/>
        <v>400</v>
      </c>
      <c r="B401" t="s">
        <v>428</v>
      </c>
      <c r="C401">
        <v>1821434330</v>
      </c>
      <c r="E401">
        <v>1393.633</v>
      </c>
      <c r="F401">
        <v>1.30696842712536</v>
      </c>
      <c r="G401">
        <f t="shared" si="36"/>
        <v>6.32670080534598</v>
      </c>
      <c r="J401">
        <v>210.249657</v>
      </c>
      <c r="K401">
        <v>8.66319762890267</v>
      </c>
      <c r="L401">
        <f t="shared" si="37"/>
        <v>0.95447415084575</v>
      </c>
      <c r="O401">
        <v>473.8985</v>
      </c>
      <c r="P401">
        <v>3.84351149032968</v>
      </c>
      <c r="Q401">
        <f t="shared" si="38"/>
        <v>2.15136554717221</v>
      </c>
      <c r="T401">
        <v>0.200659</v>
      </c>
      <c r="U401">
        <v>9.07726207147449</v>
      </c>
      <c r="V401">
        <f t="shared" si="39"/>
        <v>0.91093527270086</v>
      </c>
      <c r="Y401">
        <v>9214.804197</v>
      </c>
      <c r="Z401">
        <v>9.214804197</v>
      </c>
      <c r="AA401">
        <v>0.897338459253188</v>
      </c>
      <c r="AD401">
        <v>0.392072</v>
      </c>
      <c r="AE401">
        <v>4.64566286294354</v>
      </c>
      <c r="AF401">
        <f t="shared" si="40"/>
        <v>1.77989631284105</v>
      </c>
      <c r="AI401">
        <v>220.278</v>
      </c>
      <c r="AJ401">
        <v>8.26879820045579</v>
      </c>
    </row>
    <row r="402" spans="1:36">
      <c r="A402">
        <f t="shared" si="41"/>
        <v>401</v>
      </c>
      <c r="B402" t="s">
        <v>429</v>
      </c>
      <c r="C402">
        <v>25168372</v>
      </c>
      <c r="E402">
        <v>49.837</v>
      </c>
      <c r="F402">
        <v>0.505013784938901</v>
      </c>
      <c r="G402">
        <f t="shared" si="36"/>
        <v>6.88653121234564</v>
      </c>
      <c r="J402">
        <v>8.3419</v>
      </c>
      <c r="K402">
        <v>3.01710305805632</v>
      </c>
      <c r="L402">
        <f t="shared" si="37"/>
        <v>1.15269287317186</v>
      </c>
      <c r="O402">
        <v>19.2412</v>
      </c>
      <c r="P402">
        <v>1.30804585992558</v>
      </c>
      <c r="Q402">
        <f t="shared" si="38"/>
        <v>2.65877007771304</v>
      </c>
      <c r="T402">
        <v>0.007876</v>
      </c>
      <c r="U402">
        <v>3.19557795835449</v>
      </c>
      <c r="V402">
        <f t="shared" si="39"/>
        <v>1.08831430119057</v>
      </c>
      <c r="Y402">
        <v>4611.361059</v>
      </c>
      <c r="Z402">
        <v>4.611361059</v>
      </c>
      <c r="AA402">
        <v>0.754179329735835</v>
      </c>
      <c r="AD402">
        <v>0.0105141</v>
      </c>
      <c r="AE402">
        <v>2.39377331393082</v>
      </c>
      <c r="AF402">
        <f t="shared" si="40"/>
        <v>1.45284984689534</v>
      </c>
      <c r="AI402">
        <v>7.23688</v>
      </c>
      <c r="AJ402">
        <v>3.47779319264655</v>
      </c>
    </row>
    <row r="403" spans="1:36">
      <c r="A403">
        <f t="shared" si="41"/>
        <v>402</v>
      </c>
      <c r="B403" t="s">
        <v>430</v>
      </c>
      <c r="C403">
        <v>61701012</v>
      </c>
      <c r="E403">
        <v>27.061</v>
      </c>
      <c r="F403">
        <v>2.28007139425742</v>
      </c>
      <c r="G403">
        <f t="shared" si="36"/>
        <v>25.5695293528483</v>
      </c>
      <c r="J403">
        <v>2.023543</v>
      </c>
      <c r="K403">
        <v>30.4915744315787</v>
      </c>
      <c r="L403">
        <f t="shared" si="37"/>
        <v>1.91201515595324</v>
      </c>
      <c r="O403">
        <v>5.6336</v>
      </c>
      <c r="P403">
        <v>10.9523239136609</v>
      </c>
      <c r="Q403">
        <f t="shared" si="38"/>
        <v>5.32310337985316</v>
      </c>
      <c r="T403">
        <v>0.002624</v>
      </c>
      <c r="U403">
        <v>23.5141051829268</v>
      </c>
      <c r="V403">
        <f t="shared" si="39"/>
        <v>2.47937788780437</v>
      </c>
      <c r="Y403">
        <v>44543.884719</v>
      </c>
      <c r="Z403">
        <v>44.543884719</v>
      </c>
      <c r="AA403">
        <v>1.3088295466333</v>
      </c>
      <c r="AD403">
        <v>0.00824886</v>
      </c>
      <c r="AE403">
        <v>7.4799441377354</v>
      </c>
      <c r="AF403">
        <f t="shared" si="40"/>
        <v>7.79422297393062</v>
      </c>
      <c r="AI403">
        <v>1.05833</v>
      </c>
      <c r="AJ403">
        <v>58.3003524420549</v>
      </c>
    </row>
    <row r="404" spans="1:36">
      <c r="A404">
        <f t="shared" si="41"/>
        <v>403</v>
      </c>
      <c r="B404" t="s">
        <v>431</v>
      </c>
      <c r="C404">
        <v>76536664</v>
      </c>
      <c r="E404">
        <v>175.052</v>
      </c>
      <c r="F404">
        <v>0.437222448186824</v>
      </c>
      <c r="G404">
        <f t="shared" si="36"/>
        <v>15.7556883640553</v>
      </c>
      <c r="J404">
        <v>22.985466</v>
      </c>
      <c r="K404">
        <v>3.32978517816432</v>
      </c>
      <c r="L404">
        <f t="shared" si="37"/>
        <v>2.06882434475807</v>
      </c>
      <c r="O404">
        <v>29.1076</v>
      </c>
      <c r="P404">
        <v>2.62943918426803</v>
      </c>
      <c r="Q404">
        <f t="shared" si="38"/>
        <v>2.61985167050691</v>
      </c>
      <c r="T404">
        <v>0.016882</v>
      </c>
      <c r="U404">
        <v>4.53362539983414</v>
      </c>
      <c r="V404">
        <f t="shared" si="39"/>
        <v>1.51947724654378</v>
      </c>
      <c r="Y404">
        <v>7572.942723</v>
      </c>
      <c r="Z404">
        <v>7.572942723</v>
      </c>
      <c r="AA404">
        <v>0.909651755120098</v>
      </c>
      <c r="AD404">
        <v>0.00166697</v>
      </c>
      <c r="AE404">
        <v>45.9136421171347</v>
      </c>
      <c r="AF404">
        <f t="shared" si="40"/>
        <v>0.150036902361751</v>
      </c>
      <c r="AI404">
        <v>11.1104</v>
      </c>
      <c r="AJ404">
        <v>6.88874063940092</v>
      </c>
    </row>
    <row r="405" spans="1:36">
      <c r="A405">
        <f t="shared" si="41"/>
        <v>404</v>
      </c>
      <c r="B405" t="s">
        <v>432</v>
      </c>
      <c r="C405">
        <v>7700220</v>
      </c>
      <c r="E405">
        <v>19.013</v>
      </c>
      <c r="F405">
        <v>0.404997633198338</v>
      </c>
      <c r="G405">
        <f t="shared" si="36"/>
        <v>9.27169434081875</v>
      </c>
      <c r="J405">
        <v>3.679501</v>
      </c>
      <c r="K405">
        <v>2.09273485725374</v>
      </c>
      <c r="L405">
        <f t="shared" si="37"/>
        <v>1.79430960914832</v>
      </c>
      <c r="O405">
        <v>6.4126</v>
      </c>
      <c r="P405">
        <v>1.20079530923494</v>
      </c>
      <c r="Q405">
        <f t="shared" si="38"/>
        <v>3.12710603954844</v>
      </c>
      <c r="T405">
        <v>0.004822</v>
      </c>
      <c r="U405">
        <v>1.59689340522605</v>
      </c>
      <c r="V405">
        <f t="shared" si="39"/>
        <v>2.35144954038963</v>
      </c>
      <c r="Y405">
        <v>2008.686637</v>
      </c>
      <c r="Z405">
        <v>2.008686637</v>
      </c>
      <c r="AA405">
        <v>1.8693877853333</v>
      </c>
      <c r="AD405">
        <v>0.00342943</v>
      </c>
      <c r="AE405">
        <v>2.24533523063599</v>
      </c>
      <c r="AF405">
        <f t="shared" si="40"/>
        <v>1.67236242167118</v>
      </c>
      <c r="AI405">
        <v>2.05065</v>
      </c>
      <c r="AJ405">
        <v>3.75501426377002</v>
      </c>
    </row>
    <row r="406" spans="1:36">
      <c r="A406">
        <f t="shared" si="41"/>
        <v>405</v>
      </c>
      <c r="B406" t="s">
        <v>433</v>
      </c>
      <c r="C406">
        <v>84044248</v>
      </c>
      <c r="E406">
        <v>23.476</v>
      </c>
      <c r="F406">
        <v>3.58000715624468</v>
      </c>
      <c r="G406">
        <f t="shared" si="36"/>
        <v>24.7632167709719</v>
      </c>
      <c r="J406">
        <v>2.160859</v>
      </c>
      <c r="K406">
        <v>38.8939065436477</v>
      </c>
      <c r="L406">
        <f t="shared" si="37"/>
        <v>2.27934144779799</v>
      </c>
      <c r="O406">
        <v>4.6141</v>
      </c>
      <c r="P406">
        <v>18.2146568128129</v>
      </c>
      <c r="Q406">
        <f t="shared" si="38"/>
        <v>4.86709654553337</v>
      </c>
      <c r="T406">
        <v>0.002782</v>
      </c>
      <c r="U406">
        <v>30.2100100647017</v>
      </c>
      <c r="V406">
        <f t="shared" si="39"/>
        <v>2.93454034149104</v>
      </c>
      <c r="Y406">
        <v>53941.605175</v>
      </c>
      <c r="Z406">
        <v>53.941605175</v>
      </c>
      <c r="AA406">
        <v>1.64349008458511</v>
      </c>
      <c r="AD406">
        <v>0.00848187</v>
      </c>
      <c r="AE406">
        <v>9.90869324806912</v>
      </c>
      <c r="AF406">
        <f t="shared" si="40"/>
        <v>8.94694093683776</v>
      </c>
      <c r="AI406">
        <v>0.948019</v>
      </c>
      <c r="AJ406">
        <v>88.6524932517175</v>
      </c>
    </row>
    <row r="407" spans="1:36">
      <c r="A407">
        <f t="shared" si="41"/>
        <v>406</v>
      </c>
      <c r="B407" t="s">
        <v>434</v>
      </c>
      <c r="C407">
        <v>9574600</v>
      </c>
      <c r="E407">
        <v>22.82</v>
      </c>
      <c r="F407">
        <v>0.419570552147239</v>
      </c>
      <c r="G407">
        <f t="shared" si="36"/>
        <v>8.20231907811974</v>
      </c>
      <c r="J407">
        <v>3.124132</v>
      </c>
      <c r="K407">
        <v>3.06472325753201</v>
      </c>
      <c r="L407">
        <f t="shared" si="37"/>
        <v>1.12292408002473</v>
      </c>
      <c r="O407">
        <v>10.8433</v>
      </c>
      <c r="P407">
        <v>0.882996873645477</v>
      </c>
      <c r="Q407">
        <f t="shared" si="38"/>
        <v>3.89746741716808</v>
      </c>
      <c r="T407">
        <v>0.006402</v>
      </c>
      <c r="U407">
        <v>1.49556388628554</v>
      </c>
      <c r="V407">
        <f t="shared" si="39"/>
        <v>2.30110634259958</v>
      </c>
      <c r="Y407">
        <v>2235.643457</v>
      </c>
      <c r="Z407">
        <v>2.235643457</v>
      </c>
      <c r="AA407">
        <v>1.53935616778205</v>
      </c>
      <c r="AD407">
        <v>0.0036596</v>
      </c>
      <c r="AE407">
        <v>2.61629686304514</v>
      </c>
      <c r="AF407">
        <f t="shared" si="40"/>
        <v>1.31539031105552</v>
      </c>
      <c r="AI407">
        <v>2.78214</v>
      </c>
      <c r="AJ407">
        <v>3.44145154449453</v>
      </c>
    </row>
    <row r="408" spans="1:36">
      <c r="A408">
        <f t="shared" si="41"/>
        <v>407</v>
      </c>
      <c r="B408" t="s">
        <v>435</v>
      </c>
      <c r="C408">
        <v>44711814</v>
      </c>
      <c r="E408">
        <v>73.131</v>
      </c>
      <c r="F408">
        <v>0.61139344464044</v>
      </c>
      <c r="G408">
        <f t="shared" si="36"/>
        <v>28.200520582281</v>
      </c>
      <c r="J408">
        <v>5.104345</v>
      </c>
      <c r="K408">
        <v>8.75955955171525</v>
      </c>
      <c r="L408">
        <f t="shared" si="37"/>
        <v>1.96831967608214</v>
      </c>
      <c r="O408">
        <v>10.6197</v>
      </c>
      <c r="P408">
        <v>4.21027091160767</v>
      </c>
      <c r="Q408">
        <f t="shared" si="38"/>
        <v>4.09513159163214</v>
      </c>
      <c r="T408">
        <v>0.006751</v>
      </c>
      <c r="U408">
        <v>6.62299126055399</v>
      </c>
      <c r="V408">
        <f t="shared" si="39"/>
        <v>2.60329702111251</v>
      </c>
      <c r="Y408">
        <v>16989.224157</v>
      </c>
      <c r="Z408">
        <v>16.989224157</v>
      </c>
      <c r="AA408">
        <v>1.0148558439233</v>
      </c>
      <c r="AD408">
        <v>0.033896</v>
      </c>
      <c r="AE408">
        <v>1.31908821099835</v>
      </c>
      <c r="AF408">
        <f t="shared" si="40"/>
        <v>13.070857032681</v>
      </c>
      <c r="AI408">
        <v>2.59325</v>
      </c>
      <c r="AJ408">
        <v>17.2416134194544</v>
      </c>
    </row>
    <row r="409" spans="1:36">
      <c r="A409">
        <f t="shared" si="41"/>
        <v>408</v>
      </c>
      <c r="B409" t="s">
        <v>436</v>
      </c>
      <c r="C409">
        <v>44711814</v>
      </c>
      <c r="E409">
        <v>60.588</v>
      </c>
      <c r="F409">
        <v>0.737964844523668</v>
      </c>
      <c r="G409">
        <f t="shared" si="36"/>
        <v>22.3328848670266</v>
      </c>
      <c r="J409">
        <v>6.64359</v>
      </c>
      <c r="K409">
        <v>6.73006823118224</v>
      </c>
      <c r="L409">
        <f t="shared" si="37"/>
        <v>2.44884350983247</v>
      </c>
      <c r="O409">
        <v>12.942</v>
      </c>
      <c r="P409">
        <v>3.4547839592026</v>
      </c>
      <c r="Q409">
        <f t="shared" si="38"/>
        <v>4.77045282810224</v>
      </c>
      <c r="T409">
        <v>0.007564</v>
      </c>
      <c r="U409">
        <v>5.91113352723427</v>
      </c>
      <c r="V409">
        <f t="shared" si="39"/>
        <v>2.7881088851619</v>
      </c>
      <c r="Y409">
        <v>17916.379207</v>
      </c>
      <c r="Z409">
        <v>17.916379207</v>
      </c>
      <c r="AA409">
        <v>0.919878046688203</v>
      </c>
      <c r="AD409">
        <v>0.0251767</v>
      </c>
      <c r="AE409">
        <v>1.77592035493135</v>
      </c>
      <c r="AF409">
        <f t="shared" si="40"/>
        <v>9.28019314768054</v>
      </c>
      <c r="AI409">
        <v>2.71295</v>
      </c>
      <c r="AJ409">
        <v>16.4808839086603</v>
      </c>
    </row>
    <row r="410" spans="1:36">
      <c r="A410">
        <f t="shared" si="41"/>
        <v>409</v>
      </c>
      <c r="B410" t="s">
        <v>437</v>
      </c>
      <c r="C410">
        <v>83294524</v>
      </c>
      <c r="E410">
        <v>177.081</v>
      </c>
      <c r="F410">
        <v>0.470375274591853</v>
      </c>
      <c r="G410">
        <f t="shared" si="36"/>
        <v>13.0935427341896</v>
      </c>
      <c r="J410">
        <v>29.679929</v>
      </c>
      <c r="K410">
        <v>2.80642598572254</v>
      </c>
      <c r="L410">
        <f t="shared" si="37"/>
        <v>2.19456304577686</v>
      </c>
      <c r="O410">
        <v>30.4871</v>
      </c>
      <c r="P410">
        <v>2.73212355389657</v>
      </c>
      <c r="Q410">
        <f t="shared" si="38"/>
        <v>2.25424606079427</v>
      </c>
      <c r="T410">
        <v>0.017133</v>
      </c>
      <c r="U410">
        <v>4.86164267787311</v>
      </c>
      <c r="V410">
        <f t="shared" si="39"/>
        <v>1.26683081564295</v>
      </c>
      <c r="Y410">
        <v>7900.828048</v>
      </c>
      <c r="Z410">
        <v>7.900828048</v>
      </c>
      <c r="AA410">
        <v>0.779523199537754</v>
      </c>
      <c r="AD410">
        <v>0.00182747</v>
      </c>
      <c r="AE410">
        <v>45.5791471269022</v>
      </c>
      <c r="AF410">
        <f t="shared" si="40"/>
        <v>0.135124923286233</v>
      </c>
      <c r="AI410">
        <v>13.5243</v>
      </c>
      <c r="AJ410">
        <v>6.15887875897459</v>
      </c>
    </row>
    <row r="411" spans="1:36">
      <c r="A411">
        <f t="shared" si="41"/>
        <v>410</v>
      </c>
      <c r="B411" t="s">
        <v>438</v>
      </c>
      <c r="C411">
        <v>10240864</v>
      </c>
      <c r="E411">
        <v>24.37</v>
      </c>
      <c r="F411">
        <v>0.420224210094378</v>
      </c>
      <c r="G411">
        <f t="shared" si="36"/>
        <v>7.68670298163329</v>
      </c>
      <c r="J411">
        <v>3.444043</v>
      </c>
      <c r="K411">
        <v>2.97350062121756</v>
      </c>
      <c r="L411">
        <f t="shared" si="37"/>
        <v>1.08630839544412</v>
      </c>
      <c r="O411">
        <v>12.0157</v>
      </c>
      <c r="P411">
        <v>0.852290253584893</v>
      </c>
      <c r="Q411">
        <f t="shared" si="38"/>
        <v>3.78995145738248</v>
      </c>
      <c r="T411">
        <v>0.007296</v>
      </c>
      <c r="U411">
        <v>1.40362719298246</v>
      </c>
      <c r="V411">
        <f t="shared" si="39"/>
        <v>2.30127964521938</v>
      </c>
      <c r="Y411">
        <v>675.051149</v>
      </c>
      <c r="Z411">
        <v>0.675051149</v>
      </c>
      <c r="AA411">
        <v>4.78502805820267</v>
      </c>
      <c r="AD411">
        <v>0.00457958</v>
      </c>
      <c r="AE411">
        <v>2.23620157307002</v>
      </c>
      <c r="AF411">
        <f t="shared" si="40"/>
        <v>1.44447563564334</v>
      </c>
      <c r="AI411">
        <v>3.17041</v>
      </c>
      <c r="AJ411">
        <v>3.23013868868695</v>
      </c>
    </row>
    <row r="412" spans="1:36">
      <c r="A412">
        <f t="shared" si="41"/>
        <v>411</v>
      </c>
      <c r="B412" t="s">
        <v>439</v>
      </c>
      <c r="C412">
        <v>134211204</v>
      </c>
      <c r="E412">
        <v>58.653</v>
      </c>
      <c r="F412">
        <v>2.28822402946141</v>
      </c>
      <c r="G412">
        <f t="shared" si="36"/>
        <v>25.6007018554649</v>
      </c>
      <c r="J412">
        <v>6.83173</v>
      </c>
      <c r="K412">
        <v>19.645273451966</v>
      </c>
      <c r="L412">
        <f t="shared" si="37"/>
        <v>2.98189492245982</v>
      </c>
      <c r="O412">
        <v>8.5713</v>
      </c>
      <c r="P412">
        <v>15.6582086731301</v>
      </c>
      <c r="Q412">
        <f t="shared" si="38"/>
        <v>3.74117770299467</v>
      </c>
      <c r="T412">
        <v>0.003808</v>
      </c>
      <c r="U412">
        <v>35.2445388655462</v>
      </c>
      <c r="V412">
        <f t="shared" si="39"/>
        <v>1.66210547909929</v>
      </c>
      <c r="Y412">
        <v>32886.049801</v>
      </c>
      <c r="Z412">
        <v>32.886049801</v>
      </c>
      <c r="AA412">
        <v>1.78130670941728</v>
      </c>
      <c r="AD412">
        <v>0.0166201</v>
      </c>
      <c r="AE412">
        <v>8.07523444503944</v>
      </c>
      <c r="AF412">
        <f t="shared" si="40"/>
        <v>7.25429602762028</v>
      </c>
      <c r="AI412">
        <v>2.29107</v>
      </c>
      <c r="AJ412">
        <v>58.5801411567521</v>
      </c>
    </row>
    <row r="413" spans="1:36">
      <c r="A413">
        <f t="shared" si="41"/>
        <v>412</v>
      </c>
      <c r="B413" t="s">
        <v>440</v>
      </c>
      <c r="C413">
        <v>134214134</v>
      </c>
      <c r="E413">
        <v>57.656</v>
      </c>
      <c r="F413">
        <v>2.32784331205772</v>
      </c>
      <c r="G413">
        <f t="shared" si="36"/>
        <v>23.0713516844536</v>
      </c>
      <c r="J413">
        <v>7.247101</v>
      </c>
      <c r="K413">
        <v>18.5196996702544</v>
      </c>
      <c r="L413">
        <f t="shared" si="37"/>
        <v>2.89996558664761</v>
      </c>
      <c r="O413">
        <v>7.7348</v>
      </c>
      <c r="P413">
        <v>17.3519850545586</v>
      </c>
      <c r="Q413">
        <f t="shared" si="38"/>
        <v>3.09512090691189</v>
      </c>
      <c r="T413">
        <v>0.004192</v>
      </c>
      <c r="U413">
        <v>32.0167304389313</v>
      </c>
      <c r="V413">
        <f t="shared" si="39"/>
        <v>1.67745085093016</v>
      </c>
      <c r="Y413">
        <v>34248.662208</v>
      </c>
      <c r="Z413">
        <v>34.248662208</v>
      </c>
      <c r="AA413">
        <v>1.56813400163239</v>
      </c>
      <c r="AD413">
        <v>0.0159527</v>
      </c>
      <c r="AE413">
        <v>8.41325506027193</v>
      </c>
      <c r="AF413">
        <f t="shared" si="40"/>
        <v>6.38355682004618</v>
      </c>
      <c r="AI413">
        <v>2.49903</v>
      </c>
      <c r="AJ413">
        <v>53.7064917187869</v>
      </c>
    </row>
    <row r="414" spans="1:36">
      <c r="A414">
        <f t="shared" si="41"/>
        <v>413</v>
      </c>
      <c r="B414" t="s">
        <v>441</v>
      </c>
      <c r="C414">
        <v>68585642</v>
      </c>
      <c r="E414">
        <v>23.487</v>
      </c>
      <c r="F414">
        <v>2.92015336143398</v>
      </c>
      <c r="G414">
        <f t="shared" si="36"/>
        <v>26.5414722510699</v>
      </c>
      <c r="J414">
        <v>2.309252</v>
      </c>
      <c r="K414">
        <v>29.7003713756662</v>
      </c>
      <c r="L414">
        <f t="shared" si="37"/>
        <v>2.60956903302796</v>
      </c>
      <c r="O414">
        <v>6.0454</v>
      </c>
      <c r="P414">
        <v>11.3450957753002</v>
      </c>
      <c r="Q414">
        <f t="shared" si="38"/>
        <v>6.83160115581463</v>
      </c>
      <c r="T414">
        <v>0.003469</v>
      </c>
      <c r="U414">
        <v>19.771012395503</v>
      </c>
      <c r="V414">
        <f t="shared" si="39"/>
        <v>3.92014166300343</v>
      </c>
      <c r="Y414">
        <v>46266.79977</v>
      </c>
      <c r="Z414">
        <v>46.26679977</v>
      </c>
      <c r="AA414">
        <v>1.67517895762533</v>
      </c>
      <c r="AD414">
        <v>0.00942264</v>
      </c>
      <c r="AE414">
        <v>7.278813793162</v>
      </c>
      <c r="AF414">
        <f t="shared" si="40"/>
        <v>10.6480494780866</v>
      </c>
      <c r="AI414">
        <v>0.884917</v>
      </c>
      <c r="AJ414">
        <v>77.5051694113685</v>
      </c>
    </row>
    <row r="415" spans="1:36">
      <c r="A415">
        <f t="shared" si="41"/>
        <v>414</v>
      </c>
      <c r="B415" t="s">
        <v>442</v>
      </c>
      <c r="C415">
        <v>74599276</v>
      </c>
      <c r="E415">
        <v>81.815</v>
      </c>
      <c r="F415">
        <v>0.91180438794842</v>
      </c>
      <c r="G415">
        <f t="shared" si="36"/>
        <v>23.2892777946991</v>
      </c>
      <c r="J415">
        <v>9.162102</v>
      </c>
      <c r="K415">
        <v>8.14215733463784</v>
      </c>
      <c r="L415">
        <f t="shared" si="37"/>
        <v>2.60806378611951</v>
      </c>
      <c r="O415">
        <v>22.7531</v>
      </c>
      <c r="P415">
        <v>3.27864229489608</v>
      </c>
      <c r="Q415">
        <f t="shared" si="38"/>
        <v>6.47684735794863</v>
      </c>
      <c r="T415">
        <v>0.009652</v>
      </c>
      <c r="U415">
        <v>7.72889307915458</v>
      </c>
      <c r="V415">
        <f t="shared" si="39"/>
        <v>2.74751707235147</v>
      </c>
      <c r="Y415">
        <v>15564.517778</v>
      </c>
      <c r="Z415">
        <v>15.564517778</v>
      </c>
      <c r="AA415">
        <v>1.36433816891981</v>
      </c>
      <c r="AD415">
        <v>0.0106017</v>
      </c>
      <c r="AE415">
        <v>7.03653904562476</v>
      </c>
      <c r="AF415">
        <f t="shared" si="40"/>
        <v>3.01785658370789</v>
      </c>
      <c r="AI415">
        <v>3.51299</v>
      </c>
      <c r="AJ415">
        <v>21.2352656853563</v>
      </c>
    </row>
    <row r="416" spans="1:36">
      <c r="A416">
        <f t="shared" si="41"/>
        <v>415</v>
      </c>
      <c r="B416" t="s">
        <v>443</v>
      </c>
      <c r="C416">
        <v>425405742</v>
      </c>
      <c r="E416">
        <v>82.141</v>
      </c>
      <c r="F416">
        <v>5.17896960105185</v>
      </c>
      <c r="G416">
        <f t="shared" si="36"/>
        <v>31.0465125068978</v>
      </c>
      <c r="J416">
        <v>13.13262</v>
      </c>
      <c r="K416">
        <v>32.3930595722712</v>
      </c>
      <c r="L416">
        <f t="shared" si="37"/>
        <v>4.96368501818016</v>
      </c>
      <c r="O416">
        <v>9.7613</v>
      </c>
      <c r="P416">
        <v>43.5808490672349</v>
      </c>
      <c r="Q416">
        <f t="shared" si="38"/>
        <v>3.6894403834088</v>
      </c>
      <c r="T416">
        <v>0.004966</v>
      </c>
      <c r="U416">
        <v>85.6636612968184</v>
      </c>
      <c r="V416">
        <f t="shared" si="39"/>
        <v>1.87697959739052</v>
      </c>
      <c r="Y416">
        <v>26600.362664</v>
      </c>
      <c r="Z416">
        <v>26.600362664</v>
      </c>
      <c r="AA416">
        <v>6.04461474916303</v>
      </c>
      <c r="AD416">
        <v>0.0284497</v>
      </c>
      <c r="AE416">
        <v>14.952907833826</v>
      </c>
      <c r="AF416">
        <f t="shared" si="40"/>
        <v>10.7530218388806</v>
      </c>
      <c r="AI416">
        <v>2.64574</v>
      </c>
      <c r="AJ416">
        <v>160.7889444919</v>
      </c>
    </row>
    <row r="417" spans="1:36">
      <c r="A417">
        <f t="shared" si="41"/>
        <v>416</v>
      </c>
      <c r="B417" t="s">
        <v>444</v>
      </c>
      <c r="C417">
        <v>425405742</v>
      </c>
      <c r="E417">
        <v>82.394</v>
      </c>
      <c r="F417">
        <v>5.16306699516955</v>
      </c>
      <c r="G417">
        <f t="shared" si="36"/>
        <v>32.2795992963789</v>
      </c>
      <c r="J417">
        <v>12.516664</v>
      </c>
      <c r="K417">
        <v>33.9871504100454</v>
      </c>
      <c r="L417">
        <f t="shared" si="37"/>
        <v>4.90366893763393</v>
      </c>
      <c r="O417">
        <v>9.924</v>
      </c>
      <c r="P417">
        <v>42.8663585247884</v>
      </c>
      <c r="Q417">
        <f t="shared" si="38"/>
        <v>3.88793775538588</v>
      </c>
      <c r="T417">
        <v>0.004851</v>
      </c>
      <c r="U417">
        <v>87.6944427952999</v>
      </c>
      <c r="V417">
        <f t="shared" si="39"/>
        <v>1.90048227039267</v>
      </c>
      <c r="Y417">
        <v>25112.516231</v>
      </c>
      <c r="Z417">
        <v>25.112516231</v>
      </c>
      <c r="AA417">
        <v>6.63660033950311</v>
      </c>
      <c r="AD417">
        <v>0.0355227</v>
      </c>
      <c r="AE417">
        <v>11.9756026991192</v>
      </c>
      <c r="AF417">
        <f t="shared" si="40"/>
        <v>13.9167721184246</v>
      </c>
      <c r="AI417">
        <v>2.55251</v>
      </c>
      <c r="AJ417">
        <v>166.661733744432</v>
      </c>
    </row>
    <row r="418" spans="1:36">
      <c r="A418">
        <f t="shared" si="41"/>
        <v>417</v>
      </c>
      <c r="B418" t="s">
        <v>445</v>
      </c>
      <c r="C418">
        <v>15671020</v>
      </c>
      <c r="E418">
        <v>22.35</v>
      </c>
      <c r="F418">
        <v>0.701164205816555</v>
      </c>
      <c r="G418">
        <f t="shared" si="36"/>
        <v>18.2239218532138</v>
      </c>
      <c r="J418">
        <v>1.857221</v>
      </c>
      <c r="K418">
        <v>8.43788649816042</v>
      </c>
      <c r="L418">
        <f t="shared" si="37"/>
        <v>1.51435572116991</v>
      </c>
      <c r="O418">
        <v>8.2822</v>
      </c>
      <c r="P418">
        <v>1.89213252517447</v>
      </c>
      <c r="Q418">
        <f t="shared" si="38"/>
        <v>6.75320651331934</v>
      </c>
      <c r="T418">
        <v>0.003186</v>
      </c>
      <c r="U418">
        <v>4.91871311989956</v>
      </c>
      <c r="V418">
        <f t="shared" si="39"/>
        <v>2.59782617558564</v>
      </c>
      <c r="Y418">
        <v>8948.828824</v>
      </c>
      <c r="Z418">
        <v>8.948828824</v>
      </c>
      <c r="AA418">
        <v>1.42789206770859</v>
      </c>
      <c r="AD418">
        <v>0.00501275</v>
      </c>
      <c r="AE418">
        <v>3.12623210812428</v>
      </c>
      <c r="AF418">
        <f t="shared" si="40"/>
        <v>4.08733620893501</v>
      </c>
      <c r="AI418">
        <v>1.22641</v>
      </c>
      <c r="AJ418">
        <v>12.7779616930716</v>
      </c>
    </row>
    <row r="419" spans="1:36">
      <c r="A419">
        <f t="shared" si="41"/>
        <v>418</v>
      </c>
      <c r="B419" t="s">
        <v>446</v>
      </c>
      <c r="C419">
        <v>102299492</v>
      </c>
      <c r="E419">
        <v>34.266</v>
      </c>
      <c r="F419">
        <v>2.98545181812876</v>
      </c>
      <c r="G419">
        <f t="shared" si="36"/>
        <v>31.6834795794768</v>
      </c>
      <c r="J419">
        <v>3.023972</v>
      </c>
      <c r="K419">
        <v>33.8295103261538</v>
      </c>
      <c r="L419">
        <f t="shared" si="37"/>
        <v>2.79606476130595</v>
      </c>
      <c r="O419">
        <v>5.785</v>
      </c>
      <c r="P419">
        <v>17.6835768366465</v>
      </c>
      <c r="Q419">
        <f t="shared" si="38"/>
        <v>5.34900278314579</v>
      </c>
      <c r="T419">
        <v>0.002641</v>
      </c>
      <c r="U419">
        <v>38.7351351760697</v>
      </c>
      <c r="V419">
        <f t="shared" si="39"/>
        <v>2.44195615389594</v>
      </c>
      <c r="Y419">
        <v>63985.485518</v>
      </c>
      <c r="Z419">
        <v>63.985485518</v>
      </c>
      <c r="AA419">
        <v>1.47829622529918</v>
      </c>
      <c r="AD419">
        <v>0.00785939</v>
      </c>
      <c r="AE419">
        <v>13.0162127086199</v>
      </c>
      <c r="AF419">
        <f t="shared" si="40"/>
        <v>7.26705254690201</v>
      </c>
      <c r="AI419">
        <v>1.08151</v>
      </c>
      <c r="AJ419">
        <v>94.5895017151945</v>
      </c>
    </row>
    <row r="420" spans="1:36">
      <c r="A420">
        <f t="shared" si="41"/>
        <v>419</v>
      </c>
      <c r="B420" t="s">
        <v>447</v>
      </c>
      <c r="C420">
        <v>9977640</v>
      </c>
      <c r="E420">
        <v>24.267</v>
      </c>
      <c r="F420">
        <v>0.411160835702806</v>
      </c>
      <c r="G420">
        <f t="shared" si="36"/>
        <v>9.92856441476826</v>
      </c>
      <c r="J420">
        <v>3.906661</v>
      </c>
      <c r="K420">
        <v>2.55400711758712</v>
      </c>
      <c r="L420">
        <f t="shared" si="37"/>
        <v>1.59836549162084</v>
      </c>
      <c r="O420">
        <v>13.357</v>
      </c>
      <c r="P420">
        <v>0.746997080182676</v>
      </c>
      <c r="Q420">
        <f t="shared" si="38"/>
        <v>5.4648631840796</v>
      </c>
      <c r="T420">
        <v>0.005867</v>
      </c>
      <c r="U420">
        <v>1.70063746378047</v>
      </c>
      <c r="V420">
        <f t="shared" si="39"/>
        <v>2.40041568473422</v>
      </c>
      <c r="Y420">
        <v>2311.739575</v>
      </c>
      <c r="Z420">
        <v>2.311739575</v>
      </c>
      <c r="AA420">
        <v>1.76587228347521</v>
      </c>
      <c r="AD420">
        <v>0.00471187</v>
      </c>
      <c r="AE420">
        <v>2.11755417700403</v>
      </c>
      <c r="AF420">
        <f t="shared" si="40"/>
        <v>1.92780750851008</v>
      </c>
      <c r="AI420">
        <v>2.44416</v>
      </c>
      <c r="AJ420">
        <v>4.08223684210526</v>
      </c>
    </row>
    <row r="421" spans="1:36">
      <c r="A421">
        <f t="shared" si="41"/>
        <v>420</v>
      </c>
      <c r="B421" t="s">
        <v>448</v>
      </c>
      <c r="C421">
        <v>94061632</v>
      </c>
      <c r="E421">
        <v>123.13</v>
      </c>
      <c r="F421">
        <v>0.763921318931211</v>
      </c>
      <c r="G421">
        <f t="shared" si="36"/>
        <v>8.74776208474239</v>
      </c>
      <c r="J421">
        <v>36.276334</v>
      </c>
      <c r="K421">
        <v>2.59292000123276</v>
      </c>
      <c r="L421">
        <f t="shared" si="37"/>
        <v>2.57724956662594</v>
      </c>
      <c r="O421">
        <v>30.4423</v>
      </c>
      <c r="P421">
        <v>3.08983329117708</v>
      </c>
      <c r="Q421">
        <f t="shared" si="38"/>
        <v>2.16277103640342</v>
      </c>
      <c r="T421">
        <v>0.018779</v>
      </c>
      <c r="U421">
        <v>5.00887331593802</v>
      </c>
      <c r="V421">
        <f t="shared" si="39"/>
        <v>1.33415271817898</v>
      </c>
      <c r="Y421">
        <v>5272.621162</v>
      </c>
      <c r="Z421">
        <v>5.272621162</v>
      </c>
      <c r="AA421">
        <v>1.26741553093832</v>
      </c>
      <c r="AD421">
        <v>0.00188272</v>
      </c>
      <c r="AE421">
        <v>49.960499702558</v>
      </c>
      <c r="AF421">
        <f t="shared" si="40"/>
        <v>0.133757708374776</v>
      </c>
      <c r="AI421">
        <v>14.0756</v>
      </c>
      <c r="AJ421">
        <v>6.68260194947285</v>
      </c>
    </row>
    <row r="422" spans="1:36">
      <c r="A422">
        <f t="shared" si="41"/>
        <v>421</v>
      </c>
      <c r="B422" t="s">
        <v>449</v>
      </c>
      <c r="C422">
        <v>10016908</v>
      </c>
      <c r="E422">
        <v>24.634</v>
      </c>
      <c r="F422">
        <v>0.406629374035885</v>
      </c>
      <c r="G422">
        <f t="shared" si="36"/>
        <v>14.1000984499851</v>
      </c>
      <c r="J422">
        <v>2.694626</v>
      </c>
      <c r="K422">
        <v>3.71736485879673</v>
      </c>
      <c r="L422">
        <f t="shared" si="37"/>
        <v>1.54235982324794</v>
      </c>
      <c r="O422">
        <v>5.4599</v>
      </c>
      <c r="P422">
        <v>1.83463213611971</v>
      </c>
      <c r="Q422">
        <f t="shared" si="38"/>
        <v>3.12515740549946</v>
      </c>
      <c r="T422">
        <v>0.005659</v>
      </c>
      <c r="U422">
        <v>1.77008446722036</v>
      </c>
      <c r="V422">
        <f t="shared" si="39"/>
        <v>3.23911898710992</v>
      </c>
      <c r="Y422">
        <v>5291.119061</v>
      </c>
      <c r="Z422">
        <v>5.291119061</v>
      </c>
      <c r="AA422">
        <v>1.08361088466571</v>
      </c>
      <c r="AD422">
        <v>0.0072342</v>
      </c>
      <c r="AE422">
        <v>1.38466008680988</v>
      </c>
      <c r="AF422">
        <f t="shared" si="40"/>
        <v>4.14073768802801</v>
      </c>
      <c r="AI422">
        <v>1.74708</v>
      </c>
      <c r="AJ422">
        <v>5.73351420656181</v>
      </c>
    </row>
    <row r="423" spans="1:36">
      <c r="A423">
        <f t="shared" si="41"/>
        <v>422</v>
      </c>
      <c r="B423" t="s">
        <v>450</v>
      </c>
      <c r="C423">
        <v>10016908</v>
      </c>
      <c r="E423">
        <v>24.91</v>
      </c>
      <c r="F423">
        <v>0.402123966278603</v>
      </c>
      <c r="G423">
        <f t="shared" si="36"/>
        <v>14.8979689481113</v>
      </c>
      <c r="J423">
        <v>2.811366</v>
      </c>
      <c r="K423">
        <v>3.56300389205817</v>
      </c>
      <c r="L423">
        <f t="shared" si="37"/>
        <v>1.68139877036434</v>
      </c>
      <c r="O423">
        <v>5.5857</v>
      </c>
      <c r="P423">
        <v>1.79331292407397</v>
      </c>
      <c r="Q423">
        <f t="shared" si="38"/>
        <v>3.34064974522142</v>
      </c>
      <c r="T423">
        <v>0.00556</v>
      </c>
      <c r="U423">
        <v>1.80160215827338</v>
      </c>
      <c r="V423">
        <f t="shared" si="39"/>
        <v>3.32527929953829</v>
      </c>
      <c r="Y423">
        <v>5390.469229</v>
      </c>
      <c r="Z423">
        <v>5.390469229</v>
      </c>
      <c r="AA423">
        <v>1.11137455913487</v>
      </c>
      <c r="AD423">
        <v>0.00412095</v>
      </c>
      <c r="AE423">
        <v>2.43072786614737</v>
      </c>
      <c r="AF423">
        <f t="shared" si="40"/>
        <v>2.46462405205617</v>
      </c>
      <c r="AI423">
        <v>1.67204</v>
      </c>
      <c r="AJ423">
        <v>5.99083036290998</v>
      </c>
    </row>
    <row r="424" spans="1:36">
      <c r="A424">
        <f t="shared" si="41"/>
        <v>423</v>
      </c>
      <c r="B424" t="s">
        <v>451</v>
      </c>
      <c r="C424">
        <v>152561542</v>
      </c>
      <c r="E424">
        <v>44.16</v>
      </c>
      <c r="F424">
        <v>3.4547450634058</v>
      </c>
      <c r="G424">
        <f t="shared" si="36"/>
        <v>17.2093965799442</v>
      </c>
      <c r="J424">
        <v>9.245814</v>
      </c>
      <c r="K424">
        <v>16.5006068692275</v>
      </c>
      <c r="L424">
        <f t="shared" si="37"/>
        <v>3.60314492369566</v>
      </c>
      <c r="O424">
        <v>9.9627</v>
      </c>
      <c r="P424">
        <v>15.3132727071978</v>
      </c>
      <c r="Q424">
        <f t="shared" si="38"/>
        <v>3.88251936836527</v>
      </c>
      <c r="T424">
        <v>0.006862</v>
      </c>
      <c r="U424">
        <v>22.2328099679394</v>
      </c>
      <c r="V424">
        <f t="shared" si="39"/>
        <v>2.67415940515346</v>
      </c>
      <c r="Y424">
        <v>34893.767443</v>
      </c>
      <c r="Z424">
        <v>34.893767443</v>
      </c>
      <c r="AA424">
        <v>1.70385952092662</v>
      </c>
      <c r="AD424">
        <v>0.0169744</v>
      </c>
      <c r="AE424">
        <v>8.98774283627109</v>
      </c>
      <c r="AF424">
        <f t="shared" si="40"/>
        <v>6.61501769263145</v>
      </c>
      <c r="AI424">
        <v>2.56604</v>
      </c>
      <c r="AJ424">
        <v>59.4540778787548</v>
      </c>
    </row>
    <row r="425" spans="1:36">
      <c r="A425">
        <f t="shared" si="41"/>
        <v>424</v>
      </c>
      <c r="B425" t="s">
        <v>452</v>
      </c>
      <c r="C425">
        <v>76260962</v>
      </c>
      <c r="E425">
        <v>26.109</v>
      </c>
      <c r="F425">
        <v>2.92086874257919</v>
      </c>
      <c r="G425">
        <f t="shared" si="36"/>
        <v>25.0055069771005</v>
      </c>
      <c r="J425">
        <v>2.298021</v>
      </c>
      <c r="K425">
        <v>33.1854939532754</v>
      </c>
      <c r="L425">
        <f t="shared" si="37"/>
        <v>2.20089548236331</v>
      </c>
      <c r="O425">
        <v>5.5018</v>
      </c>
      <c r="P425">
        <v>13.8610930968047</v>
      </c>
      <c r="Q425">
        <f t="shared" si="38"/>
        <v>5.26926723683832</v>
      </c>
      <c r="T425">
        <v>0.003583</v>
      </c>
      <c r="U425">
        <v>21.2841088473346</v>
      </c>
      <c r="V425">
        <f t="shared" si="39"/>
        <v>3.43156503500523</v>
      </c>
      <c r="Y425">
        <v>53376.343452</v>
      </c>
      <c r="Z425">
        <v>53.376343452</v>
      </c>
      <c r="AA425">
        <v>1.36835532369204</v>
      </c>
      <c r="AD425">
        <v>0.009331</v>
      </c>
      <c r="AE425">
        <v>8.17286057228593</v>
      </c>
      <c r="AF425">
        <f t="shared" si="40"/>
        <v>8.93662666526199</v>
      </c>
      <c r="AI425">
        <v>1.04413</v>
      </c>
      <c r="AJ425">
        <v>73.0378037217588</v>
      </c>
    </row>
    <row r="426" spans="1:36">
      <c r="A426">
        <f t="shared" si="41"/>
        <v>425</v>
      </c>
      <c r="B426" t="s">
        <v>453</v>
      </c>
      <c r="C426">
        <v>69913200</v>
      </c>
      <c r="E426">
        <v>32.932</v>
      </c>
      <c r="F426">
        <v>2.12295639499575</v>
      </c>
      <c r="G426">
        <f t="shared" si="36"/>
        <v>22.6106777985279</v>
      </c>
      <c r="J426">
        <v>2.039047</v>
      </c>
      <c r="K426">
        <v>34.2871939685549</v>
      </c>
      <c r="L426">
        <f t="shared" si="37"/>
        <v>1.39998283532901</v>
      </c>
      <c r="O426">
        <v>5.944</v>
      </c>
      <c r="P426">
        <v>11.7619784656797</v>
      </c>
      <c r="Q426">
        <f t="shared" si="38"/>
        <v>4.08107217400856</v>
      </c>
      <c r="T426">
        <v>0.003426</v>
      </c>
      <c r="U426">
        <v>20.4066549912434</v>
      </c>
      <c r="V426">
        <f t="shared" si="39"/>
        <v>2.35224651213886</v>
      </c>
      <c r="Y426">
        <v>34524.751125</v>
      </c>
      <c r="Z426">
        <v>34.524751125</v>
      </c>
      <c r="AA426">
        <v>1.39034986389271</v>
      </c>
      <c r="AD426">
        <v>0.0106734</v>
      </c>
      <c r="AE426">
        <v>6.55022766878408</v>
      </c>
      <c r="AF426">
        <f t="shared" si="40"/>
        <v>7.32821597275623</v>
      </c>
      <c r="AI426">
        <v>1.45648</v>
      </c>
      <c r="AJ426">
        <v>48.0014830275733</v>
      </c>
    </row>
    <row r="427" spans="1:36">
      <c r="A427">
        <f t="shared" si="41"/>
        <v>426</v>
      </c>
      <c r="B427" t="s">
        <v>454</v>
      </c>
      <c r="C427">
        <v>50982814</v>
      </c>
      <c r="E427">
        <v>69.61</v>
      </c>
      <c r="F427">
        <v>0.732406464588421</v>
      </c>
      <c r="G427">
        <f t="shared" si="36"/>
        <v>23.3636860989257</v>
      </c>
      <c r="J427">
        <v>4.405123</v>
      </c>
      <c r="K427">
        <v>11.5735279128415</v>
      </c>
      <c r="L427">
        <f t="shared" si="37"/>
        <v>1.47852192212552</v>
      </c>
      <c r="O427">
        <v>15.8118</v>
      </c>
      <c r="P427">
        <v>3.22435231915405</v>
      </c>
      <c r="Q427">
        <f t="shared" si="38"/>
        <v>5.30702387385423</v>
      </c>
      <c r="T427">
        <v>0.006899</v>
      </c>
      <c r="U427">
        <v>7.38988462095956</v>
      </c>
      <c r="V427">
        <f t="shared" si="39"/>
        <v>2.31555912076553</v>
      </c>
      <c r="Y427">
        <v>15041.199582</v>
      </c>
      <c r="Z427">
        <v>15.041199582</v>
      </c>
      <c r="AA427">
        <v>1.13765625156291</v>
      </c>
      <c r="AD427">
        <v>0.0249169</v>
      </c>
      <c r="AE427">
        <v>2.04611384241218</v>
      </c>
      <c r="AF427">
        <f t="shared" si="40"/>
        <v>8.3630316069289</v>
      </c>
      <c r="AI427">
        <v>2.97941</v>
      </c>
      <c r="AJ427">
        <v>17.1117147354678</v>
      </c>
    </row>
    <row r="428" spans="1:36">
      <c r="A428">
        <f t="shared" si="41"/>
        <v>427</v>
      </c>
      <c r="B428" t="s">
        <v>455</v>
      </c>
      <c r="C428">
        <v>50982814</v>
      </c>
      <c r="E428">
        <v>77.503</v>
      </c>
      <c r="F428">
        <v>0.65781729739494</v>
      </c>
      <c r="G428">
        <f t="shared" si="36"/>
        <v>28.2546244650057</v>
      </c>
      <c r="J428">
        <v>4.474057</v>
      </c>
      <c r="K428">
        <v>11.3952088674775</v>
      </c>
      <c r="L428">
        <f t="shared" si="37"/>
        <v>1.63106976981576</v>
      </c>
      <c r="O428">
        <v>15.5645</v>
      </c>
      <c r="P428">
        <v>3.27558315397218</v>
      </c>
      <c r="Q428">
        <f t="shared" si="38"/>
        <v>5.67422038483132</v>
      </c>
      <c r="T428">
        <v>0.006401</v>
      </c>
      <c r="U428">
        <v>7.9648201843462</v>
      </c>
      <c r="V428">
        <f t="shared" si="39"/>
        <v>2.33355936157957</v>
      </c>
      <c r="Y428">
        <v>15215.225687</v>
      </c>
      <c r="Z428">
        <v>15.215225687</v>
      </c>
      <c r="AA428">
        <v>1.22156457530297</v>
      </c>
      <c r="AD428">
        <v>0.0205289</v>
      </c>
      <c r="AE428">
        <v>2.48346545601567</v>
      </c>
      <c r="AF428">
        <f t="shared" si="40"/>
        <v>7.4840504261726</v>
      </c>
      <c r="AI428">
        <v>2.74302</v>
      </c>
      <c r="AJ428">
        <v>18.586380704479</v>
      </c>
    </row>
    <row r="429" spans="1:36">
      <c r="A429">
        <f t="shared" si="41"/>
        <v>428</v>
      </c>
      <c r="B429" t="s">
        <v>456</v>
      </c>
      <c r="C429">
        <v>112788760</v>
      </c>
      <c r="E429">
        <v>38.703</v>
      </c>
      <c r="F429">
        <v>2.91421233496111</v>
      </c>
      <c r="G429">
        <f t="shared" si="36"/>
        <v>31.5654258963234</v>
      </c>
      <c r="J429">
        <v>2.723198</v>
      </c>
      <c r="K429">
        <v>41.4177595606342</v>
      </c>
      <c r="L429">
        <f t="shared" si="37"/>
        <v>2.22098815776596</v>
      </c>
      <c r="O429">
        <v>6.1879</v>
      </c>
      <c r="P429">
        <v>18.2273081336156</v>
      </c>
      <c r="Q429">
        <f t="shared" si="38"/>
        <v>5.04673278308812</v>
      </c>
      <c r="T429">
        <v>0.003031</v>
      </c>
      <c r="U429">
        <v>37.2117321016166</v>
      </c>
      <c r="V429">
        <f t="shared" si="39"/>
        <v>2.47202557661567</v>
      </c>
      <c r="Y429">
        <v>57375.372703</v>
      </c>
      <c r="Z429">
        <v>57.375372703</v>
      </c>
      <c r="AA429">
        <v>1.60327243504872</v>
      </c>
      <c r="AD429">
        <v>0.00847661</v>
      </c>
      <c r="AE429">
        <v>13.3058805347893</v>
      </c>
      <c r="AF429">
        <f t="shared" si="40"/>
        <v>6.91336084559421</v>
      </c>
      <c r="AI429">
        <v>1.22612</v>
      </c>
      <c r="AJ429">
        <v>91.9883535053665</v>
      </c>
    </row>
    <row r="430" spans="1:36">
      <c r="A430">
        <f t="shared" si="41"/>
        <v>429</v>
      </c>
      <c r="B430" t="s">
        <v>457</v>
      </c>
      <c r="C430">
        <v>129037780</v>
      </c>
      <c r="E430">
        <v>58.793</v>
      </c>
      <c r="F430">
        <v>2.19478135152144</v>
      </c>
      <c r="G430">
        <f t="shared" si="36"/>
        <v>2.75270035536536</v>
      </c>
      <c r="J430">
        <v>25.593732</v>
      </c>
      <c r="K430">
        <v>5.04177272779132</v>
      </c>
      <c r="L430">
        <f t="shared" si="37"/>
        <v>1.19830379758689</v>
      </c>
      <c r="O430">
        <v>36.1605</v>
      </c>
      <c r="P430">
        <v>3.56847333416297</v>
      </c>
      <c r="Q430">
        <f t="shared" si="38"/>
        <v>1.69304204922676</v>
      </c>
      <c r="T430">
        <v>0.016633</v>
      </c>
      <c r="U430">
        <v>7.75793783442554</v>
      </c>
      <c r="V430">
        <f t="shared" si="39"/>
        <v>0.778760481873558</v>
      </c>
      <c r="Y430">
        <v>3384.363297</v>
      </c>
      <c r="Z430">
        <v>3.384363297</v>
      </c>
      <c r="AA430">
        <v>1.78514387377909</v>
      </c>
      <c r="AD430">
        <v>0.0108872</v>
      </c>
      <c r="AE430">
        <v>11.8522466749945</v>
      </c>
      <c r="AF430">
        <f t="shared" si="40"/>
        <v>0.509740943801707</v>
      </c>
      <c r="AI430">
        <v>21.3583</v>
      </c>
      <c r="AJ430">
        <v>6.04157540628234</v>
      </c>
    </row>
    <row r="431" spans="1:36">
      <c r="A431">
        <f t="shared" si="41"/>
        <v>430</v>
      </c>
      <c r="B431" t="s">
        <v>458</v>
      </c>
      <c r="C431">
        <v>7158776</v>
      </c>
      <c r="E431">
        <v>9.486</v>
      </c>
      <c r="F431">
        <v>0.754667510014759</v>
      </c>
      <c r="G431">
        <f t="shared" si="36"/>
        <v>5.03206709422792</v>
      </c>
      <c r="J431">
        <v>3.153068</v>
      </c>
      <c r="K431">
        <v>2.27041598849121</v>
      </c>
      <c r="L431">
        <f t="shared" si="37"/>
        <v>1.67261751303637</v>
      </c>
      <c r="O431">
        <v>6.5541</v>
      </c>
      <c r="P431">
        <v>1.09225919653347</v>
      </c>
      <c r="Q431">
        <f t="shared" si="38"/>
        <v>3.47677323869694</v>
      </c>
      <c r="T431">
        <v>0.004868</v>
      </c>
      <c r="U431">
        <v>1.4705784716516</v>
      </c>
      <c r="V431">
        <f t="shared" si="39"/>
        <v>2.58234267496327</v>
      </c>
      <c r="Y431">
        <v>1898.625492</v>
      </c>
      <c r="Z431">
        <v>1.898625492</v>
      </c>
      <c r="AA431">
        <v>2.00015093035957</v>
      </c>
      <c r="AD431">
        <v>0.00376417</v>
      </c>
      <c r="AE431">
        <v>1.90182058727422</v>
      </c>
      <c r="AF431">
        <f t="shared" si="40"/>
        <v>1.99679063821209</v>
      </c>
      <c r="AI431">
        <v>1.88511</v>
      </c>
      <c r="AJ431">
        <v>3.79753754422819</v>
      </c>
    </row>
    <row r="432" spans="1:36">
      <c r="A432">
        <f t="shared" si="41"/>
        <v>431</v>
      </c>
      <c r="B432" t="s">
        <v>459</v>
      </c>
      <c r="C432">
        <v>11157328</v>
      </c>
      <c r="E432">
        <v>26.167</v>
      </c>
      <c r="F432">
        <v>0.42638926892651</v>
      </c>
      <c r="G432">
        <f t="shared" si="36"/>
        <v>10.9083708520927</v>
      </c>
      <c r="J432">
        <v>3.753561</v>
      </c>
      <c r="K432">
        <v>2.97246481407922</v>
      </c>
      <c r="L432">
        <f t="shared" si="37"/>
        <v>1.56476613306653</v>
      </c>
      <c r="O432">
        <v>11.6231</v>
      </c>
      <c r="P432">
        <v>0.959927041839096</v>
      </c>
      <c r="Q432">
        <f t="shared" si="38"/>
        <v>4.84538102384526</v>
      </c>
      <c r="T432">
        <v>0.006191</v>
      </c>
      <c r="U432">
        <v>1.80218510741399</v>
      </c>
      <c r="V432">
        <f t="shared" si="39"/>
        <v>2.58087377021844</v>
      </c>
      <c r="Y432">
        <v>2645.610792</v>
      </c>
      <c r="Z432">
        <v>2.645610792</v>
      </c>
      <c r="AA432">
        <v>1.75808636964582</v>
      </c>
      <c r="AD432">
        <v>0.00403506</v>
      </c>
      <c r="AE432">
        <v>2.76509593413729</v>
      </c>
      <c r="AF432">
        <f t="shared" si="40"/>
        <v>1.68211605802901</v>
      </c>
      <c r="AI432">
        <v>2.3988</v>
      </c>
      <c r="AJ432">
        <v>4.65121227280307</v>
      </c>
    </row>
    <row r="433" spans="1:36">
      <c r="A433">
        <f t="shared" si="41"/>
        <v>432</v>
      </c>
      <c r="B433" t="s">
        <v>460</v>
      </c>
      <c r="C433">
        <v>20137844</v>
      </c>
      <c r="E433">
        <v>32.375</v>
      </c>
      <c r="F433">
        <v>0.622018347490347</v>
      </c>
      <c r="G433">
        <f t="shared" si="36"/>
        <v>13.3957572171582</v>
      </c>
      <c r="J433">
        <v>2.963747</v>
      </c>
      <c r="K433">
        <v>6.79472438099473</v>
      </c>
      <c r="L433">
        <f t="shared" si="37"/>
        <v>1.22630533637315</v>
      </c>
      <c r="O433">
        <v>8.7204</v>
      </c>
      <c r="P433">
        <v>2.30927984954819</v>
      </c>
      <c r="Q433">
        <f t="shared" si="38"/>
        <v>3.60822737410056</v>
      </c>
      <c r="T433">
        <v>0.004673</v>
      </c>
      <c r="U433">
        <v>4.3094038091162</v>
      </c>
      <c r="V433">
        <f t="shared" si="39"/>
        <v>1.93354049346039</v>
      </c>
      <c r="Y433">
        <v>4724.065942</v>
      </c>
      <c r="Z433">
        <v>4.724065942</v>
      </c>
      <c r="AA433">
        <v>1.76382101137034</v>
      </c>
      <c r="AD433">
        <v>0.00540262</v>
      </c>
      <c r="AE433">
        <v>3.72742188049502</v>
      </c>
      <c r="AF433">
        <f t="shared" si="40"/>
        <v>2.23543431217183</v>
      </c>
      <c r="AI433">
        <v>2.41681</v>
      </c>
      <c r="AJ433">
        <v>8.33240676759861</v>
      </c>
    </row>
    <row r="434" spans="1:36">
      <c r="A434">
        <f t="shared" si="41"/>
        <v>433</v>
      </c>
      <c r="B434" t="s">
        <v>461</v>
      </c>
      <c r="C434">
        <v>93473284</v>
      </c>
      <c r="E434">
        <v>129.041</v>
      </c>
      <c r="F434">
        <v>0.724368875008718</v>
      </c>
      <c r="G434">
        <f t="shared" si="36"/>
        <v>15.704665968092</v>
      </c>
      <c r="J434">
        <v>12.514003</v>
      </c>
      <c r="K434">
        <v>7.46949509281722</v>
      </c>
      <c r="L434">
        <f t="shared" si="37"/>
        <v>1.5229906544331</v>
      </c>
      <c r="O434">
        <v>21.347</v>
      </c>
      <c r="P434">
        <v>4.37875504754766</v>
      </c>
      <c r="Q434">
        <f t="shared" si="38"/>
        <v>2.59799214529382</v>
      </c>
      <c r="T434">
        <v>0.010464</v>
      </c>
      <c r="U434">
        <v>8.93284441896025</v>
      </c>
      <c r="V434">
        <f t="shared" si="39"/>
        <v>1.27349931177002</v>
      </c>
      <c r="Y434">
        <v>12200.066454</v>
      </c>
      <c r="Z434">
        <v>12.200066454</v>
      </c>
      <c r="AA434">
        <v>0.932451578242403</v>
      </c>
      <c r="AD434">
        <v>0.0133234</v>
      </c>
      <c r="AE434">
        <v>7.01572301364517</v>
      </c>
      <c r="AF434">
        <f t="shared" si="40"/>
        <v>1.62149662943775</v>
      </c>
      <c r="AI434">
        <v>8.21673</v>
      </c>
      <c r="AJ434">
        <v>11.3759712196945</v>
      </c>
    </row>
    <row r="435" spans="1:36">
      <c r="A435">
        <f t="shared" si="41"/>
        <v>434</v>
      </c>
      <c r="B435" t="s">
        <v>462</v>
      </c>
      <c r="C435">
        <v>13969156</v>
      </c>
      <c r="E435">
        <v>25.951</v>
      </c>
      <c r="F435">
        <v>0.538289699818889</v>
      </c>
      <c r="G435">
        <f t="shared" si="36"/>
        <v>12.1557183541932</v>
      </c>
      <c r="J435">
        <v>1.903296</v>
      </c>
      <c r="K435">
        <v>7.33945534483338</v>
      </c>
      <c r="L435">
        <f t="shared" si="37"/>
        <v>0.891523645357117</v>
      </c>
      <c r="O435">
        <v>11.0026</v>
      </c>
      <c r="P435">
        <v>1.26962317997564</v>
      </c>
      <c r="Q435">
        <f t="shared" si="38"/>
        <v>5.1537322940868</v>
      </c>
      <c r="T435">
        <v>0.00469</v>
      </c>
      <c r="U435">
        <v>2.97849808102345</v>
      </c>
      <c r="V435">
        <f t="shared" si="39"/>
        <v>2.19684478752905</v>
      </c>
      <c r="Y435">
        <v>3662.624684</v>
      </c>
      <c r="Z435">
        <v>3.662624684</v>
      </c>
      <c r="AA435">
        <v>1.78650518371312</v>
      </c>
      <c r="AD435">
        <v>0.00424436</v>
      </c>
      <c r="AE435">
        <v>3.29122788830354</v>
      </c>
      <c r="AF435">
        <f t="shared" si="40"/>
        <v>1.98810237577756</v>
      </c>
      <c r="AI435">
        <v>2.13488</v>
      </c>
      <c r="AJ435">
        <v>6.54329798396163</v>
      </c>
    </row>
    <row r="436" spans="1:36">
      <c r="A436">
        <f t="shared" si="41"/>
        <v>435</v>
      </c>
      <c r="B436" t="s">
        <v>463</v>
      </c>
      <c r="C436">
        <v>33294908</v>
      </c>
      <c r="E436">
        <v>20.424</v>
      </c>
      <c r="F436">
        <v>1.63018546807677</v>
      </c>
      <c r="G436">
        <f t="shared" si="36"/>
        <v>9.8805089255479</v>
      </c>
      <c r="J436">
        <v>1.641885</v>
      </c>
      <c r="K436">
        <v>20.2784653005539</v>
      </c>
      <c r="L436">
        <f t="shared" si="37"/>
        <v>0.794293938367764</v>
      </c>
      <c r="O436">
        <v>8.4887</v>
      </c>
      <c r="P436">
        <v>3.92226230164807</v>
      </c>
      <c r="Q436">
        <f t="shared" si="38"/>
        <v>4.10657442794254</v>
      </c>
      <c r="T436">
        <v>0.004185</v>
      </c>
      <c r="U436">
        <v>7.955772520908</v>
      </c>
      <c r="V436">
        <f t="shared" si="39"/>
        <v>2.0245754922355</v>
      </c>
      <c r="Y436">
        <v>10288.314386</v>
      </c>
      <c r="Z436">
        <v>10.288314386</v>
      </c>
      <c r="AA436">
        <v>1.56556861146749</v>
      </c>
      <c r="AD436">
        <v>0.0147451</v>
      </c>
      <c r="AE436">
        <v>2.25803202419787</v>
      </c>
      <c r="AF436">
        <f t="shared" si="40"/>
        <v>7.13323012916647</v>
      </c>
      <c r="AI436">
        <v>2.0671</v>
      </c>
      <c r="AJ436">
        <v>16.107062067631</v>
      </c>
    </row>
    <row r="437" spans="1:36">
      <c r="A437">
        <f t="shared" si="41"/>
        <v>436</v>
      </c>
      <c r="B437" t="s">
        <v>464</v>
      </c>
      <c r="C437">
        <v>35555734</v>
      </c>
      <c r="E437">
        <v>13.402</v>
      </c>
      <c r="F437">
        <v>2.65301701238621</v>
      </c>
      <c r="G437">
        <f t="shared" si="36"/>
        <v>5.41608742038732</v>
      </c>
      <c r="J437">
        <v>1.618634</v>
      </c>
      <c r="K437">
        <v>21.9665063257043</v>
      </c>
      <c r="L437">
        <f t="shared" si="37"/>
        <v>0.654130968930845</v>
      </c>
      <c r="O437">
        <v>9.3629</v>
      </c>
      <c r="P437">
        <v>3.79751295004753</v>
      </c>
      <c r="Q437">
        <f t="shared" si="38"/>
        <v>3.78378487601435</v>
      </c>
      <c r="T437">
        <v>0.004508</v>
      </c>
      <c r="U437">
        <v>7.88725244010648</v>
      </c>
      <c r="V437">
        <f t="shared" si="39"/>
        <v>1.82179690278362</v>
      </c>
      <c r="Y437">
        <v>8143.83273</v>
      </c>
      <c r="Z437">
        <v>8.14383273</v>
      </c>
      <c r="AA437">
        <v>1.76439921388937</v>
      </c>
      <c r="AD437">
        <v>0.0189892</v>
      </c>
      <c r="AE437">
        <v>1.87241874328566</v>
      </c>
      <c r="AF437">
        <f t="shared" si="40"/>
        <v>7.67401635899259</v>
      </c>
      <c r="AI437">
        <v>2.47448</v>
      </c>
      <c r="AJ437">
        <v>14.3689720668585</v>
      </c>
    </row>
    <row r="438" spans="1:36">
      <c r="A438">
        <f t="shared" si="41"/>
        <v>437</v>
      </c>
      <c r="B438" t="s">
        <v>465</v>
      </c>
      <c r="C438">
        <v>26088428220</v>
      </c>
      <c r="E438">
        <v>0</v>
      </c>
      <c r="F438">
        <v>0</v>
      </c>
      <c r="G438">
        <v>0</v>
      </c>
      <c r="J438" t="s">
        <v>466</v>
      </c>
      <c r="K438">
        <v>0</v>
      </c>
      <c r="L438">
        <v>0</v>
      </c>
      <c r="O438" t="s">
        <v>467</v>
      </c>
      <c r="P438">
        <v>0</v>
      </c>
      <c r="Q438">
        <v>0</v>
      </c>
      <c r="T438" t="s">
        <v>468</v>
      </c>
      <c r="U438">
        <v>0</v>
      </c>
      <c r="V438">
        <v>0</v>
      </c>
      <c r="Y438">
        <v>4031.690059</v>
      </c>
      <c r="Z438">
        <v>4.031690059</v>
      </c>
      <c r="AA438">
        <v>2.91379605002774</v>
      </c>
      <c r="AD438">
        <v>8.41464</v>
      </c>
      <c r="AE438">
        <v>3.10036177661789</v>
      </c>
      <c r="AF438">
        <f t="shared" si="40"/>
        <v>3.78908121543976</v>
      </c>
      <c r="AI438">
        <v>2220.76</v>
      </c>
      <c r="AJ438">
        <v>11.7475225688503</v>
      </c>
    </row>
    <row r="439" spans="1:36">
      <c r="A439">
        <f t="shared" si="41"/>
        <v>438</v>
      </c>
      <c r="B439" t="s">
        <v>469</v>
      </c>
      <c r="C439">
        <v>26088428220</v>
      </c>
      <c r="E439">
        <v>0</v>
      </c>
      <c r="F439">
        <v>0</v>
      </c>
      <c r="G439">
        <v>0</v>
      </c>
      <c r="J439" t="s">
        <v>466</v>
      </c>
      <c r="K439">
        <v>0</v>
      </c>
      <c r="L439">
        <v>0</v>
      </c>
      <c r="O439" t="s">
        <v>467</v>
      </c>
      <c r="P439">
        <v>0</v>
      </c>
      <c r="Q439">
        <v>0</v>
      </c>
      <c r="T439" t="s">
        <v>468</v>
      </c>
      <c r="U439">
        <v>0</v>
      </c>
      <c r="V439">
        <v>0</v>
      </c>
      <c r="Y439">
        <v>4020.469332</v>
      </c>
      <c r="Z439">
        <v>4.020469332</v>
      </c>
      <c r="AA439">
        <v>2.94808010087092</v>
      </c>
      <c r="AD439">
        <v>7.00639</v>
      </c>
      <c r="AE439">
        <v>3.72351927597522</v>
      </c>
      <c r="AF439">
        <f t="shared" si="40"/>
        <v>3.18318900893206</v>
      </c>
      <c r="AI439">
        <v>2201.06</v>
      </c>
      <c r="AJ439">
        <v>11.852665633831</v>
      </c>
    </row>
    <row r="440" spans="1:36">
      <c r="A440">
        <f t="shared" si="41"/>
        <v>439</v>
      </c>
      <c r="B440" t="s">
        <v>470</v>
      </c>
      <c r="C440">
        <v>22767128</v>
      </c>
      <c r="E440">
        <v>29.04</v>
      </c>
      <c r="F440">
        <v>0.783992011019284</v>
      </c>
      <c r="G440">
        <f t="shared" si="36"/>
        <v>11.2019750038574</v>
      </c>
      <c r="J440">
        <v>3.089435</v>
      </c>
      <c r="K440">
        <v>7.36935005915321</v>
      </c>
      <c r="L440">
        <f t="shared" si="37"/>
        <v>1.19172774263231</v>
      </c>
      <c r="O440">
        <v>7.6448</v>
      </c>
      <c r="P440">
        <v>2.97811950606948</v>
      </c>
      <c r="Q440">
        <f t="shared" si="38"/>
        <v>2.94892763462429</v>
      </c>
      <c r="T440">
        <v>0.004798</v>
      </c>
      <c r="U440">
        <v>4.74512880366819</v>
      </c>
      <c r="V440">
        <f t="shared" si="39"/>
        <v>1.85079463045826</v>
      </c>
      <c r="Y440">
        <v>6809.173684</v>
      </c>
      <c r="Z440">
        <v>6.809173684</v>
      </c>
      <c r="AA440">
        <v>1.28976867359078</v>
      </c>
      <c r="AD440">
        <v>0.013727</v>
      </c>
      <c r="AE440">
        <v>1.65856545494281</v>
      </c>
      <c r="AF440">
        <f t="shared" si="40"/>
        <v>5.29509334979171</v>
      </c>
      <c r="AI440">
        <v>2.5924</v>
      </c>
      <c r="AJ440">
        <v>8.78225891066193</v>
      </c>
    </row>
    <row r="441" spans="1:36">
      <c r="A441">
        <f t="shared" si="41"/>
        <v>440</v>
      </c>
      <c r="B441" t="s">
        <v>471</v>
      </c>
      <c r="C441">
        <v>22767128</v>
      </c>
      <c r="E441">
        <v>31.384</v>
      </c>
      <c r="F441">
        <v>0.725437420341575</v>
      </c>
      <c r="G441">
        <f t="shared" si="36"/>
        <v>13.533361218796</v>
      </c>
      <c r="J441">
        <v>2.432586</v>
      </c>
      <c r="K441">
        <v>9.35922840960196</v>
      </c>
      <c r="L441">
        <f t="shared" si="37"/>
        <v>1.04897607168576</v>
      </c>
      <c r="O441">
        <v>8.276</v>
      </c>
      <c r="P441">
        <v>2.75098211696472</v>
      </c>
      <c r="Q441">
        <f t="shared" si="38"/>
        <v>3.56876425716146</v>
      </c>
      <c r="T441">
        <v>0.005124</v>
      </c>
      <c r="U441">
        <v>4.44323341139735</v>
      </c>
      <c r="V441">
        <f t="shared" si="39"/>
        <v>2.20956356376212</v>
      </c>
      <c r="Y441">
        <v>6909.188119</v>
      </c>
      <c r="Z441">
        <v>6.909188119</v>
      </c>
      <c r="AA441">
        <v>1.42094939116161</v>
      </c>
      <c r="AD441">
        <v>0.00652825</v>
      </c>
      <c r="AE441">
        <v>3.48747796116877</v>
      </c>
      <c r="AF441">
        <f t="shared" si="40"/>
        <v>2.81510213410032</v>
      </c>
      <c r="AI441">
        <v>2.31901</v>
      </c>
      <c r="AJ441">
        <v>9.81760665111405</v>
      </c>
    </row>
    <row r="442" spans="1:36">
      <c r="A442">
        <f t="shared" si="41"/>
        <v>441</v>
      </c>
      <c r="B442" t="s">
        <v>472</v>
      </c>
      <c r="C442">
        <v>20660152</v>
      </c>
      <c r="E442">
        <v>39.171</v>
      </c>
      <c r="F442">
        <v>0.527434888054939</v>
      </c>
      <c r="G442">
        <f t="shared" si="36"/>
        <v>8.05488781639354</v>
      </c>
      <c r="J442">
        <v>8.592479</v>
      </c>
      <c r="K442">
        <v>2.40444602774124</v>
      </c>
      <c r="L442">
        <f t="shared" si="37"/>
        <v>1.76690547623797</v>
      </c>
      <c r="O442">
        <v>18.0178</v>
      </c>
      <c r="P442">
        <v>1.14665231049296</v>
      </c>
      <c r="Q442">
        <f t="shared" si="38"/>
        <v>3.7050715503361</v>
      </c>
      <c r="T442">
        <v>0.007676</v>
      </c>
      <c r="U442">
        <v>2.69152579468473</v>
      </c>
      <c r="V442">
        <f t="shared" si="39"/>
        <v>1.57844627093097</v>
      </c>
      <c r="Y442">
        <v>4656.767619</v>
      </c>
      <c r="Z442">
        <v>4.656767619</v>
      </c>
      <c r="AA442">
        <v>0.912312831845136</v>
      </c>
      <c r="AD442">
        <v>0.00713795</v>
      </c>
      <c r="AE442">
        <v>2.89440973949103</v>
      </c>
      <c r="AF442">
        <f t="shared" si="40"/>
        <v>1.46780491917557</v>
      </c>
      <c r="AI442">
        <v>4.86301</v>
      </c>
      <c r="AJ442">
        <v>4.24842885373462</v>
      </c>
    </row>
    <row r="443" spans="1:36">
      <c r="A443">
        <f t="shared" si="41"/>
        <v>442</v>
      </c>
      <c r="B443" t="s">
        <v>473</v>
      </c>
      <c r="C443">
        <v>467091368</v>
      </c>
      <c r="E443">
        <v>411.08</v>
      </c>
      <c r="F443">
        <v>1.13625417923519</v>
      </c>
      <c r="G443">
        <f t="shared" si="36"/>
        <v>15.9184637605956</v>
      </c>
      <c r="J443">
        <v>152.873582</v>
      </c>
      <c r="K443">
        <v>3.05540932507227</v>
      </c>
      <c r="L443">
        <f t="shared" si="37"/>
        <v>5.9198028972936</v>
      </c>
      <c r="O443">
        <v>52.2335</v>
      </c>
      <c r="P443">
        <v>8.94237161974595</v>
      </c>
      <c r="Q443">
        <f t="shared" si="38"/>
        <v>2.02266487505856</v>
      </c>
      <c r="T443">
        <v>0.034935</v>
      </c>
      <c r="U443">
        <v>13.3702982109632</v>
      </c>
      <c r="V443">
        <f t="shared" si="39"/>
        <v>1.35280609972855</v>
      </c>
      <c r="Y443">
        <v>26248.741717</v>
      </c>
      <c r="Z443">
        <v>26.248741717</v>
      </c>
      <c r="AA443">
        <v>0.689077639225136</v>
      </c>
      <c r="AD443">
        <v>0.00519994</v>
      </c>
      <c r="AE443">
        <v>89.8262995342254</v>
      </c>
      <c r="AF443">
        <f t="shared" si="40"/>
        <v>0.20135996995055</v>
      </c>
      <c r="AI443">
        <v>25.8241</v>
      </c>
      <c r="AJ443">
        <v>18.0874209749807</v>
      </c>
    </row>
    <row r="444" spans="1:36">
      <c r="A444">
        <f t="shared" si="41"/>
        <v>443</v>
      </c>
      <c r="B444" t="s">
        <v>474</v>
      </c>
      <c r="C444">
        <v>33294908</v>
      </c>
      <c r="E444">
        <v>23.749</v>
      </c>
      <c r="F444">
        <v>1.40194989262706</v>
      </c>
      <c r="G444">
        <f t="shared" si="36"/>
        <v>11.5060197185145</v>
      </c>
      <c r="J444">
        <v>1.944111</v>
      </c>
      <c r="K444">
        <v>17.1260324127583</v>
      </c>
      <c r="L444">
        <f t="shared" si="37"/>
        <v>0.941891427048764</v>
      </c>
      <c r="O444">
        <v>8.5915</v>
      </c>
      <c r="P444">
        <v>3.87533119944131</v>
      </c>
      <c r="Q444">
        <f t="shared" si="38"/>
        <v>4.1624476151256</v>
      </c>
      <c r="T444">
        <v>0.003955</v>
      </c>
      <c r="U444">
        <v>8.41843438685209</v>
      </c>
      <c r="V444">
        <f t="shared" si="39"/>
        <v>1.91613575252537</v>
      </c>
      <c r="Y444">
        <v>12583.269336</v>
      </c>
      <c r="Z444">
        <v>12.583269336</v>
      </c>
      <c r="AA444">
        <v>1.2819294158146</v>
      </c>
      <c r="AD444">
        <v>0.0147533</v>
      </c>
      <c r="AE444">
        <v>2.25677699226614</v>
      </c>
      <c r="AF444">
        <f t="shared" si="40"/>
        <v>7.14774351396525</v>
      </c>
      <c r="AI444">
        <v>2.06405</v>
      </c>
      <c r="AJ444">
        <v>16.1308631089363</v>
      </c>
    </row>
    <row r="445" spans="1:36">
      <c r="A445">
        <f t="shared" si="41"/>
        <v>444</v>
      </c>
      <c r="B445" t="s">
        <v>475</v>
      </c>
      <c r="C445">
        <v>26088428220</v>
      </c>
      <c r="E445">
        <v>0</v>
      </c>
      <c r="F445">
        <v>0</v>
      </c>
      <c r="G445">
        <v>0</v>
      </c>
      <c r="J445" t="s">
        <v>466</v>
      </c>
      <c r="K445">
        <v>0</v>
      </c>
      <c r="L445">
        <v>0</v>
      </c>
      <c r="O445" t="s">
        <v>467</v>
      </c>
      <c r="P445">
        <v>0</v>
      </c>
      <c r="Q445">
        <v>0</v>
      </c>
      <c r="T445" t="s">
        <v>468</v>
      </c>
      <c r="U445">
        <v>0</v>
      </c>
      <c r="V445">
        <v>0</v>
      </c>
      <c r="Y445">
        <v>4049.922342</v>
      </c>
      <c r="Z445">
        <v>4.049922342</v>
      </c>
      <c r="AA445">
        <v>2.87213508532757</v>
      </c>
      <c r="AD445">
        <v>6.5618</v>
      </c>
      <c r="AE445">
        <v>3.97580362400561</v>
      </c>
      <c r="AF445">
        <f t="shared" si="40"/>
        <v>2.92567871840488</v>
      </c>
      <c r="AI445">
        <v>2242.83</v>
      </c>
      <c r="AJ445">
        <v>11.6319240513102</v>
      </c>
    </row>
    <row r="446" spans="1:36">
      <c r="A446">
        <f t="shared" si="41"/>
        <v>445</v>
      </c>
      <c r="B446" t="s">
        <v>476</v>
      </c>
      <c r="C446">
        <v>26088428220</v>
      </c>
      <c r="E446">
        <v>0</v>
      </c>
      <c r="F446">
        <v>0</v>
      </c>
      <c r="G446">
        <v>0</v>
      </c>
      <c r="J446" t="s">
        <v>466</v>
      </c>
      <c r="K446">
        <v>0</v>
      </c>
      <c r="L446">
        <v>0</v>
      </c>
      <c r="O446" t="s">
        <v>467</v>
      </c>
      <c r="P446">
        <v>0</v>
      </c>
      <c r="Q446">
        <v>0</v>
      </c>
      <c r="T446" t="s">
        <v>468</v>
      </c>
      <c r="U446">
        <v>0</v>
      </c>
      <c r="V446">
        <v>0</v>
      </c>
      <c r="Y446">
        <v>4029.571226</v>
      </c>
      <c r="Z446">
        <v>4.029571226</v>
      </c>
      <c r="AA446">
        <v>2.51861237249702</v>
      </c>
      <c r="AD446">
        <v>6.36875</v>
      </c>
      <c r="AE446">
        <v>4.09631846437684</v>
      </c>
      <c r="AF446">
        <f t="shared" si="40"/>
        <v>2.47757298020664</v>
      </c>
      <c r="AI446">
        <v>2570.56</v>
      </c>
      <c r="AJ446">
        <v>10.1489279456616</v>
      </c>
    </row>
    <row r="447" spans="1:36">
      <c r="A447">
        <f t="shared" si="41"/>
        <v>446</v>
      </c>
      <c r="B447" t="s">
        <v>477</v>
      </c>
      <c r="C447">
        <v>26088428220</v>
      </c>
      <c r="E447">
        <v>0</v>
      </c>
      <c r="F447">
        <v>0</v>
      </c>
      <c r="G447">
        <v>0</v>
      </c>
      <c r="J447" t="s">
        <v>466</v>
      </c>
      <c r="K447">
        <v>0</v>
      </c>
      <c r="L447">
        <v>0</v>
      </c>
      <c r="O447" t="s">
        <v>467</v>
      </c>
      <c r="P447">
        <v>0</v>
      </c>
      <c r="Q447">
        <v>0</v>
      </c>
      <c r="T447" t="s">
        <v>468</v>
      </c>
      <c r="U447">
        <v>0</v>
      </c>
      <c r="V447">
        <v>0</v>
      </c>
      <c r="Y447">
        <v>4030.282337</v>
      </c>
      <c r="Z447">
        <v>4.030282337</v>
      </c>
      <c r="AA447">
        <v>2.42553645058493</v>
      </c>
      <c r="AD447">
        <v>7.47009</v>
      </c>
      <c r="AE447">
        <v>3.49238472628844</v>
      </c>
      <c r="AF447">
        <f t="shared" si="40"/>
        <v>2.79911793249973</v>
      </c>
      <c r="AI447">
        <v>2668.73</v>
      </c>
      <c r="AJ447">
        <v>9.77559671454212</v>
      </c>
    </row>
    <row r="448" spans="1:36">
      <c r="A448">
        <f t="shared" si="41"/>
        <v>447</v>
      </c>
      <c r="B448" t="s">
        <v>478</v>
      </c>
      <c r="C448">
        <v>10709208</v>
      </c>
      <c r="E448">
        <v>26.739</v>
      </c>
      <c r="F448">
        <v>0.400508919555705</v>
      </c>
      <c r="G448">
        <f t="shared" si="36"/>
        <v>10.0591760496883</v>
      </c>
      <c r="J448">
        <v>4.11905</v>
      </c>
      <c r="K448">
        <v>2.59992182663478</v>
      </c>
      <c r="L448">
        <f t="shared" si="37"/>
        <v>1.54958110278876</v>
      </c>
      <c r="O448">
        <v>14.005</v>
      </c>
      <c r="P448">
        <v>0.764670332024277</v>
      </c>
      <c r="Q448">
        <f t="shared" si="38"/>
        <v>5.26866227517427</v>
      </c>
      <c r="T448">
        <v>0.006652</v>
      </c>
      <c r="U448">
        <v>1.60992303066747</v>
      </c>
      <c r="V448">
        <f t="shared" si="39"/>
        <v>2.50247350620915</v>
      </c>
      <c r="Y448">
        <v>2810.758824</v>
      </c>
      <c r="Z448">
        <v>2.810758824</v>
      </c>
      <c r="AA448">
        <v>1.433345933803</v>
      </c>
      <c r="AD448">
        <v>0.00425693</v>
      </c>
      <c r="AE448">
        <v>2.51571155738995</v>
      </c>
      <c r="AF448">
        <f t="shared" si="40"/>
        <v>1.60145137444181</v>
      </c>
      <c r="AI448">
        <v>2.65817</v>
      </c>
      <c r="AJ448">
        <v>4.02878973128129</v>
      </c>
    </row>
    <row r="449" spans="1:36">
      <c r="A449">
        <f t="shared" si="41"/>
        <v>448</v>
      </c>
      <c r="B449" t="s">
        <v>479</v>
      </c>
      <c r="C449">
        <v>93320688</v>
      </c>
      <c r="E449">
        <v>168.003</v>
      </c>
      <c r="F449">
        <v>0.555470366600596</v>
      </c>
      <c r="G449">
        <f t="shared" si="36"/>
        <v>6.13277214603038</v>
      </c>
      <c r="J449">
        <v>58.967968</v>
      </c>
      <c r="K449">
        <v>1.58256577537147</v>
      </c>
      <c r="L449">
        <f t="shared" si="37"/>
        <v>2.15256341647715</v>
      </c>
      <c r="O449">
        <v>38.4742</v>
      </c>
      <c r="P449">
        <v>2.42553940042938</v>
      </c>
      <c r="Q449">
        <f t="shared" si="38"/>
        <v>1.40446005190861</v>
      </c>
      <c r="T449">
        <v>0.021117</v>
      </c>
      <c r="U449">
        <v>4.41922091206137</v>
      </c>
      <c r="V449">
        <f t="shared" si="39"/>
        <v>0.770853790752091</v>
      </c>
      <c r="Y449">
        <v>8960.824734</v>
      </c>
      <c r="Z449">
        <v>8.960824734</v>
      </c>
      <c r="AA449">
        <v>0.380162908365776</v>
      </c>
      <c r="AD449">
        <v>0.00694963</v>
      </c>
      <c r="AE449">
        <v>13.4281520023368</v>
      </c>
      <c r="AF449">
        <f t="shared" si="40"/>
        <v>0.253688906086303</v>
      </c>
      <c r="AI449">
        <v>27.3943</v>
      </c>
      <c r="AJ449">
        <v>3.40657319223342</v>
      </c>
    </row>
    <row r="450" spans="1:36">
      <c r="A450">
        <f t="shared" si="41"/>
        <v>449</v>
      </c>
      <c r="B450" t="s">
        <v>480</v>
      </c>
      <c r="C450">
        <v>541225572</v>
      </c>
      <c r="E450">
        <v>549.187</v>
      </c>
      <c r="F450">
        <v>0.985503247527709</v>
      </c>
      <c r="G450">
        <f t="shared" si="36"/>
        <v>20.2425701153323</v>
      </c>
      <c r="J450">
        <v>159.448</v>
      </c>
      <c r="K450">
        <v>3.39437040288997</v>
      </c>
      <c r="L450">
        <f t="shared" si="37"/>
        <v>5.87711894081524</v>
      </c>
      <c r="O450">
        <v>58.7886</v>
      </c>
      <c r="P450">
        <v>9.20630142578663</v>
      </c>
      <c r="Q450">
        <f t="shared" si="38"/>
        <v>2.16689826503945</v>
      </c>
      <c r="T450">
        <v>0.040183</v>
      </c>
      <c r="U450">
        <v>13.4690185401787</v>
      </c>
      <c r="V450">
        <f t="shared" si="39"/>
        <v>1.48111152475276</v>
      </c>
      <c r="Y450">
        <v>25234.477997</v>
      </c>
      <c r="Z450">
        <v>25.234477997</v>
      </c>
      <c r="AA450">
        <v>0.790550079511807</v>
      </c>
      <c r="AD450">
        <v>0.0054002</v>
      </c>
      <c r="AE450">
        <v>100.223245805711</v>
      </c>
      <c r="AF450">
        <f t="shared" si="40"/>
        <v>0.199046822187738</v>
      </c>
      <c r="AI450">
        <v>27.1303</v>
      </c>
      <c r="AJ450">
        <v>19.9491185869673</v>
      </c>
    </row>
    <row r="451" spans="1:36">
      <c r="A451">
        <f t="shared" si="41"/>
        <v>450</v>
      </c>
      <c r="B451" t="s">
        <v>481</v>
      </c>
      <c r="C451">
        <v>9909172</v>
      </c>
      <c r="E451">
        <v>21.297</v>
      </c>
      <c r="F451">
        <v>0.465284875804104</v>
      </c>
      <c r="G451">
        <f t="shared" ref="G451:G514" si="42">AJ451/F451</f>
        <v>8.49928564017017</v>
      </c>
      <c r="J451">
        <v>4.205005</v>
      </c>
      <c r="K451">
        <v>2.35651848214211</v>
      </c>
      <c r="L451">
        <f t="shared" ref="L451:L514" si="43">AJ451/K451</f>
        <v>1.67814896996496</v>
      </c>
      <c r="O451">
        <v>7.6651</v>
      </c>
      <c r="P451">
        <v>1.29276486934287</v>
      </c>
      <c r="Q451">
        <f t="shared" ref="Q451:Q514" si="44">AJ451/P451</f>
        <v>3.05901649812031</v>
      </c>
      <c r="T451">
        <v>0.005682</v>
      </c>
      <c r="U451">
        <v>1.74395846532911</v>
      </c>
      <c r="V451">
        <f t="shared" ref="V451:V514" si="45">AJ451/U451</f>
        <v>2.26759360508273</v>
      </c>
      <c r="Y451">
        <v>2469.864199</v>
      </c>
      <c r="Z451">
        <v>2.469864199</v>
      </c>
      <c r="AA451">
        <v>1.60113623457975</v>
      </c>
      <c r="AD451">
        <v>0.00379503</v>
      </c>
      <c r="AE451">
        <v>2.61109187542654</v>
      </c>
      <c r="AF451">
        <f t="shared" ref="AF451:AF514" si="46">AJ451/AE451</f>
        <v>1.51453462849298</v>
      </c>
      <c r="AI451">
        <v>2.50574</v>
      </c>
      <c r="AJ451">
        <v>3.95458906351018</v>
      </c>
    </row>
    <row r="452" spans="1:36">
      <c r="A452">
        <f t="shared" ref="A452:A515" si="47">A451+1</f>
        <v>451</v>
      </c>
      <c r="B452" t="s">
        <v>482</v>
      </c>
      <c r="C452">
        <v>10836444</v>
      </c>
      <c r="E452">
        <v>25.666</v>
      </c>
      <c r="F452">
        <v>0.422210083378789</v>
      </c>
      <c r="G452">
        <f t="shared" si="42"/>
        <v>9.30325283998232</v>
      </c>
      <c r="J452">
        <v>4.893038</v>
      </c>
      <c r="K452">
        <v>2.21466581702411</v>
      </c>
      <c r="L452">
        <f t="shared" si="43"/>
        <v>1.77359813253492</v>
      </c>
      <c r="O452">
        <v>11.5931</v>
      </c>
      <c r="P452">
        <v>0.93473221140161</v>
      </c>
      <c r="Q452">
        <f t="shared" si="44"/>
        <v>4.20219514140103</v>
      </c>
      <c r="T452">
        <v>0.006037</v>
      </c>
      <c r="U452">
        <v>1.79500480371045</v>
      </c>
      <c r="V452">
        <f t="shared" si="45"/>
        <v>2.1882543986197</v>
      </c>
      <c r="Y452">
        <v>2555.982553</v>
      </c>
      <c r="Z452">
        <v>2.555982553</v>
      </c>
      <c r="AA452">
        <v>1.5367582038667</v>
      </c>
      <c r="AD452">
        <v>0.00409804</v>
      </c>
      <c r="AE452">
        <v>2.64429922597144</v>
      </c>
      <c r="AF452">
        <f t="shared" si="46"/>
        <v>1.48543217752517</v>
      </c>
      <c r="AI452">
        <v>2.75882</v>
      </c>
      <c r="AJ452">
        <v>3.92792715726289</v>
      </c>
    </row>
    <row r="453" spans="1:36">
      <c r="A453">
        <f t="shared" si="47"/>
        <v>452</v>
      </c>
      <c r="B453" t="s">
        <v>483</v>
      </c>
      <c r="C453">
        <v>6406400</v>
      </c>
      <c r="E453">
        <v>13.708</v>
      </c>
      <c r="F453">
        <v>0.467347534286548</v>
      </c>
      <c r="G453">
        <f t="shared" si="42"/>
        <v>4.82322805832347</v>
      </c>
      <c r="J453">
        <v>5.30998</v>
      </c>
      <c r="K453">
        <v>1.20648288694119</v>
      </c>
      <c r="L453">
        <f t="shared" si="43"/>
        <v>1.86834290378878</v>
      </c>
      <c r="O453">
        <v>7.3915</v>
      </c>
      <c r="P453">
        <v>0.866725292565785</v>
      </c>
      <c r="Q453">
        <f t="shared" si="44"/>
        <v>2.60073608061701</v>
      </c>
      <c r="T453">
        <v>0.006194</v>
      </c>
      <c r="U453">
        <v>1.03429124959638</v>
      </c>
      <c r="V453">
        <f t="shared" si="45"/>
        <v>2.17938974272364</v>
      </c>
      <c r="Y453">
        <v>1613.461378</v>
      </c>
      <c r="Z453">
        <v>1.613461378</v>
      </c>
      <c r="AA453">
        <v>1.3970732557313</v>
      </c>
      <c r="AD453">
        <v>0.0121339</v>
      </c>
      <c r="AE453">
        <v>0.527975341810959</v>
      </c>
      <c r="AF453">
        <f t="shared" si="46"/>
        <v>4.26937313516861</v>
      </c>
      <c r="AI453">
        <v>2.84208</v>
      </c>
      <c r="AJ453">
        <v>2.25412374035917</v>
      </c>
    </row>
    <row r="454" spans="1:36">
      <c r="A454">
        <f t="shared" si="47"/>
        <v>453</v>
      </c>
      <c r="B454" t="s">
        <v>484</v>
      </c>
      <c r="C454">
        <v>6406400</v>
      </c>
      <c r="E454">
        <v>12.636</v>
      </c>
      <c r="F454">
        <v>0.506995884773663</v>
      </c>
      <c r="G454">
        <f t="shared" si="42"/>
        <v>4.8133842250817</v>
      </c>
      <c r="J454">
        <v>5.622306</v>
      </c>
      <c r="K454">
        <v>1.13946128154533</v>
      </c>
      <c r="L454">
        <f t="shared" si="43"/>
        <v>2.14168399881151</v>
      </c>
      <c r="O454">
        <v>7.8296</v>
      </c>
      <c r="P454">
        <v>0.818228261980178</v>
      </c>
      <c r="Q454">
        <f t="shared" si="44"/>
        <v>2.98250024760207</v>
      </c>
      <c r="T454">
        <v>0.006497</v>
      </c>
      <c r="U454">
        <v>0.986055102354933</v>
      </c>
      <c r="V454">
        <f t="shared" si="45"/>
        <v>2.47487791313357</v>
      </c>
      <c r="Y454">
        <v>1420.185275</v>
      </c>
      <c r="Z454">
        <v>1.420185275</v>
      </c>
      <c r="AA454">
        <v>1.71834339991371</v>
      </c>
      <c r="AD454">
        <v>0.0680061</v>
      </c>
      <c r="AE454">
        <v>0.0942033141144691</v>
      </c>
      <c r="AF454">
        <f t="shared" si="46"/>
        <v>25.905309350216</v>
      </c>
      <c r="AI454">
        <v>2.62518</v>
      </c>
      <c r="AJ454">
        <v>2.44036599395089</v>
      </c>
    </row>
    <row r="455" spans="1:36">
      <c r="A455">
        <f t="shared" si="47"/>
        <v>454</v>
      </c>
      <c r="B455" t="s">
        <v>485</v>
      </c>
      <c r="C455">
        <v>402201632</v>
      </c>
      <c r="E455">
        <v>378.475</v>
      </c>
      <c r="F455">
        <v>1.06269009049475</v>
      </c>
      <c r="G455">
        <f t="shared" si="42"/>
        <v>30.8792813667738</v>
      </c>
      <c r="J455">
        <v>23.266929</v>
      </c>
      <c r="K455">
        <v>17.2864081890653</v>
      </c>
      <c r="L455">
        <f t="shared" si="43"/>
        <v>1.8983183754059</v>
      </c>
      <c r="O455">
        <v>31.5867</v>
      </c>
      <c r="P455">
        <v>12.7332589982493</v>
      </c>
      <c r="Q455">
        <f t="shared" si="44"/>
        <v>2.57711763458055</v>
      </c>
      <c r="T455">
        <v>0.02712</v>
      </c>
      <c r="U455">
        <v>14.8304436578171</v>
      </c>
      <c r="V455">
        <f t="shared" si="45"/>
        <v>2.21268541030955</v>
      </c>
      <c r="Y455">
        <v>23657.721205</v>
      </c>
      <c r="Z455">
        <v>23.657721205</v>
      </c>
      <c r="AA455">
        <v>1.38707807170939</v>
      </c>
      <c r="AD455">
        <v>0.0373759</v>
      </c>
      <c r="AE455">
        <v>10.7609885514463</v>
      </c>
      <c r="AF455">
        <f t="shared" si="46"/>
        <v>3.04945090808217</v>
      </c>
      <c r="AI455">
        <v>12.2566</v>
      </c>
      <c r="AJ455">
        <v>32.8151063100697</v>
      </c>
    </row>
    <row r="456" spans="1:36">
      <c r="A456">
        <f t="shared" si="47"/>
        <v>455</v>
      </c>
      <c r="B456" t="s">
        <v>486</v>
      </c>
      <c r="C456">
        <v>648643046</v>
      </c>
      <c r="E456">
        <v>905.887</v>
      </c>
      <c r="F456">
        <v>0.71603085815339</v>
      </c>
      <c r="G456">
        <f t="shared" si="42"/>
        <v>40.8438048089885</v>
      </c>
      <c r="J456">
        <v>67.392358</v>
      </c>
      <c r="K456">
        <v>9.62487536049711</v>
      </c>
      <c r="L456">
        <f t="shared" si="43"/>
        <v>3.03852502107821</v>
      </c>
      <c r="O456">
        <v>51.9521</v>
      </c>
      <c r="P456">
        <v>12.48540571026</v>
      </c>
      <c r="Q456">
        <f t="shared" si="44"/>
        <v>2.34236878530883</v>
      </c>
      <c r="T456">
        <v>0.04461</v>
      </c>
      <c r="U456">
        <v>14.5403058955391</v>
      </c>
      <c r="V456">
        <f t="shared" si="45"/>
        <v>2.0113348933465</v>
      </c>
      <c r="Y456">
        <v>26750.098686</v>
      </c>
      <c r="Z456">
        <v>26.750098686</v>
      </c>
      <c r="AA456">
        <v>1.09328286788473</v>
      </c>
      <c r="AD456">
        <v>0.0849539</v>
      </c>
      <c r="AE456">
        <v>7.63523565133561</v>
      </c>
      <c r="AF456">
        <f t="shared" si="46"/>
        <v>3.83032377036245</v>
      </c>
      <c r="AI456">
        <v>22.1793</v>
      </c>
      <c r="AJ456">
        <v>29.2454246076296</v>
      </c>
    </row>
    <row r="457" spans="1:36">
      <c r="A457">
        <f t="shared" si="47"/>
        <v>456</v>
      </c>
      <c r="B457" t="s">
        <v>487</v>
      </c>
      <c r="C457">
        <v>141654528</v>
      </c>
      <c r="E457">
        <v>45.213</v>
      </c>
      <c r="F457">
        <v>3.13304863645412</v>
      </c>
      <c r="G457">
        <f t="shared" si="42"/>
        <v>34.3438563441904</v>
      </c>
      <c r="J457">
        <v>5.362851</v>
      </c>
      <c r="K457">
        <v>26.4140338786217</v>
      </c>
      <c r="L457">
        <f t="shared" si="43"/>
        <v>4.073628919543</v>
      </c>
      <c r="O457">
        <v>7.1766</v>
      </c>
      <c r="P457">
        <v>19.7383897667419</v>
      </c>
      <c r="Q457">
        <f t="shared" si="44"/>
        <v>5.45135512882838</v>
      </c>
      <c r="T457">
        <v>0.003895</v>
      </c>
      <c r="U457">
        <v>36.3682998716303</v>
      </c>
      <c r="V457">
        <f t="shared" si="45"/>
        <v>2.95864730189596</v>
      </c>
      <c r="Y457">
        <v>34173.219012</v>
      </c>
      <c r="Z457">
        <v>34.173219012</v>
      </c>
      <c r="AA457">
        <v>3.14869290633574</v>
      </c>
      <c r="AD457">
        <v>0.0240546</v>
      </c>
      <c r="AE457">
        <v>5.88887480980769</v>
      </c>
      <c r="AF457">
        <f t="shared" si="46"/>
        <v>18.2719069032571</v>
      </c>
      <c r="AI457">
        <v>1.31648</v>
      </c>
      <c r="AJ457">
        <v>107.600972289742</v>
      </c>
    </row>
    <row r="458" spans="1:36">
      <c r="A458">
        <f t="shared" si="47"/>
        <v>457</v>
      </c>
      <c r="B458" t="s">
        <v>488</v>
      </c>
      <c r="C458">
        <v>141965260</v>
      </c>
      <c r="E458">
        <v>44.18</v>
      </c>
      <c r="F458">
        <v>3.21333770937076</v>
      </c>
      <c r="G458">
        <f t="shared" si="42"/>
        <v>39.0168943682496</v>
      </c>
      <c r="J458">
        <v>3.576533</v>
      </c>
      <c r="K458">
        <v>39.6935412031708</v>
      </c>
      <c r="L458">
        <f t="shared" si="43"/>
        <v>3.15856066694339</v>
      </c>
      <c r="O458">
        <v>6.9348</v>
      </c>
      <c r="P458">
        <v>20.4714281594278</v>
      </c>
      <c r="Q458">
        <f t="shared" si="44"/>
        <v>6.12436303904341</v>
      </c>
      <c r="T458">
        <v>0.003664</v>
      </c>
      <c r="U458">
        <v>38.7459770742358</v>
      </c>
      <c r="V458">
        <f t="shared" si="45"/>
        <v>3.23580581632564</v>
      </c>
      <c r="Y458">
        <v>63163.938137</v>
      </c>
      <c r="Z458">
        <v>63.163938137</v>
      </c>
      <c r="AA458">
        <v>1.98490565461735</v>
      </c>
      <c r="AD458">
        <v>0.0087627</v>
      </c>
      <c r="AE458">
        <v>16.2010864231344</v>
      </c>
      <c r="AF458">
        <f t="shared" si="46"/>
        <v>7.73864509462792</v>
      </c>
      <c r="AI458">
        <v>1.13233</v>
      </c>
      <c r="AJ458">
        <v>125.374457976032</v>
      </c>
    </row>
    <row r="459" spans="1:36">
      <c r="A459">
        <f t="shared" si="47"/>
        <v>458</v>
      </c>
      <c r="B459" t="s">
        <v>489</v>
      </c>
      <c r="C459">
        <v>9485076</v>
      </c>
      <c r="E459">
        <v>11.313</v>
      </c>
      <c r="F459">
        <v>0.838422699549191</v>
      </c>
      <c r="G459">
        <f t="shared" si="42"/>
        <v>5.0530406235344</v>
      </c>
      <c r="J459">
        <v>3.396173</v>
      </c>
      <c r="K459">
        <v>2.79287185900129</v>
      </c>
      <c r="L459">
        <f t="shared" si="43"/>
        <v>1.51692744042701</v>
      </c>
      <c r="O459">
        <v>7.1788</v>
      </c>
      <c r="P459">
        <v>1.32126204936758</v>
      </c>
      <c r="Q459">
        <f t="shared" si="44"/>
        <v>3.20646760613708</v>
      </c>
      <c r="T459">
        <v>0.006647</v>
      </c>
      <c r="U459">
        <v>1.42697096434482</v>
      </c>
      <c r="V459">
        <f t="shared" si="45"/>
        <v>2.96893494427942</v>
      </c>
      <c r="Y459">
        <v>2244.442207</v>
      </c>
      <c r="Z459">
        <v>2.244442207</v>
      </c>
      <c r="AA459">
        <v>1.8875887948027</v>
      </c>
      <c r="AD459">
        <v>0.00316915</v>
      </c>
      <c r="AE459">
        <v>2.99294006279286</v>
      </c>
      <c r="AF459">
        <f t="shared" si="46"/>
        <v>1.41552582799205</v>
      </c>
      <c r="AI459">
        <v>2.23885</v>
      </c>
      <c r="AJ459">
        <v>4.23658396051544</v>
      </c>
    </row>
    <row r="460" spans="1:36">
      <c r="A460">
        <f t="shared" si="47"/>
        <v>459</v>
      </c>
      <c r="B460" t="s">
        <v>490</v>
      </c>
      <c r="C460">
        <v>866232788</v>
      </c>
      <c r="E460">
        <v>184.898</v>
      </c>
      <c r="F460">
        <v>4.68492243290896</v>
      </c>
      <c r="G460">
        <f t="shared" si="42"/>
        <v>15.7386789240722</v>
      </c>
      <c r="J460">
        <v>32.2188</v>
      </c>
      <c r="K460">
        <v>26.8859419965983</v>
      </c>
      <c r="L460">
        <f t="shared" si="43"/>
        <v>2.74249233912155</v>
      </c>
      <c r="O460">
        <v>41.0178</v>
      </c>
      <c r="P460">
        <v>21.118460473258</v>
      </c>
      <c r="Q460">
        <f t="shared" si="44"/>
        <v>3.49147088866189</v>
      </c>
      <c r="T460">
        <v>0.018259</v>
      </c>
      <c r="U460">
        <v>47.4414145352977</v>
      </c>
      <c r="V460">
        <f t="shared" si="45"/>
        <v>1.55422199523323</v>
      </c>
      <c r="Y460">
        <v>28592.483741</v>
      </c>
      <c r="Z460">
        <v>28.592483741</v>
      </c>
      <c r="AA460">
        <v>2.5788067459843</v>
      </c>
      <c r="AD460">
        <v>0.00821352</v>
      </c>
      <c r="AE460">
        <v>105.464257468174</v>
      </c>
      <c r="AF460">
        <f t="shared" si="46"/>
        <v>0.699141981613894</v>
      </c>
      <c r="AI460">
        <v>11.748</v>
      </c>
      <c r="AJ460">
        <v>73.7344899557371</v>
      </c>
    </row>
    <row r="461" spans="1:36">
      <c r="A461">
        <f t="shared" si="47"/>
        <v>460</v>
      </c>
      <c r="B461" t="s">
        <v>491</v>
      </c>
      <c r="C461">
        <v>10675980</v>
      </c>
      <c r="E461">
        <v>26.115</v>
      </c>
      <c r="F461">
        <v>0.408806433084434</v>
      </c>
      <c r="G461">
        <f t="shared" si="42"/>
        <v>10.1146834295807</v>
      </c>
      <c r="J461">
        <v>5.484243</v>
      </c>
      <c r="K461">
        <v>1.94666428894562</v>
      </c>
      <c r="L461">
        <f t="shared" si="43"/>
        <v>2.12411954033673</v>
      </c>
      <c r="O461">
        <v>12.8861</v>
      </c>
      <c r="P461">
        <v>0.828488060778668</v>
      </c>
      <c r="Q461">
        <f t="shared" si="44"/>
        <v>4.99095623748495</v>
      </c>
      <c r="T461">
        <v>0.00667</v>
      </c>
      <c r="U461">
        <v>1.60059670164918</v>
      </c>
      <c r="V461">
        <f t="shared" si="45"/>
        <v>2.58337884263078</v>
      </c>
      <c r="Y461">
        <v>2456.419523</v>
      </c>
      <c r="Z461">
        <v>2.456419523</v>
      </c>
      <c r="AA461">
        <v>1.68332307079824</v>
      </c>
      <c r="AD461">
        <v>0.00421303</v>
      </c>
      <c r="AE461">
        <v>2.53403844738822</v>
      </c>
      <c r="AF461">
        <f t="shared" si="46"/>
        <v>1.63176200380342</v>
      </c>
      <c r="AI461">
        <v>2.58189</v>
      </c>
      <c r="AJ461">
        <v>4.1349476546251</v>
      </c>
    </row>
    <row r="462" spans="1:36">
      <c r="A462">
        <f t="shared" si="47"/>
        <v>461</v>
      </c>
      <c r="B462" t="s">
        <v>492</v>
      </c>
      <c r="C462">
        <v>12171172</v>
      </c>
      <c r="E462">
        <v>29.15</v>
      </c>
      <c r="F462">
        <v>0.417535917667238</v>
      </c>
      <c r="G462">
        <f t="shared" si="42"/>
        <v>10.4049544002427</v>
      </c>
      <c r="J462">
        <v>4.399892</v>
      </c>
      <c r="K462">
        <v>2.76624335324594</v>
      </c>
      <c r="L462">
        <f t="shared" si="43"/>
        <v>1.57052060466527</v>
      </c>
      <c r="O462">
        <v>13.0446</v>
      </c>
      <c r="P462">
        <v>0.933042944973399</v>
      </c>
      <c r="Q462">
        <f t="shared" si="44"/>
        <v>4.65620817047705</v>
      </c>
      <c r="T462">
        <v>0.006893</v>
      </c>
      <c r="U462">
        <v>1.76572929058465</v>
      </c>
      <c r="V462">
        <f t="shared" si="45"/>
        <v>2.46042369402652</v>
      </c>
      <c r="Y462">
        <v>2591.308298</v>
      </c>
      <c r="Z462">
        <v>2.591308298</v>
      </c>
      <c r="AA462">
        <v>1.67654392460527</v>
      </c>
      <c r="AD462">
        <v>0.00440781</v>
      </c>
      <c r="AE462">
        <v>2.76127419285314</v>
      </c>
      <c r="AF462">
        <f t="shared" si="46"/>
        <v>1.5733468972533</v>
      </c>
      <c r="AI462">
        <v>2.80155</v>
      </c>
      <c r="AJ462">
        <v>4.34444218379111</v>
      </c>
    </row>
    <row r="463" spans="1:36">
      <c r="A463">
        <f t="shared" si="47"/>
        <v>462</v>
      </c>
      <c r="B463" t="s">
        <v>493</v>
      </c>
      <c r="C463">
        <v>533316882</v>
      </c>
      <c r="E463">
        <v>82.261</v>
      </c>
      <c r="F463">
        <v>6.48322877183599</v>
      </c>
      <c r="G463">
        <f t="shared" si="42"/>
        <v>9.52026590684464</v>
      </c>
      <c r="J463">
        <v>24.734097</v>
      </c>
      <c r="K463">
        <v>21.5620114209142</v>
      </c>
      <c r="L463">
        <f t="shared" si="43"/>
        <v>2.86253729477746</v>
      </c>
      <c r="O463">
        <v>31.1196</v>
      </c>
      <c r="P463">
        <v>17.1376522191802</v>
      </c>
      <c r="Q463">
        <f t="shared" si="44"/>
        <v>3.60154711120267</v>
      </c>
      <c r="T463">
        <v>0.017025</v>
      </c>
      <c r="U463">
        <v>31.3255143612335</v>
      </c>
      <c r="V463">
        <f t="shared" si="45"/>
        <v>1.97034472063347</v>
      </c>
      <c r="Y463">
        <v>27601.046497</v>
      </c>
      <c r="Z463">
        <v>27.601046497</v>
      </c>
      <c r="AA463">
        <v>2.23622179867322</v>
      </c>
      <c r="AD463">
        <v>0.0318286</v>
      </c>
      <c r="AE463">
        <v>16.755901359155</v>
      </c>
      <c r="AF463">
        <f t="shared" si="46"/>
        <v>3.68360140823227</v>
      </c>
      <c r="AI463">
        <v>8.64062</v>
      </c>
      <c r="AJ463">
        <v>61.7220618427844</v>
      </c>
    </row>
    <row r="464" spans="1:36">
      <c r="A464">
        <f t="shared" si="47"/>
        <v>463</v>
      </c>
      <c r="B464" t="s">
        <v>494</v>
      </c>
      <c r="C464">
        <v>11075172</v>
      </c>
      <c r="E464">
        <v>25.984</v>
      </c>
      <c r="F464">
        <v>0.426230449507389</v>
      </c>
      <c r="G464">
        <f t="shared" si="42"/>
        <v>8.88566680117363</v>
      </c>
      <c r="J464">
        <v>5.148835</v>
      </c>
      <c r="K464">
        <v>2.15100542161479</v>
      </c>
      <c r="L464">
        <f t="shared" si="43"/>
        <v>1.76073091995924</v>
      </c>
      <c r="O464">
        <v>12.5049</v>
      </c>
      <c r="P464">
        <v>0.885666578701149</v>
      </c>
      <c r="Q464">
        <f t="shared" si="44"/>
        <v>4.27626134475047</v>
      </c>
      <c r="T464">
        <v>0.00674</v>
      </c>
      <c r="U464">
        <v>1.64320059347181</v>
      </c>
      <c r="V464">
        <f t="shared" si="45"/>
        <v>2.30485661329704</v>
      </c>
      <c r="Y464">
        <v>2403.659265</v>
      </c>
      <c r="Z464">
        <v>2.403659265</v>
      </c>
      <c r="AA464">
        <v>1.5756566706376</v>
      </c>
      <c r="AD464">
        <v>0.00431948</v>
      </c>
      <c r="AE464">
        <v>2.56400585255633</v>
      </c>
      <c r="AF464">
        <f t="shared" si="46"/>
        <v>1.47711899762675</v>
      </c>
      <c r="AI464">
        <v>2.92426</v>
      </c>
      <c r="AJ464">
        <v>3.78734175483712</v>
      </c>
    </row>
    <row r="465" spans="1:36">
      <c r="A465">
        <f t="shared" si="47"/>
        <v>464</v>
      </c>
      <c r="B465" t="s">
        <v>495</v>
      </c>
      <c r="C465">
        <v>191801712</v>
      </c>
      <c r="E465">
        <v>524.476</v>
      </c>
      <c r="F465">
        <v>0.36570159931055</v>
      </c>
      <c r="G465">
        <f t="shared" si="42"/>
        <v>10.7383710097806</v>
      </c>
      <c r="J465">
        <v>122.62998</v>
      </c>
      <c r="K465">
        <v>1.56406868858659</v>
      </c>
      <c r="L465">
        <f t="shared" si="43"/>
        <v>2.51078452047755</v>
      </c>
      <c r="O465">
        <v>56.3981</v>
      </c>
      <c r="P465">
        <v>3.40085414224947</v>
      </c>
      <c r="Q465">
        <f t="shared" si="44"/>
        <v>1.15472151642155</v>
      </c>
      <c r="T465">
        <v>0.037087</v>
      </c>
      <c r="U465">
        <v>5.17166964165341</v>
      </c>
      <c r="V465">
        <f t="shared" si="45"/>
        <v>0.759336872687664</v>
      </c>
      <c r="Y465">
        <v>3713.033885</v>
      </c>
      <c r="Z465">
        <v>3.713033885</v>
      </c>
      <c r="AA465">
        <v>1.05763630871546</v>
      </c>
      <c r="AD465">
        <v>0.0737398</v>
      </c>
      <c r="AE465">
        <v>2.60106091961193</v>
      </c>
      <c r="AF465">
        <f t="shared" si="46"/>
        <v>1.50978372811535</v>
      </c>
      <c r="AI465">
        <v>48.8413</v>
      </c>
      <c r="AJ465">
        <v>3.92703945226683</v>
      </c>
    </row>
    <row r="466" spans="1:36">
      <c r="A466">
        <f t="shared" si="47"/>
        <v>465</v>
      </c>
      <c r="B466" t="s">
        <v>496</v>
      </c>
      <c r="C466">
        <v>10478038</v>
      </c>
      <c r="E466">
        <v>14.059</v>
      </c>
      <c r="F466">
        <v>0.745290418948716</v>
      </c>
      <c r="G466">
        <f t="shared" si="42"/>
        <v>4.99820464233276</v>
      </c>
      <c r="J466">
        <v>3.730569</v>
      </c>
      <c r="K466">
        <v>2.80869701109938</v>
      </c>
      <c r="L466">
        <f t="shared" si="43"/>
        <v>1.32627834798653</v>
      </c>
      <c r="O466">
        <v>6.8579</v>
      </c>
      <c r="P466">
        <v>1.52787850508173</v>
      </c>
      <c r="Q466">
        <f t="shared" si="44"/>
        <v>2.43809571211707</v>
      </c>
      <c r="T466">
        <v>0.006621</v>
      </c>
      <c r="U466">
        <v>1.5825461410663</v>
      </c>
      <c r="V466">
        <f t="shared" si="45"/>
        <v>2.353873884123</v>
      </c>
      <c r="Y466">
        <v>2253.265635</v>
      </c>
      <c r="Z466">
        <v>2.253265635</v>
      </c>
      <c r="AA466">
        <v>1.65320678308556</v>
      </c>
      <c r="AD466">
        <v>0.0495673</v>
      </c>
      <c r="AE466">
        <v>0.211390130186635</v>
      </c>
      <c r="AF466">
        <f t="shared" si="46"/>
        <v>17.6219865543709</v>
      </c>
      <c r="AI466">
        <v>2.81281</v>
      </c>
      <c r="AJ466">
        <v>3.7251140318756</v>
      </c>
    </row>
    <row r="467" spans="1:36">
      <c r="A467">
        <f t="shared" si="47"/>
        <v>466</v>
      </c>
      <c r="B467" t="s">
        <v>497</v>
      </c>
      <c r="C467">
        <v>10160640</v>
      </c>
      <c r="E467">
        <v>22.473</v>
      </c>
      <c r="F467">
        <v>0.452126551862235</v>
      </c>
      <c r="G467">
        <f t="shared" si="42"/>
        <v>5.92797170147268</v>
      </c>
      <c r="J467">
        <v>8.307922</v>
      </c>
      <c r="K467">
        <v>1.22300618614378</v>
      </c>
      <c r="L467">
        <f t="shared" si="43"/>
        <v>2.19147984310249</v>
      </c>
      <c r="O467">
        <v>16.1865</v>
      </c>
      <c r="P467">
        <v>0.627723102585488</v>
      </c>
      <c r="Q467">
        <f t="shared" si="44"/>
        <v>4.26970648982724</v>
      </c>
      <c r="T467">
        <v>0.008852</v>
      </c>
      <c r="U467">
        <v>1.1478355173972</v>
      </c>
      <c r="V467">
        <f t="shared" si="45"/>
        <v>2.33499779742073</v>
      </c>
      <c r="Y467">
        <v>1902.217445</v>
      </c>
      <c r="Z467">
        <v>1.902217445</v>
      </c>
      <c r="AA467">
        <v>1.40898371632994</v>
      </c>
      <c r="AD467">
        <v>0.0200711</v>
      </c>
      <c r="AE467">
        <v>0.506232344017019</v>
      </c>
      <c r="AF467">
        <f t="shared" si="46"/>
        <v>5.29439384227422</v>
      </c>
      <c r="AI467">
        <v>3.79101</v>
      </c>
      <c r="AJ467">
        <v>2.68019340492375</v>
      </c>
    </row>
    <row r="468" spans="1:36">
      <c r="A468">
        <f t="shared" si="47"/>
        <v>467</v>
      </c>
      <c r="B468" t="s">
        <v>498</v>
      </c>
      <c r="C468">
        <v>150299464</v>
      </c>
      <c r="E468">
        <v>185.075</v>
      </c>
      <c r="F468">
        <v>0.812100305281642</v>
      </c>
      <c r="G468">
        <f t="shared" si="42"/>
        <v>8.16661077379271</v>
      </c>
      <c r="J468">
        <v>50.648277</v>
      </c>
      <c r="K468">
        <v>2.96751386034317</v>
      </c>
      <c r="L468">
        <f t="shared" si="43"/>
        <v>2.23490349654052</v>
      </c>
      <c r="O468">
        <v>39.2234</v>
      </c>
      <c r="P468">
        <v>3.83188260069244</v>
      </c>
      <c r="Q468">
        <f t="shared" si="44"/>
        <v>1.73076990963005</v>
      </c>
      <c r="T468">
        <v>0.023495</v>
      </c>
      <c r="U468">
        <v>6.39708295381996</v>
      </c>
      <c r="V468">
        <f t="shared" si="45"/>
        <v>1.0367392685682</v>
      </c>
      <c r="Y468">
        <v>9783.15722</v>
      </c>
      <c r="Z468">
        <v>9.78315722</v>
      </c>
      <c r="AA468">
        <v>0.677910714646924</v>
      </c>
      <c r="AD468">
        <v>0.00256571</v>
      </c>
      <c r="AE468">
        <v>58.580067115925</v>
      </c>
      <c r="AF468">
        <f t="shared" si="46"/>
        <v>0.113214399181022</v>
      </c>
      <c r="AI468">
        <v>22.6624</v>
      </c>
      <c r="AJ468">
        <v>6.63210710251341</v>
      </c>
    </row>
    <row r="469" spans="1:36">
      <c r="A469">
        <f t="shared" si="47"/>
        <v>468</v>
      </c>
      <c r="B469" t="s">
        <v>499</v>
      </c>
      <c r="C469">
        <v>88934448</v>
      </c>
      <c r="E469">
        <v>318.558</v>
      </c>
      <c r="F469">
        <v>0.279178196749101</v>
      </c>
      <c r="G469">
        <f t="shared" si="42"/>
        <v>9.4154331788518</v>
      </c>
      <c r="J469">
        <v>29.14209</v>
      </c>
      <c r="K469">
        <v>3.0517525681926</v>
      </c>
      <c r="L469">
        <f t="shared" si="43"/>
        <v>0.861335772722976</v>
      </c>
      <c r="O469">
        <v>41.8402</v>
      </c>
      <c r="P469">
        <v>2.12557416073537</v>
      </c>
      <c r="Q469">
        <f t="shared" si="44"/>
        <v>1.23664641066869</v>
      </c>
      <c r="T469">
        <v>0.023683</v>
      </c>
      <c r="U469">
        <v>3.75520195921125</v>
      </c>
      <c r="V469">
        <f t="shared" si="45"/>
        <v>0.69998463066301</v>
      </c>
      <c r="Y469">
        <v>4888.908292</v>
      </c>
      <c r="Z469">
        <v>4.888908292</v>
      </c>
      <c r="AA469">
        <v>0.537662704940651</v>
      </c>
      <c r="AD469">
        <v>0.00814382</v>
      </c>
      <c r="AE469">
        <v>10.9204830165696</v>
      </c>
      <c r="AF469">
        <f t="shared" si="46"/>
        <v>0.240702142249126</v>
      </c>
      <c r="AI469">
        <v>33.8336</v>
      </c>
      <c r="AJ469">
        <v>2.6285836564835</v>
      </c>
    </row>
    <row r="470" spans="1:36">
      <c r="A470">
        <f t="shared" si="47"/>
        <v>469</v>
      </c>
      <c r="B470" t="s">
        <v>500</v>
      </c>
      <c r="C470">
        <v>152941166</v>
      </c>
      <c r="E470">
        <v>76.609</v>
      </c>
      <c r="F470">
        <v>1.99638640368625</v>
      </c>
      <c r="G470">
        <f t="shared" si="42"/>
        <v>22.0733232295875</v>
      </c>
      <c r="J470">
        <v>10.262915</v>
      </c>
      <c r="K470">
        <v>14.9023124521639</v>
      </c>
      <c r="L470">
        <f t="shared" si="43"/>
        <v>2.95704995591617</v>
      </c>
      <c r="O470">
        <v>16.0784</v>
      </c>
      <c r="P470">
        <v>9.51221303114738</v>
      </c>
      <c r="Q470">
        <f t="shared" si="44"/>
        <v>4.63266352797451</v>
      </c>
      <c r="T470">
        <v>0.007769</v>
      </c>
      <c r="U470">
        <v>19.686081348951</v>
      </c>
      <c r="V470">
        <f t="shared" si="45"/>
        <v>2.23847913653311</v>
      </c>
      <c r="Y470">
        <v>32310.674558</v>
      </c>
      <c r="Z470">
        <v>32.310674558</v>
      </c>
      <c r="AA470">
        <v>1.36384903696817</v>
      </c>
      <c r="AD470">
        <v>0.0214904</v>
      </c>
      <c r="AE470">
        <v>7.11672030301902</v>
      </c>
      <c r="AF470">
        <f t="shared" si="46"/>
        <v>6.19202111413968</v>
      </c>
      <c r="AI470">
        <v>3.47066</v>
      </c>
      <c r="AJ470">
        <v>44.0668823797203</v>
      </c>
    </row>
    <row r="471" spans="1:36">
      <c r="A471">
        <f t="shared" si="47"/>
        <v>470</v>
      </c>
      <c r="B471" t="s">
        <v>501</v>
      </c>
      <c r="C471">
        <v>224531414</v>
      </c>
      <c r="E471">
        <v>151.591</v>
      </c>
      <c r="F471">
        <v>1.4811658607701</v>
      </c>
      <c r="G471">
        <f t="shared" si="42"/>
        <v>19.2034892632693</v>
      </c>
      <c r="J471">
        <v>17.801717</v>
      </c>
      <c r="K471">
        <v>12.6129077324395</v>
      </c>
      <c r="L471">
        <f t="shared" si="43"/>
        <v>2.25511462604812</v>
      </c>
      <c r="O471">
        <v>24.7885</v>
      </c>
      <c r="P471">
        <v>9.05788627791113</v>
      </c>
      <c r="Q471">
        <f t="shared" si="44"/>
        <v>3.14019759486086</v>
      </c>
      <c r="T471">
        <v>0.012422</v>
      </c>
      <c r="U471">
        <v>18.0753030107873</v>
      </c>
      <c r="V471">
        <f t="shared" si="45"/>
        <v>1.57361415670015</v>
      </c>
      <c r="Y471">
        <v>22694.135488</v>
      </c>
      <c r="Z471">
        <v>22.694135488</v>
      </c>
      <c r="AA471">
        <v>1.2533437424598</v>
      </c>
      <c r="AD471">
        <v>0.014071</v>
      </c>
      <c r="AE471">
        <v>15.9570331888281</v>
      </c>
      <c r="AF471">
        <f t="shared" si="46"/>
        <v>1.78250883907002</v>
      </c>
      <c r="AI471">
        <v>7.89393</v>
      </c>
      <c r="AJ471">
        <v>28.4435527044197</v>
      </c>
    </row>
    <row r="472" spans="1:36">
      <c r="A472">
        <f t="shared" si="47"/>
        <v>471</v>
      </c>
      <c r="B472" t="s">
        <v>502</v>
      </c>
      <c r="C472">
        <v>12124540</v>
      </c>
      <c r="E472">
        <v>29.762</v>
      </c>
      <c r="F472">
        <v>0.407383240373631</v>
      </c>
      <c r="G472">
        <f t="shared" si="42"/>
        <v>8.90446000891582</v>
      </c>
      <c r="J472">
        <v>6.186957</v>
      </c>
      <c r="K472">
        <v>1.95969359412066</v>
      </c>
      <c r="L472">
        <f t="shared" si="43"/>
        <v>1.85106885234131</v>
      </c>
      <c r="O472">
        <v>13.0331</v>
      </c>
      <c r="P472">
        <v>0.930288266030338</v>
      </c>
      <c r="Q472">
        <f t="shared" si="44"/>
        <v>3.89935883818967</v>
      </c>
      <c r="T472">
        <v>0.007319</v>
      </c>
      <c r="U472">
        <v>1.65658423281869</v>
      </c>
      <c r="V472">
        <f t="shared" si="45"/>
        <v>2.1897635510132</v>
      </c>
      <c r="Y472">
        <v>2425.124245</v>
      </c>
      <c r="Z472">
        <v>2.425124245</v>
      </c>
      <c r="AA472">
        <v>1.49581110315836</v>
      </c>
      <c r="AD472">
        <v>0.00456787</v>
      </c>
      <c r="AE472">
        <v>2.65430933892602</v>
      </c>
      <c r="AF472">
        <f t="shared" si="46"/>
        <v>1.36665599559594</v>
      </c>
      <c r="AI472">
        <v>3.34237</v>
      </c>
      <c r="AJ472">
        <v>3.62752777220954</v>
      </c>
    </row>
    <row r="473" spans="1:36">
      <c r="A473">
        <f t="shared" si="47"/>
        <v>472</v>
      </c>
      <c r="B473" t="s">
        <v>503</v>
      </c>
      <c r="C473">
        <v>177313778</v>
      </c>
      <c r="E473">
        <v>107.202</v>
      </c>
      <c r="F473">
        <v>1.65401557806757</v>
      </c>
      <c r="G473">
        <f t="shared" si="42"/>
        <v>4.15115819799727</v>
      </c>
      <c r="J473">
        <v>28.003975</v>
      </c>
      <c r="K473">
        <v>6.33173604818602</v>
      </c>
      <c r="L473">
        <f t="shared" si="43"/>
        <v>1.08439143297476</v>
      </c>
      <c r="O473">
        <v>40.8205</v>
      </c>
      <c r="P473">
        <v>4.343743413236</v>
      </c>
      <c r="Q473">
        <f t="shared" si="44"/>
        <v>1.58068275984913</v>
      </c>
      <c r="T473">
        <v>0.038151</v>
      </c>
      <c r="U473">
        <v>4.64768362559304</v>
      </c>
      <c r="V473">
        <f t="shared" si="45"/>
        <v>1.47731233010385</v>
      </c>
      <c r="Y473">
        <v>12014.54601</v>
      </c>
      <c r="Z473">
        <v>12.01454601</v>
      </c>
      <c r="AA473">
        <v>0.571480630295608</v>
      </c>
      <c r="AD473">
        <v>0.0467213</v>
      </c>
      <c r="AE473">
        <v>3.79513793494616</v>
      </c>
      <c r="AF473">
        <f t="shared" si="46"/>
        <v>1.8091780705219</v>
      </c>
      <c r="AI473">
        <v>25.8246</v>
      </c>
      <c r="AJ473">
        <v>6.86608032651038</v>
      </c>
    </row>
    <row r="474" spans="1:36">
      <c r="A474">
        <f t="shared" si="47"/>
        <v>473</v>
      </c>
      <c r="B474" t="s">
        <v>504</v>
      </c>
      <c r="C474">
        <v>76045944</v>
      </c>
      <c r="E474">
        <v>27.343</v>
      </c>
      <c r="F474">
        <v>2.78118509307684</v>
      </c>
      <c r="G474">
        <f t="shared" si="42"/>
        <v>23.5350318471338</v>
      </c>
      <c r="J474">
        <v>2.407561</v>
      </c>
      <c r="K474">
        <v>31.5862999940604</v>
      </c>
      <c r="L474">
        <f t="shared" si="43"/>
        <v>2.07226803236357</v>
      </c>
      <c r="O474">
        <v>6.2499</v>
      </c>
      <c r="P474">
        <v>12.1675457207315</v>
      </c>
      <c r="Q474">
        <f t="shared" si="44"/>
        <v>5.37949733172665</v>
      </c>
      <c r="T474">
        <v>0.00296</v>
      </c>
      <c r="U474">
        <v>25.6911972972973</v>
      </c>
      <c r="V474">
        <f t="shared" si="45"/>
        <v>2.54777070063694</v>
      </c>
      <c r="Y474">
        <v>48134.023684</v>
      </c>
      <c r="Z474">
        <v>48.134023684</v>
      </c>
      <c r="AA474">
        <v>1.35985472912157</v>
      </c>
      <c r="AD474">
        <v>0.0169929</v>
      </c>
      <c r="AE474">
        <v>4.47515986088307</v>
      </c>
      <c r="AF474">
        <f t="shared" si="46"/>
        <v>14.6263556550181</v>
      </c>
      <c r="AI474">
        <v>1.1618</v>
      </c>
      <c r="AJ474">
        <v>65.4552797383371</v>
      </c>
    </row>
    <row r="475" spans="1:36">
      <c r="A475">
        <f t="shared" si="47"/>
        <v>474</v>
      </c>
      <c r="B475" t="s">
        <v>505</v>
      </c>
      <c r="C475">
        <v>76045944</v>
      </c>
      <c r="E475">
        <v>34.91</v>
      </c>
      <c r="F475">
        <v>2.17834270982526</v>
      </c>
      <c r="G475">
        <f t="shared" si="42"/>
        <v>35.3523641323886</v>
      </c>
      <c r="J475">
        <v>2.701065</v>
      </c>
      <c r="K475">
        <v>28.1540592321917</v>
      </c>
      <c r="L475">
        <f t="shared" si="43"/>
        <v>2.73529170510599</v>
      </c>
      <c r="O475">
        <v>6.8989</v>
      </c>
      <c r="P475">
        <v>11.0229085796286</v>
      </c>
      <c r="Q475">
        <f t="shared" si="44"/>
        <v>6.98631981990651</v>
      </c>
      <c r="T475">
        <v>0.003743</v>
      </c>
      <c r="U475">
        <v>20.3168431739247</v>
      </c>
      <c r="V475">
        <f t="shared" si="45"/>
        <v>3.79042964616242</v>
      </c>
      <c r="Y475">
        <v>44988.706567</v>
      </c>
      <c r="Z475">
        <v>44.988706567</v>
      </c>
      <c r="AA475">
        <v>1.7117532500782</v>
      </c>
      <c r="AD475">
        <v>0.0100486</v>
      </c>
      <c r="AE475">
        <v>7.56781481997492</v>
      </c>
      <c r="AF475">
        <f t="shared" si="46"/>
        <v>10.1759314299834</v>
      </c>
      <c r="AI475">
        <v>0.987487</v>
      </c>
      <c r="AJ475">
        <v>77.0095646828768</v>
      </c>
    </row>
    <row r="476" spans="1:36">
      <c r="A476">
        <f t="shared" si="47"/>
        <v>475</v>
      </c>
      <c r="B476" t="s">
        <v>506</v>
      </c>
      <c r="C476">
        <v>11970248</v>
      </c>
      <c r="E476">
        <v>28.708</v>
      </c>
      <c r="F476">
        <v>0.416965584506061</v>
      </c>
      <c r="G476">
        <f t="shared" si="42"/>
        <v>6.79431046316239</v>
      </c>
      <c r="J476">
        <v>4.817658</v>
      </c>
      <c r="K476">
        <v>2.48466121920651</v>
      </c>
      <c r="L476">
        <f t="shared" si="43"/>
        <v>1.14019312238184</v>
      </c>
      <c r="O476">
        <v>13.7822</v>
      </c>
      <c r="P476">
        <v>0.868529552611339</v>
      </c>
      <c r="Q476">
        <f t="shared" si="44"/>
        <v>3.26182756253994</v>
      </c>
      <c r="T476">
        <v>0.006739</v>
      </c>
      <c r="U476">
        <v>1.77626472770441</v>
      </c>
      <c r="V476">
        <f t="shared" si="45"/>
        <v>1.59491633730149</v>
      </c>
      <c r="Y476">
        <v>2630.563615</v>
      </c>
      <c r="Z476">
        <v>2.630563615</v>
      </c>
      <c r="AA476">
        <v>1.07695309759241</v>
      </c>
      <c r="AD476">
        <v>0.004622</v>
      </c>
      <c r="AE476">
        <v>2.5898416270013</v>
      </c>
      <c r="AF476">
        <f t="shared" si="46"/>
        <v>1.09388682460417</v>
      </c>
      <c r="AI476">
        <v>4.2253</v>
      </c>
      <c r="AJ476">
        <v>2.83299363358815</v>
      </c>
    </row>
    <row r="477" spans="1:36">
      <c r="A477">
        <f t="shared" si="47"/>
        <v>476</v>
      </c>
      <c r="B477" t="s">
        <v>507</v>
      </c>
      <c r="C477">
        <v>24858492</v>
      </c>
      <c r="E477">
        <v>39.464</v>
      </c>
      <c r="F477">
        <v>0.629903000202716</v>
      </c>
      <c r="G477">
        <f t="shared" si="42"/>
        <v>13.9021383027442</v>
      </c>
      <c r="J477">
        <v>6.951139</v>
      </c>
      <c r="K477">
        <v>3.57617535773634</v>
      </c>
      <c r="L477">
        <f t="shared" si="43"/>
        <v>2.44870504103991</v>
      </c>
      <c r="O477">
        <v>17.671</v>
      </c>
      <c r="P477">
        <v>1.40673940354253</v>
      </c>
      <c r="Q477">
        <f t="shared" si="44"/>
        <v>6.22503258533835</v>
      </c>
      <c r="T477">
        <v>0.008999</v>
      </c>
      <c r="U477">
        <v>2.76236159573286</v>
      </c>
      <c r="V477">
        <f t="shared" si="45"/>
        <v>3.17011307993095</v>
      </c>
      <c r="Y477">
        <v>6288.22181</v>
      </c>
      <c r="Z477">
        <v>6.28822181</v>
      </c>
      <c r="AA477">
        <v>1.39260332900561</v>
      </c>
      <c r="AD477">
        <v>0.00638653</v>
      </c>
      <c r="AE477">
        <v>3.89233151648861</v>
      </c>
      <c r="AF477">
        <f t="shared" si="46"/>
        <v>2.24980801070913</v>
      </c>
      <c r="AI477">
        <v>2.8387</v>
      </c>
      <c r="AJ477">
        <v>8.75699862613168</v>
      </c>
    </row>
    <row r="478" spans="1:36">
      <c r="A478">
        <f t="shared" si="47"/>
        <v>477</v>
      </c>
      <c r="B478" t="s">
        <v>508</v>
      </c>
      <c r="C478">
        <v>223678350</v>
      </c>
      <c r="E478">
        <v>1311.664</v>
      </c>
      <c r="F478">
        <v>0.170530219629417</v>
      </c>
      <c r="G478">
        <f t="shared" si="42"/>
        <v>24.4933232994535</v>
      </c>
      <c r="J478">
        <v>119.568559</v>
      </c>
      <c r="K478">
        <v>1.87071209915643</v>
      </c>
      <c r="L478">
        <f t="shared" si="43"/>
        <v>2.23276035023968</v>
      </c>
      <c r="O478">
        <v>61.9085</v>
      </c>
      <c r="P478">
        <v>3.61304748136363</v>
      </c>
      <c r="Q478">
        <f t="shared" si="44"/>
        <v>1.15604675090893</v>
      </c>
      <c r="T478">
        <v>0.041235</v>
      </c>
      <c r="U478">
        <v>5.42447799199709</v>
      </c>
      <c r="V478">
        <f t="shared" si="45"/>
        <v>0.77000069091853</v>
      </c>
      <c r="Y478">
        <v>2865.395963</v>
      </c>
      <c r="Z478">
        <v>2.865395963</v>
      </c>
      <c r="AA478">
        <v>1.45768747343982</v>
      </c>
      <c r="AD478">
        <v>0.078996</v>
      </c>
      <c r="AE478">
        <v>2.83151488682971</v>
      </c>
      <c r="AF478">
        <f t="shared" si="46"/>
        <v>1.47512973395902</v>
      </c>
      <c r="AI478">
        <v>53.5519</v>
      </c>
      <c r="AJ478">
        <v>4.17685180171012</v>
      </c>
    </row>
    <row r="479" spans="1:36">
      <c r="A479">
        <f t="shared" si="47"/>
        <v>478</v>
      </c>
      <c r="B479" t="s">
        <v>509</v>
      </c>
      <c r="C479">
        <v>11039332</v>
      </c>
      <c r="E479">
        <v>26.545</v>
      </c>
      <c r="F479">
        <v>0.415872367677529</v>
      </c>
      <c r="G479">
        <f t="shared" si="42"/>
        <v>10.1494215078267</v>
      </c>
      <c r="J479">
        <v>5.281436</v>
      </c>
      <c r="K479">
        <v>2.09021410086196</v>
      </c>
      <c r="L479">
        <f t="shared" si="43"/>
        <v>2.01934526768168</v>
      </c>
      <c r="O479">
        <v>7.7564</v>
      </c>
      <c r="P479">
        <v>1.42325460265071</v>
      </c>
      <c r="Q479">
        <f t="shared" si="44"/>
        <v>2.96564222954632</v>
      </c>
      <c r="T479">
        <v>0.006611</v>
      </c>
      <c r="U479">
        <v>1.6698429889578</v>
      </c>
      <c r="V479">
        <f t="shared" si="45"/>
        <v>2.5277010958087</v>
      </c>
      <c r="Y479">
        <v>2732.306722</v>
      </c>
      <c r="Z479">
        <v>2.732306722</v>
      </c>
      <c r="AA479">
        <v>1.54479872959779</v>
      </c>
      <c r="AD479">
        <v>0.00440318</v>
      </c>
      <c r="AE479">
        <v>2.507127121762</v>
      </c>
      <c r="AF479">
        <f t="shared" si="46"/>
        <v>1.68354604614173</v>
      </c>
      <c r="AI479">
        <v>2.61542</v>
      </c>
      <c r="AJ479">
        <v>4.22086395301711</v>
      </c>
    </row>
    <row r="480" spans="1:36">
      <c r="A480">
        <f t="shared" si="47"/>
        <v>479</v>
      </c>
      <c r="B480" t="s">
        <v>510</v>
      </c>
      <c r="C480">
        <v>364302812</v>
      </c>
      <c r="E480">
        <v>419.902</v>
      </c>
      <c r="F480">
        <v>0.867590085305619</v>
      </c>
      <c r="G480">
        <f t="shared" si="42"/>
        <v>4.26734445202131</v>
      </c>
      <c r="J480">
        <v>237.461018</v>
      </c>
      <c r="K480">
        <v>1.53415838552499</v>
      </c>
      <c r="L480">
        <f t="shared" si="43"/>
        <v>2.41324870501601</v>
      </c>
      <c r="O480">
        <v>122.0555</v>
      </c>
      <c r="P480">
        <v>2.98473081508002</v>
      </c>
      <c r="Q480">
        <f t="shared" si="44"/>
        <v>1.24041528919531</v>
      </c>
      <c r="T480">
        <v>0.082493</v>
      </c>
      <c r="U480">
        <v>4.41616636563102</v>
      </c>
      <c r="V480">
        <f t="shared" si="45"/>
        <v>0.838352867765799</v>
      </c>
      <c r="Y480">
        <v>2177.733924</v>
      </c>
      <c r="Z480">
        <v>2.177733924</v>
      </c>
      <c r="AA480">
        <v>1.70007258295235</v>
      </c>
      <c r="AD480">
        <v>0.186814</v>
      </c>
      <c r="AE480">
        <v>1.95008303446209</v>
      </c>
      <c r="AF480">
        <f t="shared" si="46"/>
        <v>1.89853748365073</v>
      </c>
      <c r="AI480">
        <v>98.3989</v>
      </c>
      <c r="AJ480">
        <v>3.70230573715763</v>
      </c>
    </row>
    <row r="481" spans="1:36">
      <c r="A481">
        <f t="shared" si="47"/>
        <v>480</v>
      </c>
      <c r="B481" t="s">
        <v>511</v>
      </c>
      <c r="C481">
        <v>19165264</v>
      </c>
      <c r="E481">
        <v>2910.65</v>
      </c>
      <c r="F481">
        <v>0.00658453060312989</v>
      </c>
      <c r="G481">
        <f t="shared" si="42"/>
        <v>957.81614036935</v>
      </c>
      <c r="J481">
        <v>10.684299</v>
      </c>
      <c r="K481">
        <v>1.79377832836764</v>
      </c>
      <c r="L481">
        <f t="shared" si="43"/>
        <v>3.51591363809874</v>
      </c>
      <c r="O481">
        <v>6.4867</v>
      </c>
      <c r="P481">
        <v>2.95454761280775</v>
      </c>
      <c r="Q481">
        <f t="shared" si="44"/>
        <v>2.13459741217043</v>
      </c>
      <c r="T481">
        <v>0.007493</v>
      </c>
      <c r="U481">
        <v>2.55775577205392</v>
      </c>
      <c r="V481">
        <f t="shared" si="45"/>
        <v>2.46574350739097</v>
      </c>
      <c r="Y481">
        <v>1841.553422</v>
      </c>
      <c r="Z481">
        <v>1.841553422</v>
      </c>
      <c r="AA481">
        <v>3.42470091450529</v>
      </c>
      <c r="AD481">
        <v>0.0151805</v>
      </c>
      <c r="AE481">
        <v>1.26249227627549</v>
      </c>
      <c r="AF481">
        <f t="shared" si="46"/>
        <v>4.99549170078054</v>
      </c>
      <c r="AI481">
        <v>3.03884</v>
      </c>
      <c r="AJ481">
        <v>6.30676968843374</v>
      </c>
    </row>
    <row r="482" spans="1:36">
      <c r="A482">
        <f t="shared" si="47"/>
        <v>481</v>
      </c>
      <c r="B482" t="s">
        <v>512</v>
      </c>
      <c r="C482">
        <v>35218253702</v>
      </c>
      <c r="E482">
        <v>0</v>
      </c>
      <c r="F482">
        <v>0</v>
      </c>
      <c r="G482">
        <v>0</v>
      </c>
      <c r="J482" t="s">
        <v>466</v>
      </c>
      <c r="K482">
        <v>0</v>
      </c>
      <c r="L482">
        <v>0</v>
      </c>
      <c r="O482" t="s">
        <v>467</v>
      </c>
      <c r="P482">
        <v>0</v>
      </c>
      <c r="Q482">
        <v>0</v>
      </c>
      <c r="T482" t="s">
        <v>468</v>
      </c>
      <c r="U482">
        <v>0</v>
      </c>
      <c r="V482">
        <v>0</v>
      </c>
      <c r="Y482">
        <v>5613.674871</v>
      </c>
      <c r="Z482">
        <v>5.613674871</v>
      </c>
      <c r="AA482">
        <v>3.08264942678079</v>
      </c>
      <c r="AD482">
        <v>5.06348</v>
      </c>
      <c r="AE482">
        <v>6.95534567175144</v>
      </c>
      <c r="AF482">
        <f t="shared" si="46"/>
        <v>2.48801316856252</v>
      </c>
      <c r="AI482">
        <v>2035.15</v>
      </c>
      <c r="AJ482">
        <v>17.3049916232219</v>
      </c>
    </row>
    <row r="483" spans="1:36">
      <c r="A483">
        <f t="shared" si="47"/>
        <v>482</v>
      </c>
      <c r="B483" t="s">
        <v>513</v>
      </c>
      <c r="C483">
        <v>159454560</v>
      </c>
      <c r="E483">
        <v>120.07</v>
      </c>
      <c r="F483">
        <v>1.32801332556009</v>
      </c>
      <c r="G483">
        <f t="shared" si="42"/>
        <v>7.10725701432462</v>
      </c>
      <c r="J483">
        <v>32.770111</v>
      </c>
      <c r="K483">
        <v>4.86585352121633</v>
      </c>
      <c r="L483">
        <f t="shared" si="43"/>
        <v>1.93974849058838</v>
      </c>
      <c r="O483">
        <v>44.9235</v>
      </c>
      <c r="P483">
        <v>3.54946876356473</v>
      </c>
      <c r="Q483">
        <f t="shared" si="44"/>
        <v>2.65913933941044</v>
      </c>
      <c r="T483">
        <v>0.025364</v>
      </c>
      <c r="U483">
        <v>6.28664879356568</v>
      </c>
      <c r="V483">
        <f t="shared" si="45"/>
        <v>1.50136143009353</v>
      </c>
      <c r="Y483">
        <v>4814.825285</v>
      </c>
      <c r="Z483">
        <v>4.814825285</v>
      </c>
      <c r="AA483">
        <v>1.96030623429018</v>
      </c>
      <c r="AD483">
        <v>0.0121886</v>
      </c>
      <c r="AE483">
        <v>13.0822703181662</v>
      </c>
      <c r="AF483">
        <f t="shared" si="46"/>
        <v>0.721475079910025</v>
      </c>
      <c r="AI483">
        <v>16.894</v>
      </c>
      <c r="AJ483">
        <v>9.43853202320351</v>
      </c>
    </row>
    <row r="484" spans="1:36">
      <c r="A484">
        <f t="shared" si="47"/>
        <v>483</v>
      </c>
      <c r="B484" t="s">
        <v>514</v>
      </c>
      <c r="C484">
        <v>12535672</v>
      </c>
      <c r="E484">
        <v>30.21</v>
      </c>
      <c r="F484">
        <v>0.414951075802714</v>
      </c>
      <c r="G484">
        <f t="shared" si="42"/>
        <v>10.0260857444394</v>
      </c>
      <c r="J484">
        <v>6.207114</v>
      </c>
      <c r="K484">
        <v>2.01956529234037</v>
      </c>
      <c r="L484">
        <f t="shared" si="43"/>
        <v>2.06001513371433</v>
      </c>
      <c r="O484">
        <v>15.096</v>
      </c>
      <c r="P484">
        <v>0.830396926338103</v>
      </c>
      <c r="Q484">
        <f t="shared" si="44"/>
        <v>5.01005595491746</v>
      </c>
      <c r="T484">
        <v>0.009093</v>
      </c>
      <c r="U484">
        <v>1.3786068404267</v>
      </c>
      <c r="V484">
        <f t="shared" si="45"/>
        <v>3.0177821143392</v>
      </c>
      <c r="Y484">
        <v>3195.073812</v>
      </c>
      <c r="Z484">
        <v>3.195073812</v>
      </c>
      <c r="AA484">
        <v>1.30210921892322</v>
      </c>
      <c r="AD484">
        <v>0.00449083</v>
      </c>
      <c r="AE484">
        <v>2.79139312777371</v>
      </c>
      <c r="AF484">
        <f t="shared" si="46"/>
        <v>1.49041531425689</v>
      </c>
      <c r="AI484">
        <v>3.01314</v>
      </c>
      <c r="AJ484">
        <v>4.16033506574537</v>
      </c>
    </row>
    <row r="485" spans="1:36">
      <c r="A485">
        <f t="shared" si="47"/>
        <v>484</v>
      </c>
      <c r="B485" t="s">
        <v>515</v>
      </c>
      <c r="C485">
        <v>234252916</v>
      </c>
      <c r="E485">
        <v>1088.495</v>
      </c>
      <c r="F485">
        <v>0.21520807720752</v>
      </c>
      <c r="G485">
        <f t="shared" si="42"/>
        <v>19.423710061653</v>
      </c>
      <c r="J485">
        <v>119.73326</v>
      </c>
      <c r="K485">
        <v>1.95645651007915</v>
      </c>
      <c r="L485">
        <f t="shared" si="43"/>
        <v>2.1365868717601</v>
      </c>
      <c r="O485">
        <v>59.8047</v>
      </c>
      <c r="P485">
        <v>3.91696498770164</v>
      </c>
      <c r="Q485">
        <f t="shared" si="44"/>
        <v>1.06718832252251</v>
      </c>
      <c r="T485">
        <v>0.041053</v>
      </c>
      <c r="U485">
        <v>5.70610956568339</v>
      </c>
      <c r="V485">
        <f t="shared" si="45"/>
        <v>0.732572560426128</v>
      </c>
      <c r="Y485">
        <v>3192.635207</v>
      </c>
      <c r="Z485">
        <v>3.192635207</v>
      </c>
      <c r="AA485">
        <v>1.30930689652221</v>
      </c>
      <c r="AD485">
        <v>0.0816843</v>
      </c>
      <c r="AE485">
        <v>2.86778384585532</v>
      </c>
      <c r="AF485">
        <f t="shared" si="46"/>
        <v>1.45762007155667</v>
      </c>
      <c r="AI485">
        <v>56.0395</v>
      </c>
      <c r="AJ485">
        <v>4.1801392946047</v>
      </c>
    </row>
    <row r="486" spans="1:36">
      <c r="A486">
        <f t="shared" si="47"/>
        <v>485</v>
      </c>
      <c r="B486" t="s">
        <v>516</v>
      </c>
      <c r="C486">
        <v>128237870</v>
      </c>
      <c r="E486">
        <v>850.221</v>
      </c>
      <c r="F486">
        <v>0.150828866847561</v>
      </c>
      <c r="G486">
        <f t="shared" si="42"/>
        <v>82.5425226204809</v>
      </c>
      <c r="J486">
        <v>20.086204</v>
      </c>
      <c r="K486">
        <v>6.38437556444214</v>
      </c>
      <c r="L486">
        <f t="shared" si="43"/>
        <v>1.95004116344997</v>
      </c>
      <c r="O486">
        <v>47.6671</v>
      </c>
      <c r="P486">
        <v>2.69028050793944</v>
      </c>
      <c r="Q486">
        <f t="shared" si="44"/>
        <v>4.62769407013321</v>
      </c>
      <c r="T486">
        <v>0.028643</v>
      </c>
      <c r="U486">
        <v>4.47711028872674</v>
      </c>
      <c r="V486">
        <f t="shared" si="45"/>
        <v>2.78076579550309</v>
      </c>
      <c r="Y486">
        <v>4681.370008</v>
      </c>
      <c r="Z486">
        <v>4.681370008</v>
      </c>
      <c r="AA486">
        <v>2.65943412554676</v>
      </c>
      <c r="AD486">
        <v>0.0458004</v>
      </c>
      <c r="AE486">
        <v>2.79992903992105</v>
      </c>
      <c r="AF486">
        <f t="shared" si="46"/>
        <v>4.44646809832629</v>
      </c>
      <c r="AI486">
        <v>10.3004</v>
      </c>
      <c r="AJ486">
        <v>12.4497951535863</v>
      </c>
    </row>
    <row r="487" spans="1:36">
      <c r="A487">
        <f t="shared" si="47"/>
        <v>486</v>
      </c>
      <c r="B487" t="s">
        <v>517</v>
      </c>
      <c r="C487">
        <v>17352626</v>
      </c>
      <c r="E487">
        <v>29.276</v>
      </c>
      <c r="F487">
        <v>0.592725304003279</v>
      </c>
      <c r="G487">
        <f t="shared" si="42"/>
        <v>8.59529366861907</v>
      </c>
      <c r="J487">
        <v>5.802282</v>
      </c>
      <c r="K487">
        <v>2.99065540075439</v>
      </c>
      <c r="L487">
        <f t="shared" si="43"/>
        <v>1.70352226185758</v>
      </c>
      <c r="O487">
        <v>14.2364</v>
      </c>
      <c r="P487">
        <v>1.2188914332275</v>
      </c>
      <c r="Q487">
        <f t="shared" si="44"/>
        <v>4.17973899384918</v>
      </c>
      <c r="T487">
        <v>0.00792</v>
      </c>
      <c r="U487">
        <v>2.19098813131313</v>
      </c>
      <c r="V487">
        <f t="shared" si="45"/>
        <v>2.32527414453693</v>
      </c>
      <c r="Y487">
        <v>4928.613867</v>
      </c>
      <c r="Z487">
        <v>4.928613867</v>
      </c>
      <c r="AA487">
        <v>1.03368780557986</v>
      </c>
      <c r="AD487">
        <v>0.015074</v>
      </c>
      <c r="AE487">
        <v>1.15116266419</v>
      </c>
      <c r="AF487">
        <f t="shared" si="46"/>
        <v>4.42565435034716</v>
      </c>
      <c r="AI487">
        <v>3.40605</v>
      </c>
      <c r="AJ487">
        <v>5.0946480527297</v>
      </c>
    </row>
    <row r="488" spans="1:36">
      <c r="A488">
        <f t="shared" si="47"/>
        <v>487</v>
      </c>
      <c r="B488" t="s">
        <v>518</v>
      </c>
      <c r="C488">
        <v>104580476</v>
      </c>
      <c r="E488">
        <v>35.204</v>
      </c>
      <c r="F488">
        <v>2.97069867060561</v>
      </c>
      <c r="G488">
        <f t="shared" si="42"/>
        <v>34.8778917124882</v>
      </c>
      <c r="J488">
        <v>3.330975</v>
      </c>
      <c r="K488">
        <v>31.3963557216731</v>
      </c>
      <c r="L488">
        <f t="shared" si="43"/>
        <v>3.30011888839351</v>
      </c>
      <c r="O488">
        <v>8.0705</v>
      </c>
      <c r="P488">
        <v>12.9583639179729</v>
      </c>
      <c r="Q488">
        <f t="shared" si="44"/>
        <v>7.99573983256547</v>
      </c>
      <c r="T488">
        <v>0.003588</v>
      </c>
      <c r="U488">
        <v>29.1472898550725</v>
      </c>
      <c r="V488">
        <f t="shared" si="45"/>
        <v>3.5547629662654</v>
      </c>
      <c r="Y488">
        <v>51673.121436</v>
      </c>
      <c r="Z488">
        <v>51.673121436</v>
      </c>
      <c r="AA488">
        <v>2.00513736473504</v>
      </c>
      <c r="AD488">
        <v>0.00902702</v>
      </c>
      <c r="AE488">
        <v>11.5852713298519</v>
      </c>
      <c r="AF488">
        <f t="shared" si="46"/>
        <v>8.94339921731807</v>
      </c>
      <c r="AI488">
        <v>1.00935</v>
      </c>
      <c r="AJ488">
        <v>103.611706543815</v>
      </c>
    </row>
    <row r="489" spans="1:36">
      <c r="A489">
        <f t="shared" si="47"/>
        <v>488</v>
      </c>
      <c r="B489" t="s">
        <v>519</v>
      </c>
      <c r="C489">
        <v>7760091282</v>
      </c>
      <c r="E489">
        <v>0</v>
      </c>
      <c r="F489">
        <v>0</v>
      </c>
      <c r="G489">
        <v>0</v>
      </c>
      <c r="J489" t="s">
        <v>466</v>
      </c>
      <c r="K489">
        <v>0</v>
      </c>
      <c r="L489">
        <v>0</v>
      </c>
      <c r="O489" t="s">
        <v>467</v>
      </c>
      <c r="P489">
        <v>0</v>
      </c>
      <c r="Q489">
        <v>0</v>
      </c>
      <c r="T489">
        <v>0.734702</v>
      </c>
      <c r="U489">
        <v>10.5622296958495</v>
      </c>
      <c r="V489">
        <f t="shared" si="45"/>
        <v>0.608393438278913</v>
      </c>
      <c r="Y489">
        <v>4728.923752</v>
      </c>
      <c r="Z489">
        <v>4.728923752</v>
      </c>
      <c r="AA489">
        <v>1.35886970853184</v>
      </c>
      <c r="AD489">
        <v>1.2776</v>
      </c>
      <c r="AE489">
        <v>6.07395998904195</v>
      </c>
      <c r="AF489">
        <f t="shared" si="46"/>
        <v>1.05795745315127</v>
      </c>
      <c r="AI489">
        <v>1207.61</v>
      </c>
      <c r="AJ489">
        <v>6.42599124054952</v>
      </c>
    </row>
    <row r="490" spans="1:36">
      <c r="A490">
        <f t="shared" si="47"/>
        <v>489</v>
      </c>
      <c r="B490" t="s">
        <v>520</v>
      </c>
      <c r="C490">
        <v>140500862</v>
      </c>
      <c r="E490">
        <v>53.013</v>
      </c>
      <c r="F490">
        <v>2.65030958444155</v>
      </c>
      <c r="G490">
        <f t="shared" si="42"/>
        <v>22.5324515246054</v>
      </c>
      <c r="J490">
        <v>3.905837</v>
      </c>
      <c r="K490">
        <v>35.9720239221452</v>
      </c>
      <c r="L490">
        <f t="shared" si="43"/>
        <v>1.6601226654879</v>
      </c>
      <c r="O490">
        <v>8.4775</v>
      </c>
      <c r="P490">
        <v>16.573383898555</v>
      </c>
      <c r="Q490">
        <f t="shared" si="44"/>
        <v>3.60324557749687</v>
      </c>
      <c r="T490">
        <v>0.003976</v>
      </c>
      <c r="U490">
        <v>35.3372389336016</v>
      </c>
      <c r="V490">
        <f t="shared" si="45"/>
        <v>1.68994449025392</v>
      </c>
      <c r="Y490">
        <v>41698.69313</v>
      </c>
      <c r="Z490">
        <v>41.69869313</v>
      </c>
      <c r="AA490">
        <v>1.43213054784353</v>
      </c>
      <c r="AD490">
        <v>0.0133308</v>
      </c>
      <c r="AE490">
        <v>10.5395671677619</v>
      </c>
      <c r="AF490">
        <f t="shared" si="46"/>
        <v>5.6660744493654</v>
      </c>
      <c r="AI490">
        <v>2.35274</v>
      </c>
      <c r="AJ490">
        <v>59.7179722366262</v>
      </c>
    </row>
    <row r="491" spans="1:36">
      <c r="A491">
        <f t="shared" si="47"/>
        <v>490</v>
      </c>
      <c r="B491" t="s">
        <v>521</v>
      </c>
      <c r="C491">
        <v>140500862</v>
      </c>
      <c r="E491">
        <v>51.551</v>
      </c>
      <c r="F491">
        <v>2.72547306550794</v>
      </c>
      <c r="G491">
        <f t="shared" si="42"/>
        <v>20.9428359015401</v>
      </c>
      <c r="J491">
        <v>4.244144</v>
      </c>
      <c r="K491">
        <v>33.1046406530975</v>
      </c>
      <c r="L491">
        <f t="shared" si="43"/>
        <v>1.72420343610223</v>
      </c>
      <c r="O491">
        <v>9.908</v>
      </c>
      <c r="P491">
        <v>14.1805472345579</v>
      </c>
      <c r="Q491">
        <f t="shared" si="44"/>
        <v>4.02517154104595</v>
      </c>
      <c r="T491">
        <v>0.004059</v>
      </c>
      <c r="U491">
        <v>34.6146494210397</v>
      </c>
      <c r="V491">
        <f t="shared" si="45"/>
        <v>1.64898781642162</v>
      </c>
      <c r="Y491">
        <v>41017.756649</v>
      </c>
      <c r="Z491">
        <v>41.017756649</v>
      </c>
      <c r="AA491">
        <v>1.39157135416844</v>
      </c>
      <c r="AD491">
        <v>0.0101097</v>
      </c>
      <c r="AE491">
        <v>13.8976292075927</v>
      </c>
      <c r="AF491">
        <f t="shared" si="46"/>
        <v>4.10711311349537</v>
      </c>
      <c r="AI491">
        <v>2.46151</v>
      </c>
      <c r="AJ491">
        <v>57.0791351650003</v>
      </c>
    </row>
    <row r="492" spans="1:36">
      <c r="A492">
        <f t="shared" si="47"/>
        <v>491</v>
      </c>
      <c r="B492" t="s">
        <v>522</v>
      </c>
      <c r="C492">
        <v>201068708</v>
      </c>
      <c r="E492">
        <v>55.144</v>
      </c>
      <c r="F492">
        <v>3.6462481502974</v>
      </c>
      <c r="G492">
        <f t="shared" si="42"/>
        <v>37.1966273187185</v>
      </c>
      <c r="J492">
        <v>5.628152</v>
      </c>
      <c r="K492">
        <v>35.725529090188</v>
      </c>
      <c r="L492">
        <f t="shared" si="43"/>
        <v>3.79639258010119</v>
      </c>
      <c r="O492">
        <v>7.9685</v>
      </c>
      <c r="P492">
        <v>25.2329432139048</v>
      </c>
      <c r="Q492">
        <f t="shared" si="44"/>
        <v>5.37504215851602</v>
      </c>
      <c r="T492">
        <v>0.003203</v>
      </c>
      <c r="U492">
        <v>62.7751195753981</v>
      </c>
      <c r="V492">
        <f t="shared" si="45"/>
        <v>2.16053962900506</v>
      </c>
      <c r="Y492">
        <v>70010.116566</v>
      </c>
      <c r="Z492">
        <v>70.010116566</v>
      </c>
      <c r="AA492">
        <v>1.93726478701574</v>
      </c>
      <c r="AD492">
        <v>0.00876632</v>
      </c>
      <c r="AE492">
        <v>22.9365010631599</v>
      </c>
      <c r="AF492">
        <f t="shared" si="46"/>
        <v>5.91320067453627</v>
      </c>
      <c r="AI492">
        <v>1.4825</v>
      </c>
      <c r="AJ492">
        <v>135.628133558179</v>
      </c>
    </row>
    <row r="493" spans="1:36">
      <c r="A493">
        <f t="shared" si="47"/>
        <v>492</v>
      </c>
      <c r="B493" t="s">
        <v>523</v>
      </c>
      <c r="C493">
        <v>13880252</v>
      </c>
      <c r="E493">
        <v>32.341</v>
      </c>
      <c r="F493">
        <v>0.429184378961689</v>
      </c>
      <c r="G493">
        <f t="shared" si="42"/>
        <v>10.3947571417552</v>
      </c>
      <c r="J493">
        <v>5.549356</v>
      </c>
      <c r="K493">
        <v>2.50123653987958</v>
      </c>
      <c r="L493">
        <f t="shared" si="43"/>
        <v>1.78362474608522</v>
      </c>
      <c r="O493">
        <v>17.7241</v>
      </c>
      <c r="P493">
        <v>0.783128734322194</v>
      </c>
      <c r="Q493">
        <f t="shared" si="44"/>
        <v>5.69672289218586</v>
      </c>
      <c r="T493">
        <v>0.010181</v>
      </c>
      <c r="U493">
        <v>1.36334859051174</v>
      </c>
      <c r="V493">
        <f t="shared" si="45"/>
        <v>3.27228664729629</v>
      </c>
      <c r="Y493">
        <v>2531.807191</v>
      </c>
      <c r="Z493">
        <v>2.531807191</v>
      </c>
      <c r="AA493">
        <v>1.76208812590492</v>
      </c>
      <c r="AD493">
        <v>0.00532737</v>
      </c>
      <c r="AE493">
        <v>2.60546048049976</v>
      </c>
      <c r="AF493">
        <f t="shared" si="46"/>
        <v>1.71227597644699</v>
      </c>
      <c r="AI493">
        <v>3.11128</v>
      </c>
      <c r="AJ493">
        <v>4.46126738834178</v>
      </c>
    </row>
    <row r="494" spans="1:36">
      <c r="A494">
        <f t="shared" si="47"/>
        <v>493</v>
      </c>
      <c r="B494" t="s">
        <v>524</v>
      </c>
      <c r="C494">
        <v>105050628</v>
      </c>
      <c r="E494">
        <v>43.701</v>
      </c>
      <c r="F494">
        <v>2.40384952289421</v>
      </c>
      <c r="G494">
        <f t="shared" si="42"/>
        <v>26.0984072572217</v>
      </c>
      <c r="J494">
        <v>4.044403</v>
      </c>
      <c r="K494">
        <v>25.9743225390744</v>
      </c>
      <c r="L494">
        <f t="shared" si="43"/>
        <v>2.41533320991119</v>
      </c>
      <c r="O494">
        <v>9.0903</v>
      </c>
      <c r="P494">
        <v>11.5563433550048</v>
      </c>
      <c r="Q494">
        <f t="shared" si="44"/>
        <v>5.42876253381666</v>
      </c>
      <c r="T494">
        <v>0.004847</v>
      </c>
      <c r="U494">
        <v>21.6733294821539</v>
      </c>
      <c r="V494">
        <f t="shared" si="45"/>
        <v>2.89464726152156</v>
      </c>
      <c r="Y494">
        <v>41017.868997</v>
      </c>
      <c r="Z494">
        <v>41.017868997</v>
      </c>
      <c r="AA494">
        <v>1.5294954459521</v>
      </c>
      <c r="AD494">
        <v>0.0154694</v>
      </c>
      <c r="AE494">
        <v>6.79086635551476</v>
      </c>
      <c r="AF494">
        <f t="shared" si="46"/>
        <v>9.23838587732237</v>
      </c>
      <c r="AI494">
        <v>1.67447</v>
      </c>
      <c r="AJ494">
        <v>62.7366438335712</v>
      </c>
    </row>
    <row r="495" spans="1:36">
      <c r="A495">
        <f t="shared" si="47"/>
        <v>494</v>
      </c>
      <c r="B495" t="s">
        <v>525</v>
      </c>
      <c r="C495">
        <v>14310872</v>
      </c>
      <c r="E495">
        <v>32.228</v>
      </c>
      <c r="F495">
        <v>0.444050887427082</v>
      </c>
      <c r="G495">
        <f t="shared" si="42"/>
        <v>10.4178047873802</v>
      </c>
      <c r="J495">
        <v>8.835179</v>
      </c>
      <c r="K495">
        <v>1.61976027876741</v>
      </c>
      <c r="L495">
        <f t="shared" si="43"/>
        <v>2.85600006465065</v>
      </c>
      <c r="O495">
        <v>19.1655</v>
      </c>
      <c r="P495">
        <v>0.74669964258694</v>
      </c>
      <c r="Q495">
        <f t="shared" si="44"/>
        <v>6.19530959577185</v>
      </c>
      <c r="T495">
        <v>0.011431</v>
      </c>
      <c r="U495">
        <v>1.25193526375645</v>
      </c>
      <c r="V495">
        <f t="shared" si="45"/>
        <v>3.6951075625091</v>
      </c>
      <c r="Y495">
        <v>2784.012638</v>
      </c>
      <c r="Z495">
        <v>2.784012638</v>
      </c>
      <c r="AA495">
        <v>1.66164312537086</v>
      </c>
      <c r="AD495">
        <v>0.00530698</v>
      </c>
      <c r="AE495">
        <v>2.69661313967643</v>
      </c>
      <c r="AF495">
        <f t="shared" si="46"/>
        <v>1.71549837565257</v>
      </c>
      <c r="AI495">
        <v>3.09355</v>
      </c>
      <c r="AJ495">
        <v>4.62603546087828</v>
      </c>
    </row>
    <row r="496" spans="1:36">
      <c r="A496">
        <f t="shared" si="47"/>
        <v>495</v>
      </c>
      <c r="B496" t="s">
        <v>526</v>
      </c>
      <c r="C496">
        <v>14271848</v>
      </c>
      <c r="E496">
        <v>37.819</v>
      </c>
      <c r="F496">
        <v>0.377372431846426</v>
      </c>
      <c r="G496">
        <f t="shared" si="42"/>
        <v>12.1277325799531</v>
      </c>
      <c r="J496">
        <v>7.375128</v>
      </c>
      <c r="K496">
        <v>1.93513224448443</v>
      </c>
      <c r="L496">
        <f t="shared" si="43"/>
        <v>2.36504350001123</v>
      </c>
      <c r="O496">
        <v>18.9514</v>
      </c>
      <c r="P496">
        <v>0.75307618434522</v>
      </c>
      <c r="Q496">
        <f t="shared" si="44"/>
        <v>6.07730271069366</v>
      </c>
      <c r="T496">
        <v>0.010561</v>
      </c>
      <c r="U496">
        <v>1.35137278666793</v>
      </c>
      <c r="V496">
        <f t="shared" si="45"/>
        <v>3.38668351296662</v>
      </c>
      <c r="Y496">
        <v>2436.276277</v>
      </c>
      <c r="Z496">
        <v>2.436276277</v>
      </c>
      <c r="AA496">
        <v>1.87855210826733</v>
      </c>
      <c r="AD496">
        <v>0.00523236</v>
      </c>
      <c r="AE496">
        <v>2.72761201446384</v>
      </c>
      <c r="AF496">
        <f t="shared" si="46"/>
        <v>1.67790430318209</v>
      </c>
      <c r="AI496">
        <v>3.11839</v>
      </c>
      <c r="AJ496">
        <v>4.57667193648004</v>
      </c>
    </row>
    <row r="497" spans="1:36">
      <c r="A497">
        <f t="shared" si="47"/>
        <v>496</v>
      </c>
      <c r="B497" t="s">
        <v>527</v>
      </c>
      <c r="C497">
        <v>10926058</v>
      </c>
      <c r="E497">
        <v>14.905</v>
      </c>
      <c r="F497">
        <v>0.733046494464945</v>
      </c>
      <c r="G497">
        <f t="shared" si="42"/>
        <v>6.26126334272907</v>
      </c>
      <c r="J497">
        <v>4.243816</v>
      </c>
      <c r="K497">
        <v>2.5745833466861</v>
      </c>
      <c r="L497">
        <f t="shared" si="43"/>
        <v>1.78273395196827</v>
      </c>
      <c r="O497">
        <v>8.0728</v>
      </c>
      <c r="P497">
        <v>1.35344093746903</v>
      </c>
      <c r="Q497">
        <f t="shared" si="44"/>
        <v>3.3912060860908</v>
      </c>
      <c r="T497">
        <v>0.005469</v>
      </c>
      <c r="U497">
        <v>1.99781641982081</v>
      </c>
      <c r="V497">
        <f t="shared" si="45"/>
        <v>2.29740685819425</v>
      </c>
      <c r="Y497">
        <v>2986.223958</v>
      </c>
      <c r="Z497">
        <v>2.986223958</v>
      </c>
      <c r="AA497">
        <v>1.53699026223853</v>
      </c>
      <c r="AD497">
        <v>0.00260964</v>
      </c>
      <c r="AE497">
        <v>4.18680660934075</v>
      </c>
      <c r="AF497">
        <f t="shared" si="46"/>
        <v>1.09625248371147</v>
      </c>
      <c r="AI497">
        <v>2.38051</v>
      </c>
      <c r="AJ497">
        <v>4.58979714430941</v>
      </c>
    </row>
    <row r="498" spans="1:36">
      <c r="A498">
        <f t="shared" si="47"/>
        <v>497</v>
      </c>
      <c r="B498" t="s">
        <v>528</v>
      </c>
      <c r="C498">
        <v>68330640</v>
      </c>
      <c r="E498">
        <v>177.17</v>
      </c>
      <c r="F498">
        <v>0.385678387988937</v>
      </c>
      <c r="G498">
        <f t="shared" si="42"/>
        <v>8.590643728544</v>
      </c>
      <c r="J498">
        <v>49.331401</v>
      </c>
      <c r="K498">
        <v>1.38513479477301</v>
      </c>
      <c r="L498">
        <f t="shared" si="43"/>
        <v>2.39198786826742</v>
      </c>
      <c r="O498">
        <v>42.7471</v>
      </c>
      <c r="P498">
        <v>1.59848597916584</v>
      </c>
      <c r="Q498">
        <f t="shared" si="44"/>
        <v>2.07272736088752</v>
      </c>
      <c r="T498">
        <v>0.026758</v>
      </c>
      <c r="U498">
        <v>2.55365273936767</v>
      </c>
      <c r="V498">
        <f t="shared" si="45"/>
        <v>1.29744564479528</v>
      </c>
      <c r="Y498">
        <v>1615.136788</v>
      </c>
      <c r="Z498">
        <v>1.615136788</v>
      </c>
      <c r="AA498">
        <v>2.05135914780001</v>
      </c>
      <c r="AD498">
        <v>0.00768902</v>
      </c>
      <c r="AE498">
        <v>8.88678141037479</v>
      </c>
      <c r="AF498">
        <f t="shared" si="46"/>
        <v>0.372826276692721</v>
      </c>
      <c r="AI498">
        <v>20.6236</v>
      </c>
      <c r="AJ498">
        <v>3.31322562501212</v>
      </c>
    </row>
    <row r="499" spans="1:36">
      <c r="A499">
        <f t="shared" si="47"/>
        <v>498</v>
      </c>
      <c r="B499" t="s">
        <v>529</v>
      </c>
      <c r="C499">
        <v>20360776</v>
      </c>
      <c r="E499">
        <v>44.352</v>
      </c>
      <c r="F499">
        <v>0.45907233044733</v>
      </c>
      <c r="G499">
        <f t="shared" si="42"/>
        <v>10.6493531439987</v>
      </c>
      <c r="J499">
        <v>3.701508</v>
      </c>
      <c r="K499">
        <v>5.50067053752146</v>
      </c>
      <c r="L499">
        <f t="shared" si="43"/>
        <v>0.888768620520752</v>
      </c>
      <c r="O499">
        <v>14.8395</v>
      </c>
      <c r="P499">
        <v>1.37206617473635</v>
      </c>
      <c r="Q499">
        <f t="shared" si="44"/>
        <v>3.56311047935534</v>
      </c>
      <c r="T499">
        <v>0.008891</v>
      </c>
      <c r="U499">
        <v>2.29004341468901</v>
      </c>
      <c r="V499">
        <f t="shared" si="45"/>
        <v>2.13481689220988</v>
      </c>
      <c r="Y499">
        <v>4205.490105</v>
      </c>
      <c r="Z499">
        <v>4.205490105</v>
      </c>
      <c r="AA499">
        <v>1.16248599889931</v>
      </c>
      <c r="AD499">
        <v>0.0087232</v>
      </c>
      <c r="AE499">
        <v>2.33409482758621</v>
      </c>
      <c r="AF499">
        <f t="shared" si="46"/>
        <v>2.09452645530595</v>
      </c>
      <c r="AI499">
        <v>4.16476</v>
      </c>
      <c r="AJ499">
        <v>4.88882336557209</v>
      </c>
    </row>
    <row r="500" spans="1:36">
      <c r="A500">
        <f t="shared" si="47"/>
        <v>499</v>
      </c>
      <c r="B500" t="s">
        <v>530</v>
      </c>
      <c r="C500">
        <v>22107352</v>
      </c>
      <c r="E500">
        <v>53.123</v>
      </c>
      <c r="F500">
        <v>0.41615405756452</v>
      </c>
      <c r="G500">
        <f t="shared" si="42"/>
        <v>6.80724612981474</v>
      </c>
      <c r="J500">
        <v>11.072382</v>
      </c>
      <c r="K500">
        <v>1.99662114258702</v>
      </c>
      <c r="L500">
        <f t="shared" si="43"/>
        <v>1.41882855857784</v>
      </c>
      <c r="O500">
        <v>23.7775</v>
      </c>
      <c r="P500">
        <v>0.929759310272316</v>
      </c>
      <c r="Q500">
        <f t="shared" si="44"/>
        <v>3.04687790319956</v>
      </c>
      <c r="T500">
        <v>0.011431</v>
      </c>
      <c r="U500">
        <v>1.93398232875514</v>
      </c>
      <c r="V500">
        <f t="shared" si="45"/>
        <v>1.46478230728521</v>
      </c>
      <c r="Y500">
        <v>2513.377999</v>
      </c>
      <c r="Z500">
        <v>2.513377999</v>
      </c>
      <c r="AA500">
        <v>1.12711382803935</v>
      </c>
      <c r="AD500">
        <v>0.00709634</v>
      </c>
      <c r="AE500">
        <v>3.11531747351452</v>
      </c>
      <c r="AF500">
        <f t="shared" si="46"/>
        <v>0.909333678460356</v>
      </c>
      <c r="AI500">
        <v>7.80389</v>
      </c>
      <c r="AJ500">
        <v>2.83286309776278</v>
      </c>
    </row>
    <row r="501" spans="1:36">
      <c r="A501">
        <f t="shared" si="47"/>
        <v>500</v>
      </c>
      <c r="B501" t="s">
        <v>531</v>
      </c>
      <c r="C501">
        <v>42568710</v>
      </c>
      <c r="E501">
        <v>28.315</v>
      </c>
      <c r="F501">
        <v>1.50339784566484</v>
      </c>
      <c r="G501">
        <f t="shared" si="42"/>
        <v>12.5241060844642</v>
      </c>
      <c r="J501">
        <v>2.466829</v>
      </c>
      <c r="K501">
        <v>17.2564494742035</v>
      </c>
      <c r="L501">
        <f t="shared" si="43"/>
        <v>1.0911117106916</v>
      </c>
      <c r="O501">
        <v>8.2823</v>
      </c>
      <c r="P501">
        <v>5.13972085048839</v>
      </c>
      <c r="Q501">
        <f t="shared" si="44"/>
        <v>3.66337290564569</v>
      </c>
      <c r="T501">
        <v>0.004592</v>
      </c>
      <c r="U501">
        <v>9.27018945993031</v>
      </c>
      <c r="V501">
        <f t="shared" si="45"/>
        <v>2.03110348366094</v>
      </c>
      <c r="Y501">
        <v>11981.192666</v>
      </c>
      <c r="Z501">
        <v>11.981192666</v>
      </c>
      <c r="AA501">
        <v>1.57152252126728</v>
      </c>
      <c r="AD501">
        <v>0.00719412</v>
      </c>
      <c r="AE501">
        <v>5.91715317509299</v>
      </c>
      <c r="AF501">
        <f t="shared" si="46"/>
        <v>3.18205622688912</v>
      </c>
      <c r="AI501">
        <v>2.26084</v>
      </c>
      <c r="AJ501">
        <v>18.8287141062614</v>
      </c>
    </row>
    <row r="502" spans="1:36">
      <c r="A502">
        <f t="shared" si="47"/>
        <v>501</v>
      </c>
      <c r="B502" t="s">
        <v>532</v>
      </c>
      <c r="C502">
        <v>108569800</v>
      </c>
      <c r="E502">
        <v>100.486</v>
      </c>
      <c r="F502">
        <v>1.08044702744661</v>
      </c>
      <c r="G502">
        <f t="shared" si="42"/>
        <v>19.1620534667173</v>
      </c>
      <c r="J502">
        <v>12.348988</v>
      </c>
      <c r="K502">
        <v>8.7917973521393</v>
      </c>
      <c r="L502">
        <f t="shared" si="43"/>
        <v>2.35487499070368</v>
      </c>
      <c r="O502">
        <v>23.8634</v>
      </c>
      <c r="P502">
        <v>4.54963668211571</v>
      </c>
      <c r="Q502">
        <f t="shared" si="44"/>
        <v>4.55060154347532</v>
      </c>
      <c r="T502">
        <v>0.010283</v>
      </c>
      <c r="U502">
        <v>10.5581834095108</v>
      </c>
      <c r="V502">
        <f t="shared" si="45"/>
        <v>1.96090396471404</v>
      </c>
      <c r="Y502">
        <v>16477.707093</v>
      </c>
      <c r="Z502">
        <v>16.477707093</v>
      </c>
      <c r="AA502">
        <v>1.25646023388065</v>
      </c>
      <c r="AD502">
        <v>0.030196</v>
      </c>
      <c r="AE502">
        <v>3.59550271559147</v>
      </c>
      <c r="AF502">
        <f t="shared" si="46"/>
        <v>5.75818886691674</v>
      </c>
      <c r="AI502">
        <v>5.24401</v>
      </c>
      <c r="AJ502">
        <v>20.7035837078877</v>
      </c>
    </row>
    <row r="503" spans="1:36">
      <c r="A503">
        <f t="shared" si="47"/>
        <v>502</v>
      </c>
      <c r="B503" t="s">
        <v>533</v>
      </c>
      <c r="C503">
        <v>96990422</v>
      </c>
      <c r="E503">
        <v>52.051</v>
      </c>
      <c r="F503">
        <v>1.86337288428657</v>
      </c>
      <c r="G503">
        <f t="shared" si="42"/>
        <v>27.515171378428</v>
      </c>
      <c r="J503">
        <v>2.616689</v>
      </c>
      <c r="K503">
        <v>37.0660869518693</v>
      </c>
      <c r="L503">
        <f t="shared" si="43"/>
        <v>1.38323271942994</v>
      </c>
      <c r="O503">
        <v>11.5708</v>
      </c>
      <c r="P503">
        <v>8.38234365817402</v>
      </c>
      <c r="Q503">
        <f t="shared" si="44"/>
        <v>6.11655001797306</v>
      </c>
      <c r="T503">
        <v>0.004354</v>
      </c>
      <c r="U503">
        <v>22.2761649058337</v>
      </c>
      <c r="V503">
        <f t="shared" si="45"/>
        <v>2.3016091176284</v>
      </c>
      <c r="Y503">
        <v>36757.240655</v>
      </c>
      <c r="Z503">
        <v>36.757240655</v>
      </c>
      <c r="AA503">
        <v>1.39485509084552</v>
      </c>
      <c r="AD503">
        <v>0.0123076</v>
      </c>
      <c r="AE503">
        <v>7.88053089148169</v>
      </c>
      <c r="AF503">
        <f t="shared" si="46"/>
        <v>6.50603683420379</v>
      </c>
      <c r="AI503">
        <v>1.89172</v>
      </c>
      <c r="AJ503">
        <v>51.2710242530607</v>
      </c>
    </row>
    <row r="504" spans="1:36">
      <c r="A504">
        <f t="shared" si="47"/>
        <v>503</v>
      </c>
      <c r="B504" t="s">
        <v>534</v>
      </c>
      <c r="C504">
        <v>132625624</v>
      </c>
      <c r="E504">
        <v>49.271</v>
      </c>
      <c r="F504">
        <v>2.69175831625094</v>
      </c>
      <c r="G504">
        <f t="shared" si="42"/>
        <v>30.8387056393566</v>
      </c>
      <c r="J504">
        <v>3.801466</v>
      </c>
      <c r="K504">
        <v>34.8880205689068</v>
      </c>
      <c r="L504">
        <f t="shared" si="43"/>
        <v>2.37933654628529</v>
      </c>
      <c r="O504">
        <v>9.873</v>
      </c>
      <c r="P504">
        <v>13.4331635774334</v>
      </c>
      <c r="Q504">
        <f t="shared" si="44"/>
        <v>6.17950804281155</v>
      </c>
      <c r="T504">
        <v>0.003703</v>
      </c>
      <c r="U504">
        <v>35.8157234674588</v>
      </c>
      <c r="V504">
        <f t="shared" si="45"/>
        <v>2.31770670338612</v>
      </c>
      <c r="Y504">
        <v>51572.783832</v>
      </c>
      <c r="Z504">
        <v>51.572783832</v>
      </c>
      <c r="AA504">
        <v>1.60957652853415</v>
      </c>
      <c r="AD504">
        <v>0.0108887</v>
      </c>
      <c r="AE504">
        <v>12.1801155326164</v>
      </c>
      <c r="AF504">
        <f t="shared" si="46"/>
        <v>6.8152343994492</v>
      </c>
      <c r="AI504">
        <v>1.5977</v>
      </c>
      <c r="AJ504">
        <v>83.0103423671528</v>
      </c>
    </row>
    <row r="505" spans="1:36">
      <c r="A505">
        <f t="shared" si="47"/>
        <v>504</v>
      </c>
      <c r="B505" t="s">
        <v>535</v>
      </c>
      <c r="C505">
        <v>155795134</v>
      </c>
      <c r="E505">
        <v>67.346</v>
      </c>
      <c r="F505">
        <v>2.31335393341847</v>
      </c>
      <c r="G505">
        <f t="shared" si="42"/>
        <v>26.2943976136465</v>
      </c>
      <c r="J505">
        <v>7.530379</v>
      </c>
      <c r="K505">
        <v>20.6888835210021</v>
      </c>
      <c r="L505">
        <f t="shared" si="43"/>
        <v>2.94014165069126</v>
      </c>
      <c r="O505">
        <v>16.0852</v>
      </c>
      <c r="P505">
        <v>9.68561994877278</v>
      </c>
      <c r="Q505">
        <f t="shared" si="44"/>
        <v>6.28026377951219</v>
      </c>
      <c r="T505">
        <v>0.007209</v>
      </c>
      <c r="U505">
        <v>21.6111990567346</v>
      </c>
      <c r="V505">
        <f t="shared" si="45"/>
        <v>2.81466326725831</v>
      </c>
      <c r="Y505">
        <v>41517.704976</v>
      </c>
      <c r="Z505">
        <v>41.517704976</v>
      </c>
      <c r="AA505">
        <v>1.46511586277616</v>
      </c>
      <c r="AD505">
        <v>0.012187</v>
      </c>
      <c r="AE505">
        <v>12.7837149421515</v>
      </c>
      <c r="AF505">
        <f t="shared" si="46"/>
        <v>4.75826067943917</v>
      </c>
      <c r="AI505">
        <v>2.56123</v>
      </c>
      <c r="AJ505">
        <v>60.8282481463984</v>
      </c>
    </row>
    <row r="506" spans="1:36">
      <c r="A506">
        <f t="shared" si="47"/>
        <v>505</v>
      </c>
      <c r="B506" t="s">
        <v>536</v>
      </c>
      <c r="C506">
        <v>155795134</v>
      </c>
      <c r="E506">
        <v>54.55</v>
      </c>
      <c r="F506">
        <v>2.8560061228231</v>
      </c>
      <c r="G506">
        <f t="shared" si="42"/>
        <v>21.1224521405117</v>
      </c>
      <c r="J506">
        <v>6.331697</v>
      </c>
      <c r="K506">
        <v>24.6055889913873</v>
      </c>
      <c r="L506">
        <f t="shared" si="43"/>
        <v>2.45171341614522</v>
      </c>
      <c r="O506">
        <v>15.8889</v>
      </c>
      <c r="P506">
        <v>9.80528129700609</v>
      </c>
      <c r="Q506">
        <f t="shared" si="44"/>
        <v>6.15238368130847</v>
      </c>
      <c r="T506">
        <v>0.007272</v>
      </c>
      <c r="U506">
        <v>21.4239733223322</v>
      </c>
      <c r="V506">
        <f t="shared" si="45"/>
        <v>2.81581066848399</v>
      </c>
      <c r="Y506">
        <v>40614.527961</v>
      </c>
      <c r="Z506">
        <v>40.614527961</v>
      </c>
      <c r="AA506">
        <v>1.48532694262179</v>
      </c>
      <c r="AD506">
        <v>0.0107986</v>
      </c>
      <c r="AE506">
        <v>14.4273455818347</v>
      </c>
      <c r="AF506">
        <f t="shared" si="46"/>
        <v>4.18135493463849</v>
      </c>
      <c r="AI506">
        <v>2.58256</v>
      </c>
      <c r="AJ506">
        <v>60.3258526423394</v>
      </c>
    </row>
    <row r="507" spans="1:36">
      <c r="A507">
        <f t="shared" si="47"/>
        <v>506</v>
      </c>
      <c r="B507" t="s">
        <v>537</v>
      </c>
      <c r="C507">
        <v>11809756</v>
      </c>
      <c r="E507">
        <v>25.563</v>
      </c>
      <c r="F507">
        <v>0.461986308336267</v>
      </c>
      <c r="G507">
        <f t="shared" si="42"/>
        <v>4.81788968779744</v>
      </c>
      <c r="J507">
        <v>6.360018</v>
      </c>
      <c r="K507">
        <v>1.85687461890831</v>
      </c>
      <c r="L507">
        <f t="shared" si="43"/>
        <v>1.19868032454744</v>
      </c>
      <c r="O507">
        <v>9.0798</v>
      </c>
      <c r="P507">
        <v>1.30066256966012</v>
      </c>
      <c r="Q507">
        <f t="shared" si="44"/>
        <v>1.71128094461774</v>
      </c>
      <c r="T507">
        <v>0.007327</v>
      </c>
      <c r="U507">
        <v>1.61181329329876</v>
      </c>
      <c r="V507">
        <f t="shared" si="45"/>
        <v>1.38092859767992</v>
      </c>
      <c r="Y507">
        <v>2394.162488</v>
      </c>
      <c r="Z507">
        <v>2.394162488</v>
      </c>
      <c r="AA507">
        <v>0.929677531075288</v>
      </c>
      <c r="AD507">
        <v>0.00503547</v>
      </c>
      <c r="AE507">
        <v>2.34531354570676</v>
      </c>
      <c r="AF507">
        <f t="shared" si="46"/>
        <v>0.949041152689955</v>
      </c>
      <c r="AI507">
        <v>5.30585</v>
      </c>
      <c r="AJ507">
        <v>2.22579907083691</v>
      </c>
    </row>
    <row r="508" spans="1:36">
      <c r="A508">
        <f t="shared" si="47"/>
        <v>507</v>
      </c>
      <c r="B508" t="s">
        <v>538</v>
      </c>
      <c r="C508">
        <v>36962802</v>
      </c>
      <c r="E508">
        <v>40.126</v>
      </c>
      <c r="F508">
        <v>0.921168369635648</v>
      </c>
      <c r="G508">
        <f t="shared" si="42"/>
        <v>13.7136021872864</v>
      </c>
      <c r="J508">
        <v>2.965793</v>
      </c>
      <c r="K508">
        <v>12.4630417564543</v>
      </c>
      <c r="L508">
        <f t="shared" si="43"/>
        <v>1.01359979494191</v>
      </c>
      <c r="O508">
        <v>12.7865</v>
      </c>
      <c r="P508">
        <v>2.89076776287491</v>
      </c>
      <c r="Q508">
        <f t="shared" si="44"/>
        <v>4.36995898838005</v>
      </c>
      <c r="T508">
        <v>0.005294</v>
      </c>
      <c r="U508">
        <v>6.98201775595013</v>
      </c>
      <c r="V508">
        <f t="shared" si="45"/>
        <v>1.80929596719071</v>
      </c>
      <c r="Y508">
        <v>7423.584229</v>
      </c>
      <c r="Z508">
        <v>7.423584229</v>
      </c>
      <c r="AA508">
        <v>1.70167619562339</v>
      </c>
      <c r="AD508">
        <v>0.00642065</v>
      </c>
      <c r="AE508">
        <v>5.7568629344381</v>
      </c>
      <c r="AF508">
        <f t="shared" si="46"/>
        <v>2.19434381408066</v>
      </c>
      <c r="AI508">
        <v>2.926</v>
      </c>
      <c r="AJ508">
        <v>12.6325365686945</v>
      </c>
    </row>
    <row r="509" spans="1:36">
      <c r="A509">
        <f t="shared" si="47"/>
        <v>508</v>
      </c>
      <c r="B509" t="s">
        <v>539</v>
      </c>
      <c r="C509">
        <v>81488060</v>
      </c>
      <c r="E509">
        <v>37.733</v>
      </c>
      <c r="F509">
        <v>2.15959663954629</v>
      </c>
      <c r="G509">
        <f t="shared" si="42"/>
        <v>20.9553269948462</v>
      </c>
      <c r="J509">
        <v>5.28967</v>
      </c>
      <c r="K509">
        <v>15.405131132944</v>
      </c>
      <c r="L509">
        <f t="shared" si="43"/>
        <v>2.93766105384753</v>
      </c>
      <c r="O509">
        <v>13.5</v>
      </c>
      <c r="P509">
        <v>6.03615259259259</v>
      </c>
      <c r="Q509">
        <f t="shared" si="44"/>
        <v>7.49733428114449</v>
      </c>
      <c r="T509">
        <v>0.00667</v>
      </c>
      <c r="U509">
        <v>12.2171004497751</v>
      </c>
      <c r="V509">
        <f t="shared" si="45"/>
        <v>3.70423849298028</v>
      </c>
      <c r="Y509">
        <v>28666.314943</v>
      </c>
      <c r="Z509">
        <v>28.666314943</v>
      </c>
      <c r="AA509">
        <v>1.57868403555353</v>
      </c>
      <c r="AD509">
        <v>0.033776</v>
      </c>
      <c r="AE509">
        <v>2.41260243960208</v>
      </c>
      <c r="AF509">
        <f t="shared" si="46"/>
        <v>18.7577750133286</v>
      </c>
      <c r="AI509">
        <v>1.80064</v>
      </c>
      <c r="AJ509">
        <v>45.2550537586636</v>
      </c>
    </row>
    <row r="510" spans="1:36">
      <c r="A510">
        <f t="shared" si="47"/>
        <v>509</v>
      </c>
      <c r="B510" t="s">
        <v>540</v>
      </c>
      <c r="C510">
        <v>18479770</v>
      </c>
      <c r="E510">
        <v>34.229</v>
      </c>
      <c r="F510">
        <v>0.539886353676707</v>
      </c>
      <c r="G510">
        <f t="shared" si="42"/>
        <v>17.0725867994074</v>
      </c>
      <c r="J510">
        <v>2.657414</v>
      </c>
      <c r="K510">
        <v>6.95404253910004</v>
      </c>
      <c r="L510">
        <f t="shared" si="43"/>
        <v>1.32545301285345</v>
      </c>
      <c r="O510">
        <v>8.7893</v>
      </c>
      <c r="P510">
        <v>2.10253034940211</v>
      </c>
      <c r="Q510">
        <f t="shared" si="44"/>
        <v>4.38388755604991</v>
      </c>
      <c r="T510">
        <v>0.004388</v>
      </c>
      <c r="U510">
        <v>4.21143345487694</v>
      </c>
      <c r="V510">
        <f t="shared" si="45"/>
        <v>2.18862692090917</v>
      </c>
      <c r="Y510">
        <v>5136.339135</v>
      </c>
      <c r="Z510">
        <v>5.136339135</v>
      </c>
      <c r="AA510">
        <v>1.79451870149169</v>
      </c>
      <c r="AD510">
        <v>0.0129241</v>
      </c>
      <c r="AE510">
        <v>1.4298690044181</v>
      </c>
      <c r="AF510">
        <f t="shared" si="46"/>
        <v>6.44622451880634</v>
      </c>
      <c r="AI510">
        <v>2.00491</v>
      </c>
      <c r="AJ510">
        <v>9.21725663496117</v>
      </c>
    </row>
    <row r="511" spans="1:36">
      <c r="A511">
        <f t="shared" si="47"/>
        <v>510</v>
      </c>
      <c r="B511" t="s">
        <v>541</v>
      </c>
      <c r="C511">
        <v>153607828</v>
      </c>
      <c r="E511">
        <v>62.39</v>
      </c>
      <c r="F511">
        <v>2.4620584709088</v>
      </c>
      <c r="G511">
        <f t="shared" si="42"/>
        <v>23.9541419663974</v>
      </c>
      <c r="J511">
        <v>5.753819</v>
      </c>
      <c r="K511">
        <v>26.6966736353716</v>
      </c>
      <c r="L511">
        <f t="shared" si="43"/>
        <v>2.20913282857757</v>
      </c>
      <c r="O511">
        <v>13.9701</v>
      </c>
      <c r="P511">
        <v>10.9954708985619</v>
      </c>
      <c r="Q511">
        <f t="shared" si="44"/>
        <v>5.36370826550359</v>
      </c>
      <c r="T511">
        <v>0.006666</v>
      </c>
      <c r="U511">
        <v>23.0434785478548</v>
      </c>
      <c r="V511">
        <f t="shared" si="45"/>
        <v>2.55935743465307</v>
      </c>
      <c r="Y511">
        <v>41298.833016</v>
      </c>
      <c r="Z511">
        <v>41.298833016</v>
      </c>
      <c r="AA511">
        <v>1.42804272747542</v>
      </c>
      <c r="AD511">
        <v>0.0155214</v>
      </c>
      <c r="AE511">
        <v>9.89651887072042</v>
      </c>
      <c r="AF511">
        <f t="shared" si="46"/>
        <v>5.9593175046841</v>
      </c>
      <c r="AI511">
        <v>2.60456</v>
      </c>
      <c r="AJ511">
        <v>58.9764981417207</v>
      </c>
    </row>
    <row r="512" spans="1:36">
      <c r="A512">
        <f t="shared" si="47"/>
        <v>511</v>
      </c>
      <c r="B512" t="s">
        <v>542</v>
      </c>
      <c r="C512">
        <v>81776492</v>
      </c>
      <c r="E512">
        <v>303.117</v>
      </c>
      <c r="F512">
        <v>0.269785238043396</v>
      </c>
      <c r="G512">
        <f t="shared" si="42"/>
        <v>12.7667451469294</v>
      </c>
      <c r="J512">
        <v>22.710764</v>
      </c>
      <c r="K512">
        <v>3.60078119784962</v>
      </c>
      <c r="L512">
        <f t="shared" si="43"/>
        <v>0.956536703913203</v>
      </c>
      <c r="O512">
        <v>46.1432</v>
      </c>
      <c r="P512">
        <v>1.77223278836318</v>
      </c>
      <c r="Q512">
        <f t="shared" si="44"/>
        <v>1.9434689399268</v>
      </c>
      <c r="T512">
        <v>0.02665</v>
      </c>
      <c r="U512">
        <v>3.06853628517824</v>
      </c>
      <c r="V512">
        <f t="shared" si="45"/>
        <v>1.12245026892476</v>
      </c>
      <c r="Y512">
        <v>6906.297005</v>
      </c>
      <c r="Z512">
        <v>6.906297005</v>
      </c>
      <c r="AA512">
        <v>0.498715791691283</v>
      </c>
      <c r="AD512">
        <v>0.00759986</v>
      </c>
      <c r="AE512">
        <v>10.7602629522123</v>
      </c>
      <c r="AF512">
        <f t="shared" si="46"/>
        <v>0.320092491586887</v>
      </c>
      <c r="AI512">
        <v>23.7427</v>
      </c>
      <c r="AJ512">
        <v>3.44427937850371</v>
      </c>
    </row>
    <row r="513" spans="1:36">
      <c r="A513">
        <f t="shared" si="47"/>
        <v>512</v>
      </c>
      <c r="B513" t="s">
        <v>543</v>
      </c>
      <c r="C513">
        <v>13239520</v>
      </c>
      <c r="E513">
        <v>33.853</v>
      </c>
      <c r="F513">
        <v>0.391088529820105</v>
      </c>
      <c r="G513">
        <f t="shared" si="42"/>
        <v>8.1408519121491</v>
      </c>
      <c r="J513">
        <v>7.76127</v>
      </c>
      <c r="K513">
        <v>1.70584453317563</v>
      </c>
      <c r="L513">
        <f t="shared" si="43"/>
        <v>1.86640326470934</v>
      </c>
      <c r="O513">
        <v>9.653</v>
      </c>
      <c r="P513">
        <v>1.37154459753445</v>
      </c>
      <c r="Q513">
        <f t="shared" si="44"/>
        <v>2.32131992756846</v>
      </c>
      <c r="T513">
        <v>0.00972</v>
      </c>
      <c r="U513">
        <v>1.36209053497942</v>
      </c>
      <c r="V513">
        <f t="shared" si="45"/>
        <v>2.3374318549638</v>
      </c>
      <c r="Y513">
        <v>2699.702435</v>
      </c>
      <c r="Z513">
        <v>2.699702435</v>
      </c>
      <c r="AA513">
        <v>1.17931286223609</v>
      </c>
      <c r="AD513">
        <v>0.00520269</v>
      </c>
      <c r="AE513">
        <v>2.54474512223484</v>
      </c>
      <c r="AF513">
        <f t="shared" si="46"/>
        <v>1.25112482896107</v>
      </c>
      <c r="AI513">
        <v>4.15841</v>
      </c>
      <c r="AJ513">
        <v>3.18379380580558</v>
      </c>
    </row>
    <row r="514" spans="1:36">
      <c r="A514">
        <f t="shared" si="47"/>
        <v>513</v>
      </c>
      <c r="B514" t="s">
        <v>544</v>
      </c>
      <c r="C514">
        <v>76063056</v>
      </c>
      <c r="E514">
        <v>37.919</v>
      </c>
      <c r="F514">
        <v>2.00593517761544</v>
      </c>
      <c r="G514">
        <f t="shared" si="42"/>
        <v>21.0051960425877</v>
      </c>
      <c r="J514">
        <v>2.275302</v>
      </c>
      <c r="K514">
        <v>33.4298726059222</v>
      </c>
      <c r="L514">
        <f t="shared" si="43"/>
        <v>1.26040150230997</v>
      </c>
      <c r="O514">
        <v>8.8555</v>
      </c>
      <c r="P514">
        <v>8.5893575743888</v>
      </c>
      <c r="Q514">
        <f t="shared" si="44"/>
        <v>4.90549628300152</v>
      </c>
      <c r="T514">
        <v>0.004103</v>
      </c>
      <c r="U514">
        <v>18.5384001949793</v>
      </c>
      <c r="V514">
        <f t="shared" si="45"/>
        <v>2.27285317025072</v>
      </c>
      <c r="Y514">
        <v>27804.091958</v>
      </c>
      <c r="Z514">
        <v>27.804091958</v>
      </c>
      <c r="AA514">
        <v>1.51542664001339</v>
      </c>
      <c r="AD514">
        <v>0.0218799</v>
      </c>
      <c r="AE514">
        <v>3.4763895630236</v>
      </c>
      <c r="AF514">
        <f t="shared" si="46"/>
        <v>12.1203509821518</v>
      </c>
      <c r="AI514">
        <v>1.80522</v>
      </c>
      <c r="AJ514">
        <v>42.1350616545352</v>
      </c>
    </row>
    <row r="515" spans="1:36">
      <c r="A515">
        <f t="shared" si="47"/>
        <v>514</v>
      </c>
      <c r="B515" t="s">
        <v>545</v>
      </c>
      <c r="C515">
        <v>111255998</v>
      </c>
      <c r="E515">
        <v>57.076</v>
      </c>
      <c r="F515">
        <v>1.94926059990189</v>
      </c>
      <c r="G515">
        <f t="shared" ref="G515:G578" si="48">AJ515/F515</f>
        <v>29.6373993280749</v>
      </c>
      <c r="J515">
        <v>3.439203</v>
      </c>
      <c r="K515">
        <v>32.3493547778366</v>
      </c>
      <c r="L515">
        <f t="shared" ref="L515:L578" si="49">AJ515/K515</f>
        <v>1.7858475135138</v>
      </c>
      <c r="O515">
        <v>7.994</v>
      </c>
      <c r="P515">
        <v>13.9174378283713</v>
      </c>
      <c r="Q515">
        <f t="shared" ref="Q515:Q578" si="50">AJ515/P515</f>
        <v>4.15098062633385</v>
      </c>
      <c r="T515">
        <v>0.004767</v>
      </c>
      <c r="U515">
        <v>23.3387870778267</v>
      </c>
      <c r="V515">
        <f t="shared" ref="V515:V578" si="51">AJ515/U515</f>
        <v>2.47532207227089</v>
      </c>
      <c r="Y515">
        <v>42179.545925</v>
      </c>
      <c r="Z515">
        <v>42.179545925</v>
      </c>
      <c r="AA515">
        <v>1.36964525167005</v>
      </c>
      <c r="AD515">
        <v>0.0154669</v>
      </c>
      <c r="AE515">
        <v>7.19316721514977</v>
      </c>
      <c r="AF515">
        <f t="shared" ref="AF515:AF578" si="52">AJ515/AE515</f>
        <v>8.03137381153904</v>
      </c>
      <c r="AI515">
        <v>1.92581</v>
      </c>
      <c r="AJ515">
        <v>57.7710147937751</v>
      </c>
    </row>
    <row r="516" spans="1:36">
      <c r="A516">
        <f t="shared" ref="A516:A579" si="53">A515+1</f>
        <v>515</v>
      </c>
      <c r="B516" t="s">
        <v>546</v>
      </c>
      <c r="C516">
        <v>121931688</v>
      </c>
      <c r="E516">
        <v>55.472</v>
      </c>
      <c r="F516">
        <v>2.19807629074127</v>
      </c>
      <c r="G516">
        <f t="shared" si="48"/>
        <v>32.3574532621694</v>
      </c>
      <c r="J516">
        <v>3.885359</v>
      </c>
      <c r="K516">
        <v>31.382347937475</v>
      </c>
      <c r="L516">
        <f t="shared" si="49"/>
        <v>2.26637442762563</v>
      </c>
      <c r="O516">
        <v>9.5577</v>
      </c>
      <c r="P516">
        <v>12.7574299256097</v>
      </c>
      <c r="Q516">
        <f t="shared" si="50"/>
        <v>5.57511593315251</v>
      </c>
      <c r="T516">
        <v>0.003817</v>
      </c>
      <c r="U516">
        <v>31.944377259628</v>
      </c>
      <c r="V516">
        <f t="shared" si="51"/>
        <v>2.22649983958935</v>
      </c>
      <c r="Y516">
        <v>44487.536136</v>
      </c>
      <c r="Z516">
        <v>44.487536136</v>
      </c>
      <c r="AA516">
        <v>1.59874331154043</v>
      </c>
      <c r="AD516">
        <v>0.0115415</v>
      </c>
      <c r="AE516">
        <v>10.564630940519</v>
      </c>
      <c r="AF516">
        <f t="shared" si="52"/>
        <v>6.73228920582144</v>
      </c>
      <c r="AI516">
        <v>1.71435</v>
      </c>
      <c r="AJ516">
        <v>71.1241508443433</v>
      </c>
    </row>
    <row r="517" spans="1:36">
      <c r="A517">
        <f t="shared" si="53"/>
        <v>516</v>
      </c>
      <c r="B517" t="s">
        <v>547</v>
      </c>
      <c r="C517">
        <v>120261896</v>
      </c>
      <c r="E517">
        <v>53.599</v>
      </c>
      <c r="F517">
        <v>2.24373395026027</v>
      </c>
      <c r="G517">
        <f t="shared" si="48"/>
        <v>34.5183124351964</v>
      </c>
      <c r="J517">
        <v>3.633126</v>
      </c>
      <c r="K517">
        <v>33.1014933145726</v>
      </c>
      <c r="L517">
        <f t="shared" si="49"/>
        <v>2.33977086110628</v>
      </c>
      <c r="O517">
        <v>8.767</v>
      </c>
      <c r="P517">
        <v>13.7175654157637</v>
      </c>
      <c r="Q517">
        <f t="shared" si="50"/>
        <v>5.64603901414889</v>
      </c>
      <c r="T517">
        <v>0.004146</v>
      </c>
      <c r="U517">
        <v>29.0067284129281</v>
      </c>
      <c r="V517">
        <f t="shared" si="51"/>
        <v>2.67006704148071</v>
      </c>
      <c r="Y517">
        <v>46212.171637</v>
      </c>
      <c r="Z517">
        <v>46.212171637</v>
      </c>
      <c r="AA517">
        <v>1.67596342636559</v>
      </c>
      <c r="AD517">
        <v>0.0110014</v>
      </c>
      <c r="AE517">
        <v>10.9315083534823</v>
      </c>
      <c r="AF517">
        <f t="shared" si="52"/>
        <v>7.08501581045485</v>
      </c>
      <c r="AI517">
        <v>1.55277</v>
      </c>
      <c r="AJ517">
        <v>77.4499095165414</v>
      </c>
    </row>
    <row r="518" spans="1:36">
      <c r="A518">
        <f t="shared" si="53"/>
        <v>517</v>
      </c>
      <c r="B518" t="s">
        <v>548</v>
      </c>
      <c r="C518">
        <v>29947392</v>
      </c>
      <c r="E518">
        <v>30.707</v>
      </c>
      <c r="F518">
        <v>0.975262708828606</v>
      </c>
      <c r="G518">
        <f t="shared" si="48"/>
        <v>15.993645667856</v>
      </c>
      <c r="J518">
        <v>1.707418</v>
      </c>
      <c r="K518">
        <v>17.5395784746325</v>
      </c>
      <c r="L518">
        <f t="shared" si="49"/>
        <v>0.889303367275189</v>
      </c>
      <c r="O518">
        <v>10.4118</v>
      </c>
      <c r="P518">
        <v>2.87629343629344</v>
      </c>
      <c r="Q518">
        <f t="shared" si="50"/>
        <v>5.4229537227532</v>
      </c>
      <c r="T518">
        <v>0.005868</v>
      </c>
      <c r="U518">
        <v>5.10350920245399</v>
      </c>
      <c r="V518">
        <f t="shared" si="51"/>
        <v>3.05632959191646</v>
      </c>
      <c r="Y518">
        <v>9141.1112</v>
      </c>
      <c r="Z518">
        <v>9.1411112</v>
      </c>
      <c r="AA518">
        <v>1.70635777826202</v>
      </c>
      <c r="AD518">
        <v>0.0103557</v>
      </c>
      <c r="AE518">
        <v>2.89187519916568</v>
      </c>
      <c r="AF518">
        <f t="shared" si="52"/>
        <v>5.39373421182844</v>
      </c>
      <c r="AI518">
        <v>1.91995</v>
      </c>
      <c r="AJ518">
        <v>15.5980061980781</v>
      </c>
    </row>
    <row r="519" spans="1:36">
      <c r="A519">
        <f t="shared" si="53"/>
        <v>518</v>
      </c>
      <c r="B519" t="s">
        <v>549</v>
      </c>
      <c r="C519">
        <v>53408952</v>
      </c>
      <c r="E519">
        <v>28.028</v>
      </c>
      <c r="F519">
        <v>1.90555701441416</v>
      </c>
      <c r="G519">
        <f t="shared" si="48"/>
        <v>14.3697224799922</v>
      </c>
      <c r="J519">
        <v>2.394704</v>
      </c>
      <c r="K519">
        <v>22.3029451656656</v>
      </c>
      <c r="L519">
        <f t="shared" si="49"/>
        <v>1.22774482309573</v>
      </c>
      <c r="O519">
        <v>7.3843</v>
      </c>
      <c r="P519">
        <v>7.23277114960118</v>
      </c>
      <c r="Q519">
        <f t="shared" si="50"/>
        <v>3.78586919184409</v>
      </c>
      <c r="T519">
        <v>0.004722</v>
      </c>
      <c r="U519">
        <v>11.3106632782719</v>
      </c>
      <c r="V519">
        <f t="shared" si="51"/>
        <v>2.42093012525058</v>
      </c>
      <c r="Y519">
        <v>17368.256252</v>
      </c>
      <c r="Z519">
        <v>17.368256252</v>
      </c>
      <c r="AA519">
        <v>1.57657309229191</v>
      </c>
      <c r="AD519">
        <v>0.00617523</v>
      </c>
      <c r="AE519">
        <v>8.64890085065657</v>
      </c>
      <c r="AF519">
        <f t="shared" si="52"/>
        <v>3.16598905915949</v>
      </c>
      <c r="AI519">
        <v>1.95049</v>
      </c>
      <c r="AJ519">
        <v>27.3823254669339</v>
      </c>
    </row>
    <row r="520" spans="1:36">
      <c r="A520">
        <f t="shared" si="53"/>
        <v>519</v>
      </c>
      <c r="B520" t="s">
        <v>550</v>
      </c>
      <c r="C520">
        <v>293719984</v>
      </c>
      <c r="E520">
        <v>71.988</v>
      </c>
      <c r="F520">
        <v>4.08012424292938</v>
      </c>
      <c r="G520">
        <f t="shared" si="48"/>
        <v>37.9055783143949</v>
      </c>
      <c r="J520">
        <v>7.222977</v>
      </c>
      <c r="K520">
        <v>40.6646710906043</v>
      </c>
      <c r="L520">
        <f t="shared" si="49"/>
        <v>3.8032883305075</v>
      </c>
      <c r="O520">
        <v>9.8839</v>
      </c>
      <c r="P520">
        <v>29.7170129200012</v>
      </c>
      <c r="Q520">
        <f t="shared" si="50"/>
        <v>5.20440831113031</v>
      </c>
      <c r="T520">
        <v>0.004712</v>
      </c>
      <c r="U520">
        <v>62.3344617996604</v>
      </c>
      <c r="V520">
        <f t="shared" si="51"/>
        <v>2.48112303463673</v>
      </c>
      <c r="Y520">
        <v>76543.664423</v>
      </c>
      <c r="Z520">
        <v>76.543664423</v>
      </c>
      <c r="AA520">
        <v>2.02053912872701</v>
      </c>
      <c r="AD520">
        <v>0.010929</v>
      </c>
      <c r="AE520">
        <v>26.8752844725043</v>
      </c>
      <c r="AF520">
        <f t="shared" si="52"/>
        <v>5.75471002664365</v>
      </c>
      <c r="AI520">
        <v>1.89914</v>
      </c>
      <c r="AJ520">
        <v>154.659469022821</v>
      </c>
    </row>
    <row r="521" spans="1:36">
      <c r="A521">
        <f t="shared" si="53"/>
        <v>520</v>
      </c>
      <c r="B521" t="s">
        <v>551</v>
      </c>
      <c r="C521">
        <v>59165700</v>
      </c>
      <c r="E521">
        <v>32.33</v>
      </c>
      <c r="F521">
        <v>1.83005567584287</v>
      </c>
      <c r="G521">
        <f t="shared" si="48"/>
        <v>15.4973731640909</v>
      </c>
      <c r="J521">
        <v>3.532476</v>
      </c>
      <c r="K521">
        <v>16.7490734544269</v>
      </c>
      <c r="L521">
        <f t="shared" si="49"/>
        <v>1.69329102274034</v>
      </c>
      <c r="O521">
        <v>12.1543</v>
      </c>
      <c r="P521">
        <v>4.86788214870457</v>
      </c>
      <c r="Q521">
        <f t="shared" si="50"/>
        <v>5.82615906737738</v>
      </c>
      <c r="T521">
        <v>0.006586</v>
      </c>
      <c r="U521">
        <v>8.98355602793805</v>
      </c>
      <c r="V521">
        <f t="shared" si="51"/>
        <v>3.15699658703071</v>
      </c>
      <c r="Y521">
        <v>19984.799107</v>
      </c>
      <c r="Z521">
        <v>19.984799107</v>
      </c>
      <c r="AA521">
        <v>1.41913138919999</v>
      </c>
      <c r="AD521">
        <v>0.0504602</v>
      </c>
      <c r="AE521">
        <v>1.17252210653148</v>
      </c>
      <c r="AF521">
        <f t="shared" si="52"/>
        <v>24.1880776162903</v>
      </c>
      <c r="AI521">
        <v>2.08616</v>
      </c>
      <c r="AJ521">
        <v>28.3610557195996</v>
      </c>
    </row>
    <row r="522" spans="1:36">
      <c r="A522">
        <f t="shared" si="53"/>
        <v>521</v>
      </c>
      <c r="B522" t="s">
        <v>552</v>
      </c>
      <c r="C522">
        <v>94833604</v>
      </c>
      <c r="E522">
        <v>55.155</v>
      </c>
      <c r="F522">
        <v>1.71940175868008</v>
      </c>
      <c r="G522">
        <f t="shared" si="48"/>
        <v>24.1023086301604</v>
      </c>
      <c r="J522">
        <v>5.961717</v>
      </c>
      <c r="K522">
        <v>15.9070958920056</v>
      </c>
      <c r="L522">
        <f t="shared" si="49"/>
        <v>2.60522424258315</v>
      </c>
      <c r="O522">
        <v>14.2566</v>
      </c>
      <c r="P522">
        <v>6.65190887027763</v>
      </c>
      <c r="Q522">
        <f t="shared" si="50"/>
        <v>6.23002399087559</v>
      </c>
      <c r="T522">
        <v>0.006613</v>
      </c>
      <c r="U522">
        <v>14.3404814758808</v>
      </c>
      <c r="V522">
        <f t="shared" si="51"/>
        <v>2.88982987890945</v>
      </c>
      <c r="Y522">
        <v>28206.562315</v>
      </c>
      <c r="Z522">
        <v>28.206562315</v>
      </c>
      <c r="AA522">
        <v>1.46921668029392</v>
      </c>
      <c r="AD522">
        <v>0.0133534</v>
      </c>
      <c r="AE522">
        <v>7.10183204277562</v>
      </c>
      <c r="AF522">
        <f t="shared" si="52"/>
        <v>5.83533257296678</v>
      </c>
      <c r="AI522">
        <v>2.28837</v>
      </c>
      <c r="AJ522">
        <v>41.4415518469478</v>
      </c>
    </row>
    <row r="523" spans="1:36">
      <c r="A523">
        <f t="shared" si="53"/>
        <v>522</v>
      </c>
      <c r="B523" t="s">
        <v>553</v>
      </c>
      <c r="C523">
        <v>16184776</v>
      </c>
      <c r="E523">
        <v>38.027</v>
      </c>
      <c r="F523">
        <v>0.425612748836353</v>
      </c>
      <c r="G523">
        <f t="shared" si="48"/>
        <v>11.327403576918</v>
      </c>
      <c r="J523">
        <v>10.333099</v>
      </c>
      <c r="K523">
        <v>1.56630416489767</v>
      </c>
      <c r="L523">
        <f t="shared" si="49"/>
        <v>3.07800201365473</v>
      </c>
      <c r="O523">
        <v>20.4218</v>
      </c>
      <c r="P523">
        <v>0.792524459156392</v>
      </c>
      <c r="Q523">
        <f t="shared" si="50"/>
        <v>6.08320325997592</v>
      </c>
      <c r="T523">
        <v>0.010783</v>
      </c>
      <c r="U523">
        <v>1.50095298154502</v>
      </c>
      <c r="V523">
        <f t="shared" si="51"/>
        <v>3.21201758671227</v>
      </c>
      <c r="Y523">
        <v>2697.344491</v>
      </c>
      <c r="Z523">
        <v>2.697344491</v>
      </c>
      <c r="AA523">
        <v>1.78734580979068</v>
      </c>
      <c r="AD523">
        <v>0.00616573</v>
      </c>
      <c r="AE523">
        <v>2.62495697995209</v>
      </c>
      <c r="AF523">
        <f t="shared" si="52"/>
        <v>1.836634813588</v>
      </c>
      <c r="AI523">
        <v>3.35708</v>
      </c>
      <c r="AJ523">
        <v>4.82108737355082</v>
      </c>
    </row>
    <row r="524" spans="1:36">
      <c r="A524">
        <f t="shared" si="53"/>
        <v>523</v>
      </c>
      <c r="B524" t="s">
        <v>554</v>
      </c>
      <c r="C524">
        <v>18237000</v>
      </c>
      <c r="E524">
        <v>42.412</v>
      </c>
      <c r="F524">
        <v>0.429996227482788</v>
      </c>
      <c r="G524">
        <f t="shared" si="48"/>
        <v>10.4148300579284</v>
      </c>
      <c r="J524">
        <v>10.525164</v>
      </c>
      <c r="K524">
        <v>1.73270459253652</v>
      </c>
      <c r="L524">
        <f t="shared" si="49"/>
        <v>2.5845938506042</v>
      </c>
      <c r="O524">
        <v>22.6821</v>
      </c>
      <c r="P524">
        <v>0.804026082241062</v>
      </c>
      <c r="Q524">
        <f t="shared" si="50"/>
        <v>5.56989099445764</v>
      </c>
      <c r="T524">
        <v>0.012124</v>
      </c>
      <c r="U524">
        <v>1.50420653249753</v>
      </c>
      <c r="V524">
        <f t="shared" si="51"/>
        <v>2.97720927148739</v>
      </c>
      <c r="Y524">
        <v>3103.358104</v>
      </c>
      <c r="Z524">
        <v>3.103358104</v>
      </c>
      <c r="AA524">
        <v>1.44306183324809</v>
      </c>
      <c r="AD524">
        <v>0.00653722</v>
      </c>
      <c r="AE524">
        <v>2.78971795350317</v>
      </c>
      <c r="AF524">
        <f t="shared" si="52"/>
        <v>1.60530122020397</v>
      </c>
      <c r="AI524">
        <v>4.07227</v>
      </c>
      <c r="AJ524">
        <v>4.47833763478355</v>
      </c>
    </row>
    <row r="525" spans="1:36">
      <c r="A525">
        <f t="shared" si="53"/>
        <v>524</v>
      </c>
      <c r="B525" t="s">
        <v>555</v>
      </c>
      <c r="C525">
        <v>97940844</v>
      </c>
      <c r="E525">
        <v>44.104</v>
      </c>
      <c r="F525">
        <v>2.22067939415926</v>
      </c>
      <c r="G525">
        <f t="shared" si="48"/>
        <v>3.61692007413604</v>
      </c>
      <c r="J525">
        <v>8.611567</v>
      </c>
      <c r="K525">
        <v>11.3731733144502</v>
      </c>
      <c r="L525">
        <f t="shared" si="49"/>
        <v>0.70622504879529</v>
      </c>
      <c r="O525">
        <v>25.8149</v>
      </c>
      <c r="P525">
        <v>3.79396565549353</v>
      </c>
      <c r="Q525">
        <f t="shared" si="50"/>
        <v>2.11705128835966</v>
      </c>
      <c r="T525">
        <v>0.016703</v>
      </c>
      <c r="U525">
        <v>5.86366784409986</v>
      </c>
      <c r="V525">
        <f t="shared" si="51"/>
        <v>1.36979448572225</v>
      </c>
      <c r="Y525">
        <v>8623.022696</v>
      </c>
      <c r="Z525">
        <v>8.623022696</v>
      </c>
      <c r="AA525">
        <v>0.931462221789203</v>
      </c>
      <c r="AD525">
        <v>0.0249277</v>
      </c>
      <c r="AE525">
        <v>3.92899641763981</v>
      </c>
      <c r="AF525">
        <f t="shared" si="52"/>
        <v>2.04429300136135</v>
      </c>
      <c r="AI525">
        <v>12.1938</v>
      </c>
      <c r="AJ525">
        <v>8.03201987895488</v>
      </c>
    </row>
    <row r="526" spans="1:36">
      <c r="A526">
        <f t="shared" si="53"/>
        <v>525</v>
      </c>
      <c r="B526" t="s">
        <v>556</v>
      </c>
      <c r="C526">
        <v>46610030</v>
      </c>
      <c r="E526">
        <v>120.021</v>
      </c>
      <c r="F526">
        <v>0.388348955599437</v>
      </c>
      <c r="G526">
        <f t="shared" si="48"/>
        <v>26.5858450715145</v>
      </c>
      <c r="J526">
        <v>8.234658</v>
      </c>
      <c r="K526">
        <v>5.66022656921514</v>
      </c>
      <c r="L526">
        <f t="shared" si="49"/>
        <v>1.82405863811256</v>
      </c>
      <c r="O526">
        <v>35.8137</v>
      </c>
      <c r="P526">
        <v>1.30145810122942</v>
      </c>
      <c r="Q526">
        <f t="shared" si="50"/>
        <v>7.93309070610725</v>
      </c>
      <c r="T526">
        <v>0.016547</v>
      </c>
      <c r="U526">
        <v>2.81682661509639</v>
      </c>
      <c r="V526">
        <f t="shared" si="51"/>
        <v>3.66532505476834</v>
      </c>
      <c r="Y526">
        <v>7411.173471</v>
      </c>
      <c r="Z526">
        <v>7.411173471</v>
      </c>
      <c r="AA526">
        <v>1.39311071420084</v>
      </c>
      <c r="AD526">
        <v>0.029358</v>
      </c>
      <c r="AE526">
        <v>1.58764323182778</v>
      </c>
      <c r="AF526">
        <f t="shared" si="52"/>
        <v>6.5030889561787</v>
      </c>
      <c r="AI526">
        <v>4.51447</v>
      </c>
      <c r="AJ526">
        <v>10.3245851672511</v>
      </c>
    </row>
    <row r="527" spans="1:36">
      <c r="A527">
        <f t="shared" si="53"/>
        <v>526</v>
      </c>
      <c r="B527" t="s">
        <v>557</v>
      </c>
      <c r="C527">
        <v>6967596</v>
      </c>
      <c r="E527">
        <v>5999.474</v>
      </c>
      <c r="F527">
        <v>0.00116136781324496</v>
      </c>
      <c r="G527">
        <f t="shared" si="48"/>
        <v>2289.21152642745</v>
      </c>
      <c r="J527">
        <v>8.573656</v>
      </c>
      <c r="K527">
        <v>0.812675012853327</v>
      </c>
      <c r="L527">
        <f t="shared" si="49"/>
        <v>3.2714388192738</v>
      </c>
      <c r="O527">
        <v>5.057</v>
      </c>
      <c r="P527">
        <v>1.37781214158592</v>
      </c>
      <c r="Q527">
        <f t="shared" si="50"/>
        <v>1.92959294250523</v>
      </c>
      <c r="T527">
        <v>0.007179</v>
      </c>
      <c r="U527">
        <v>0.970552444630171</v>
      </c>
      <c r="V527">
        <f t="shared" si="51"/>
        <v>2.73928173506922</v>
      </c>
      <c r="Y527">
        <v>715.803309</v>
      </c>
      <c r="Z527">
        <v>0.715803309</v>
      </c>
      <c r="AA527">
        <v>3.71417196745902</v>
      </c>
      <c r="AD527">
        <v>0.0191392</v>
      </c>
      <c r="AE527">
        <v>0.364048445076074</v>
      </c>
      <c r="AF527">
        <f t="shared" si="52"/>
        <v>7.30291976373268</v>
      </c>
      <c r="AI527">
        <v>2.62076</v>
      </c>
      <c r="AJ527">
        <v>2.65861658450221</v>
      </c>
    </row>
    <row r="528" spans="1:36">
      <c r="A528">
        <f t="shared" si="53"/>
        <v>527</v>
      </c>
      <c r="B528" t="s">
        <v>558</v>
      </c>
      <c r="C528">
        <v>15017656</v>
      </c>
      <c r="E528">
        <v>38.457</v>
      </c>
      <c r="F528">
        <v>0.390505135606001</v>
      </c>
      <c r="G528">
        <f t="shared" si="48"/>
        <v>8.43953063244361</v>
      </c>
      <c r="J528">
        <v>10.817613</v>
      </c>
      <c r="K528">
        <v>1.38825968353647</v>
      </c>
      <c r="L528">
        <f t="shared" si="49"/>
        <v>2.37396511125205</v>
      </c>
      <c r="O528">
        <v>7.3803</v>
      </c>
      <c r="P528">
        <v>2.03483002045987</v>
      </c>
      <c r="Q528">
        <f t="shared" si="50"/>
        <v>1.619634082914</v>
      </c>
      <c r="T528">
        <v>0.01148</v>
      </c>
      <c r="U528">
        <v>1.30815818815331</v>
      </c>
      <c r="V528">
        <f t="shared" si="51"/>
        <v>2.51932838392107</v>
      </c>
      <c r="Y528">
        <v>903.650576</v>
      </c>
      <c r="Z528">
        <v>0.903650576</v>
      </c>
      <c r="AA528">
        <v>3.64707348349368</v>
      </c>
      <c r="AD528">
        <v>0.0059168</v>
      </c>
      <c r="AE528">
        <v>2.53813818280151</v>
      </c>
      <c r="AF528">
        <f t="shared" si="52"/>
        <v>1.29846360470246</v>
      </c>
      <c r="AI528">
        <v>4.55677</v>
      </c>
      <c r="AJ528">
        <v>3.29568005407339</v>
      </c>
    </row>
    <row r="529" spans="1:36">
      <c r="A529">
        <f t="shared" si="53"/>
        <v>528</v>
      </c>
      <c r="B529" t="s">
        <v>559</v>
      </c>
      <c r="C529">
        <v>199397162</v>
      </c>
      <c r="E529">
        <v>109.381</v>
      </c>
      <c r="F529">
        <v>1.82295976449292</v>
      </c>
      <c r="G529">
        <f t="shared" si="48"/>
        <v>17.9658294296583</v>
      </c>
      <c r="J529">
        <v>10.889313</v>
      </c>
      <c r="K529">
        <v>18.3112710599833</v>
      </c>
      <c r="L529">
        <f t="shared" si="49"/>
        <v>1.7885696781357</v>
      </c>
      <c r="O529">
        <v>18.6108</v>
      </c>
      <c r="P529">
        <v>10.7140564618394</v>
      </c>
      <c r="Q529">
        <f t="shared" si="50"/>
        <v>3.05682393056822</v>
      </c>
      <c r="T529">
        <v>0.010009</v>
      </c>
      <c r="U529">
        <v>19.9217865920671</v>
      </c>
      <c r="V529">
        <f t="shared" si="51"/>
        <v>1.64397826643978</v>
      </c>
      <c r="Y529">
        <v>22600.747147</v>
      </c>
      <c r="Z529">
        <v>22.600747147</v>
      </c>
      <c r="AA529">
        <v>1.44911068527914</v>
      </c>
      <c r="AD529">
        <v>0.0209341</v>
      </c>
      <c r="AE529">
        <v>9.52499328846236</v>
      </c>
      <c r="AF529">
        <f t="shared" si="52"/>
        <v>3.43842595938426</v>
      </c>
      <c r="AI529">
        <v>6.08828</v>
      </c>
      <c r="AJ529">
        <v>32.7509841860098</v>
      </c>
    </row>
    <row r="530" spans="1:36">
      <c r="A530">
        <f t="shared" si="53"/>
        <v>529</v>
      </c>
      <c r="B530" t="s">
        <v>560</v>
      </c>
      <c r="C530">
        <v>11033518</v>
      </c>
      <c r="E530">
        <v>32.057</v>
      </c>
      <c r="F530">
        <v>0.344184359110335</v>
      </c>
      <c r="G530">
        <f t="shared" si="48"/>
        <v>5.11964251777111</v>
      </c>
      <c r="J530">
        <v>17.869673</v>
      </c>
      <c r="K530">
        <v>0.617443755126353</v>
      </c>
      <c r="L530">
        <f t="shared" si="49"/>
        <v>2.85386460584167</v>
      </c>
      <c r="O530">
        <v>24.4595</v>
      </c>
      <c r="P530">
        <v>0.451093358408798</v>
      </c>
      <c r="Q530">
        <f t="shared" si="50"/>
        <v>3.90628867839856</v>
      </c>
      <c r="T530">
        <v>0.01169</v>
      </c>
      <c r="U530">
        <v>0.94384242942686</v>
      </c>
      <c r="V530">
        <f t="shared" si="51"/>
        <v>1.86694391342747</v>
      </c>
      <c r="Y530">
        <v>1579.19632</v>
      </c>
      <c r="Z530">
        <v>1.57919632</v>
      </c>
      <c r="AA530">
        <v>1.11582129247431</v>
      </c>
      <c r="AD530">
        <v>0.0229818</v>
      </c>
      <c r="AE530">
        <v>0.480098077609239</v>
      </c>
      <c r="AF530">
        <f t="shared" si="52"/>
        <v>3.67029355257547</v>
      </c>
      <c r="AI530">
        <v>6.26157</v>
      </c>
      <c r="AJ530">
        <v>1.76210087885307</v>
      </c>
    </row>
    <row r="531" spans="1:36">
      <c r="A531">
        <f t="shared" si="53"/>
        <v>530</v>
      </c>
      <c r="B531" t="s">
        <v>561</v>
      </c>
      <c r="C531">
        <v>92311172</v>
      </c>
      <c r="E531">
        <v>179.694</v>
      </c>
      <c r="F531">
        <v>0.513713156811023</v>
      </c>
      <c r="G531">
        <f t="shared" si="48"/>
        <v>11.4299708039412</v>
      </c>
      <c r="J531">
        <v>55.882821</v>
      </c>
      <c r="K531">
        <v>1.65187029480849</v>
      </c>
      <c r="L531">
        <f t="shared" si="49"/>
        <v>3.55459287717937</v>
      </c>
      <c r="O531">
        <v>36.292</v>
      </c>
      <c r="P531">
        <v>2.54356805907638</v>
      </c>
      <c r="Q531">
        <f t="shared" si="50"/>
        <v>2.30846049626939</v>
      </c>
      <c r="T531">
        <v>0.024177</v>
      </c>
      <c r="U531">
        <v>3.81814005046118</v>
      </c>
      <c r="V531">
        <f t="shared" si="51"/>
        <v>1.5378499233524</v>
      </c>
      <c r="Y531">
        <v>6070.613757</v>
      </c>
      <c r="Z531">
        <v>6.070613757</v>
      </c>
      <c r="AA531">
        <v>0.967237682875109</v>
      </c>
      <c r="AD531">
        <v>0.0116697</v>
      </c>
      <c r="AE531">
        <v>7.91032948576227</v>
      </c>
      <c r="AF531">
        <f t="shared" si="52"/>
        <v>0.742285943274412</v>
      </c>
      <c r="AI531">
        <v>15.7213</v>
      </c>
      <c r="AJ531">
        <v>5.87172638395044</v>
      </c>
    </row>
    <row r="532" spans="1:36">
      <c r="A532">
        <f t="shared" si="53"/>
        <v>531</v>
      </c>
      <c r="B532" t="s">
        <v>562</v>
      </c>
      <c r="C532">
        <v>15550332</v>
      </c>
      <c r="E532">
        <v>36.28</v>
      </c>
      <c r="F532">
        <v>0.428619955898567</v>
      </c>
      <c r="G532">
        <f t="shared" si="48"/>
        <v>10.5866732809057</v>
      </c>
      <c r="J532">
        <v>7.311656</v>
      </c>
      <c r="K532">
        <v>2.12678659936955</v>
      </c>
      <c r="L532">
        <f t="shared" si="49"/>
        <v>2.13357533666964</v>
      </c>
      <c r="O532">
        <v>15.1255</v>
      </c>
      <c r="P532">
        <v>1.02808713761529</v>
      </c>
      <c r="Q532">
        <f t="shared" si="50"/>
        <v>4.41369147492666</v>
      </c>
      <c r="T532">
        <v>0.010729</v>
      </c>
      <c r="U532">
        <v>1.44937384658402</v>
      </c>
      <c r="V532">
        <f t="shared" si="51"/>
        <v>3.13077226104846</v>
      </c>
      <c r="Y532">
        <v>3205.311963</v>
      </c>
      <c r="Z532">
        <v>3.205311963</v>
      </c>
      <c r="AA532">
        <v>1.41566857989303</v>
      </c>
      <c r="AD532">
        <v>0.00589334</v>
      </c>
      <c r="AE532">
        <v>2.6386280106018</v>
      </c>
      <c r="AF532">
        <f t="shared" si="52"/>
        <v>1.71970411006872</v>
      </c>
      <c r="AI532">
        <v>3.42695</v>
      </c>
      <c r="AJ532">
        <v>4.53765943477436</v>
      </c>
    </row>
    <row r="533" spans="1:36">
      <c r="A533">
        <f t="shared" si="53"/>
        <v>532</v>
      </c>
      <c r="B533" t="s">
        <v>563</v>
      </c>
      <c r="C533">
        <v>1240402324</v>
      </c>
      <c r="E533">
        <v>174.032</v>
      </c>
      <c r="F533">
        <v>7.12743819527443</v>
      </c>
      <c r="G533">
        <f t="shared" si="48"/>
        <v>10.3321103313979</v>
      </c>
      <c r="J533">
        <v>61.154095</v>
      </c>
      <c r="K533">
        <v>20.2832259066216</v>
      </c>
      <c r="L533">
        <f t="shared" si="49"/>
        <v>3.63065905555754</v>
      </c>
      <c r="O533">
        <v>53.6431</v>
      </c>
      <c r="P533">
        <v>23.1232409014393</v>
      </c>
      <c r="Q533">
        <f t="shared" si="50"/>
        <v>3.18473859817856</v>
      </c>
      <c r="T533">
        <v>0.032636</v>
      </c>
      <c r="U533">
        <v>38.0071799240103</v>
      </c>
      <c r="V533">
        <f t="shared" si="51"/>
        <v>1.93756753226707</v>
      </c>
      <c r="Y533">
        <v>14099.155524</v>
      </c>
      <c r="Z533">
        <v>14.099155524</v>
      </c>
      <c r="AA533">
        <v>5.22311266716934</v>
      </c>
      <c r="AD533">
        <v>0.0126286</v>
      </c>
      <c r="AE533">
        <v>98.2216812631646</v>
      </c>
      <c r="AF533">
        <f t="shared" si="52"/>
        <v>0.749747681639535</v>
      </c>
      <c r="AI533">
        <v>16.8438</v>
      </c>
      <c r="AJ533">
        <v>73.641477813795</v>
      </c>
    </row>
    <row r="534" spans="1:36">
      <c r="A534">
        <f t="shared" si="53"/>
        <v>533</v>
      </c>
      <c r="B534" t="s">
        <v>564</v>
      </c>
      <c r="C534">
        <v>329009580</v>
      </c>
      <c r="E534">
        <v>77.111</v>
      </c>
      <c r="F534">
        <v>4.26670098948269</v>
      </c>
      <c r="G534">
        <f t="shared" si="48"/>
        <v>18.980374975078</v>
      </c>
      <c r="J534">
        <v>10.550873</v>
      </c>
      <c r="K534">
        <v>31.1831618104019</v>
      </c>
      <c r="L534">
        <f t="shared" si="49"/>
        <v>2.5970292935434</v>
      </c>
      <c r="O534">
        <v>15.3291</v>
      </c>
      <c r="P534">
        <v>21.4630721960193</v>
      </c>
      <c r="Q534">
        <f t="shared" si="50"/>
        <v>3.77315903088364</v>
      </c>
      <c r="T534">
        <v>0.008947</v>
      </c>
      <c r="U534">
        <v>36.7731731306583</v>
      </c>
      <c r="V534">
        <f t="shared" si="51"/>
        <v>2.20224630600073</v>
      </c>
      <c r="Y534">
        <v>40404.265113</v>
      </c>
      <c r="Z534">
        <v>40.404265113</v>
      </c>
      <c r="AA534">
        <v>2.0043325738119</v>
      </c>
      <c r="AD534">
        <v>0.0134656</v>
      </c>
      <c r="AE534">
        <v>24.4333397694867</v>
      </c>
      <c r="AF534">
        <f t="shared" si="52"/>
        <v>3.31447053292539</v>
      </c>
      <c r="AI534">
        <v>4.06267</v>
      </c>
      <c r="AJ534">
        <v>80.9835846869177</v>
      </c>
    </row>
    <row r="535" spans="1:36">
      <c r="A535">
        <f t="shared" si="53"/>
        <v>534</v>
      </c>
      <c r="B535" t="s">
        <v>565</v>
      </c>
      <c r="C535">
        <v>16832024</v>
      </c>
      <c r="E535">
        <v>39.255</v>
      </c>
      <c r="F535">
        <v>0.428786753279837</v>
      </c>
      <c r="G535">
        <f t="shared" si="48"/>
        <v>10.4369119183658</v>
      </c>
      <c r="J535">
        <v>10.858681</v>
      </c>
      <c r="K535">
        <v>1.55009839592857</v>
      </c>
      <c r="L535">
        <f t="shared" si="49"/>
        <v>2.88704871090644</v>
      </c>
      <c r="O535">
        <v>15.1453</v>
      </c>
      <c r="P535">
        <v>1.11136946775567</v>
      </c>
      <c r="Q535">
        <f t="shared" si="50"/>
        <v>4.02675231377472</v>
      </c>
      <c r="T535">
        <v>0.011367</v>
      </c>
      <c r="U535">
        <v>1.48077980117885</v>
      </c>
      <c r="V535">
        <f t="shared" si="51"/>
        <v>3.02219787991503</v>
      </c>
      <c r="Y535">
        <v>2990.284654</v>
      </c>
      <c r="Z535">
        <v>2.990284654</v>
      </c>
      <c r="AA535">
        <v>1.4965831328992</v>
      </c>
      <c r="AD535">
        <v>0.0163767</v>
      </c>
      <c r="AE535">
        <v>1.02780315936666</v>
      </c>
      <c r="AF535">
        <f t="shared" si="52"/>
        <v>4.35415043723097</v>
      </c>
      <c r="AI535">
        <v>3.76117</v>
      </c>
      <c r="AJ535">
        <v>4.47520957574372</v>
      </c>
    </row>
    <row r="536" spans="1:36">
      <c r="A536">
        <f t="shared" si="53"/>
        <v>535</v>
      </c>
      <c r="B536" t="s">
        <v>566</v>
      </c>
      <c r="C536">
        <v>12042262</v>
      </c>
      <c r="E536">
        <v>66.133</v>
      </c>
      <c r="F536">
        <v>0.182091573042203</v>
      </c>
      <c r="G536">
        <f t="shared" si="48"/>
        <v>19.0314077365364</v>
      </c>
      <c r="J536">
        <v>6.102853</v>
      </c>
      <c r="K536">
        <v>1.97321842751251</v>
      </c>
      <c r="L536">
        <f t="shared" si="49"/>
        <v>1.75624701433694</v>
      </c>
      <c r="O536">
        <v>7.4515</v>
      </c>
      <c r="P536">
        <v>1.6160856203449</v>
      </c>
      <c r="Q536">
        <f t="shared" si="50"/>
        <v>2.14435357157245</v>
      </c>
      <c r="T536">
        <v>0.008989</v>
      </c>
      <c r="U536">
        <v>1.33966648125487</v>
      </c>
      <c r="V536">
        <f t="shared" si="51"/>
        <v>2.58680725422596</v>
      </c>
      <c r="Y536">
        <v>2427.915816</v>
      </c>
      <c r="Z536">
        <v>2.427915816</v>
      </c>
      <c r="AA536">
        <v>1.42733901608781</v>
      </c>
      <c r="AD536">
        <v>0.0195641</v>
      </c>
      <c r="AE536">
        <v>0.615528544630216</v>
      </c>
      <c r="AF536">
        <f t="shared" si="52"/>
        <v>5.6300540440986</v>
      </c>
      <c r="AI536">
        <v>3.47494</v>
      </c>
      <c r="AJ536">
        <v>3.46545897195347</v>
      </c>
    </row>
    <row r="537" spans="1:36">
      <c r="A537">
        <f t="shared" si="53"/>
        <v>536</v>
      </c>
      <c r="B537" t="s">
        <v>567</v>
      </c>
      <c r="C537">
        <v>167635182</v>
      </c>
      <c r="E537">
        <v>210.09</v>
      </c>
      <c r="F537">
        <v>0.797920805369128</v>
      </c>
      <c r="G537">
        <f t="shared" si="48"/>
        <v>24.1247057472585</v>
      </c>
      <c r="J537">
        <v>18.290003</v>
      </c>
      <c r="K537">
        <v>9.16539937144898</v>
      </c>
      <c r="L537">
        <f t="shared" si="49"/>
        <v>2.1002472297181</v>
      </c>
      <c r="O537">
        <v>21.4133</v>
      </c>
      <c r="P537">
        <v>7.82855430970472</v>
      </c>
      <c r="Q537">
        <f t="shared" si="50"/>
        <v>2.45889648045014</v>
      </c>
      <c r="T537">
        <v>0.011518</v>
      </c>
      <c r="U537">
        <v>14.5541918735892</v>
      </c>
      <c r="V537">
        <f t="shared" si="51"/>
        <v>1.32261583510363</v>
      </c>
      <c r="Y537">
        <v>26199.863166</v>
      </c>
      <c r="Z537">
        <v>26.199863166</v>
      </c>
      <c r="AA537">
        <v>0.734721571528138</v>
      </c>
      <c r="AD537">
        <v>0.0210738</v>
      </c>
      <c r="AE537">
        <v>7.95467272157845</v>
      </c>
      <c r="AF537">
        <f t="shared" si="52"/>
        <v>2.41991158063961</v>
      </c>
      <c r="AI537">
        <v>8.7085</v>
      </c>
      <c r="AJ537">
        <v>19.2496046391457</v>
      </c>
    </row>
    <row r="538" spans="1:36">
      <c r="A538">
        <f t="shared" si="53"/>
        <v>537</v>
      </c>
      <c r="B538" t="s">
        <v>568</v>
      </c>
      <c r="C538">
        <v>15113794</v>
      </c>
      <c r="E538">
        <v>52.391</v>
      </c>
      <c r="F538">
        <v>0.288480731423336</v>
      </c>
      <c r="G538">
        <f t="shared" si="48"/>
        <v>13.8924318318621</v>
      </c>
      <c r="J538">
        <v>5.438943</v>
      </c>
      <c r="K538">
        <v>2.77881088292339</v>
      </c>
      <c r="L538">
        <f t="shared" si="49"/>
        <v>1.44223520957576</v>
      </c>
      <c r="O538">
        <v>19.5998</v>
      </c>
      <c r="P538">
        <v>0.771119807344973</v>
      </c>
      <c r="Q538">
        <f t="shared" si="50"/>
        <v>5.1972454318133</v>
      </c>
      <c r="T538">
        <v>0.011346</v>
      </c>
      <c r="U538">
        <v>1.33208126211881</v>
      </c>
      <c r="V538">
        <f t="shared" si="51"/>
        <v>3.00859940761404</v>
      </c>
      <c r="Y538">
        <v>3067.396969</v>
      </c>
      <c r="Z538">
        <v>3.067396969</v>
      </c>
      <c r="AA538">
        <v>1.30654719183965</v>
      </c>
      <c r="AD538">
        <v>0.0168667</v>
      </c>
      <c r="AE538">
        <v>0.896072972187802</v>
      </c>
      <c r="AF538">
        <f t="shared" si="52"/>
        <v>4.47251398099804</v>
      </c>
      <c r="AI538">
        <v>3.77119</v>
      </c>
      <c r="AJ538">
        <v>4.00769889610441</v>
      </c>
    </row>
    <row r="539" spans="1:36">
      <c r="A539">
        <f t="shared" si="53"/>
        <v>538</v>
      </c>
      <c r="B539" t="s">
        <v>569</v>
      </c>
      <c r="C539">
        <v>16522808</v>
      </c>
      <c r="E539">
        <v>38.309</v>
      </c>
      <c r="F539">
        <v>0.431303557910674</v>
      </c>
      <c r="G539">
        <f t="shared" si="48"/>
        <v>8.90289985080107</v>
      </c>
      <c r="J539">
        <v>9.157276</v>
      </c>
      <c r="K539">
        <v>1.80433657345263</v>
      </c>
      <c r="L539">
        <f t="shared" si="49"/>
        <v>2.12812423018466</v>
      </c>
      <c r="O539">
        <v>16.0215</v>
      </c>
      <c r="P539">
        <v>1.03128970445963</v>
      </c>
      <c r="Q539">
        <f t="shared" si="50"/>
        <v>3.72334986451251</v>
      </c>
      <c r="T539">
        <v>0.013031</v>
      </c>
      <c r="U539">
        <v>1.26796162995933</v>
      </c>
      <c r="V539">
        <f t="shared" si="51"/>
        <v>3.02836638794509</v>
      </c>
      <c r="Y539">
        <v>2901.317813</v>
      </c>
      <c r="Z539">
        <v>2.901317813</v>
      </c>
      <c r="AA539">
        <v>1.32348561200969</v>
      </c>
      <c r="AD539">
        <v>0.00583342</v>
      </c>
      <c r="AE539">
        <v>2.83243928947341</v>
      </c>
      <c r="AF539">
        <f t="shared" si="52"/>
        <v>1.35566979163278</v>
      </c>
      <c r="AI539">
        <v>4.30298</v>
      </c>
      <c r="AJ539">
        <v>3.83985238137291</v>
      </c>
    </row>
    <row r="540" spans="1:36">
      <c r="A540">
        <f t="shared" si="53"/>
        <v>539</v>
      </c>
      <c r="B540" t="s">
        <v>570</v>
      </c>
      <c r="C540">
        <v>15630000</v>
      </c>
      <c r="E540">
        <v>37.437</v>
      </c>
      <c r="F540">
        <v>0.417501402355958</v>
      </c>
      <c r="G540">
        <f t="shared" si="48"/>
        <v>10.8637110207019</v>
      </c>
      <c r="J540">
        <v>13.283478</v>
      </c>
      <c r="K540">
        <v>1.17664966961213</v>
      </c>
      <c r="L540">
        <f t="shared" si="49"/>
        <v>3.8546856409929</v>
      </c>
      <c r="O540">
        <v>6.2394</v>
      </c>
      <c r="P540">
        <v>2.50504856236177</v>
      </c>
      <c r="Q540">
        <f t="shared" si="50"/>
        <v>1.81058948480293</v>
      </c>
      <c r="T540">
        <v>0.010476</v>
      </c>
      <c r="U540">
        <v>1.49198167239404</v>
      </c>
      <c r="V540">
        <f t="shared" si="51"/>
        <v>3.03999349982299</v>
      </c>
      <c r="Y540">
        <v>3043.02389</v>
      </c>
      <c r="Z540">
        <v>3.04302389</v>
      </c>
      <c r="AA540">
        <v>1.4904958849774</v>
      </c>
      <c r="AD540">
        <v>0.00999114</v>
      </c>
      <c r="AE540">
        <v>1.56438604603679</v>
      </c>
      <c r="AF540">
        <f t="shared" si="52"/>
        <v>2.8992936861227</v>
      </c>
      <c r="AI540">
        <v>3.44606</v>
      </c>
      <c r="AJ540">
        <v>4.53561458593292</v>
      </c>
    </row>
    <row r="541" spans="1:36">
      <c r="A541">
        <f t="shared" si="53"/>
        <v>540</v>
      </c>
      <c r="B541" t="s">
        <v>571</v>
      </c>
      <c r="C541">
        <v>16489419010</v>
      </c>
      <c r="E541">
        <v>5548.538</v>
      </c>
      <c r="F541">
        <v>2.97184934301612</v>
      </c>
      <c r="G541">
        <f t="shared" si="48"/>
        <v>12.113812511735</v>
      </c>
      <c r="J541">
        <v>909.972403</v>
      </c>
      <c r="K541">
        <v>18.1207902081839</v>
      </c>
      <c r="L541">
        <f t="shared" si="49"/>
        <v>1.98669182418773</v>
      </c>
      <c r="O541">
        <v>1098.74</v>
      </c>
      <c r="P541">
        <v>15.0075714090686</v>
      </c>
      <c r="Q541">
        <f t="shared" si="50"/>
        <v>2.39881755502866</v>
      </c>
      <c r="T541">
        <v>0.408085</v>
      </c>
      <c r="U541">
        <v>40.4068245831138</v>
      </c>
      <c r="V541">
        <f t="shared" si="51"/>
        <v>0.890949143513364</v>
      </c>
      <c r="Y541">
        <v>22459.129546</v>
      </c>
      <c r="Z541">
        <v>22.459129546</v>
      </c>
      <c r="AA541">
        <v>1.60293058912569</v>
      </c>
      <c r="AD541">
        <v>0.995036</v>
      </c>
      <c r="AE541">
        <v>16.5716808336583</v>
      </c>
      <c r="AF541">
        <f t="shared" si="52"/>
        <v>2.17240641524428</v>
      </c>
      <c r="AI541">
        <v>458.034</v>
      </c>
      <c r="AJ541">
        <v>36.00042575442</v>
      </c>
    </row>
    <row r="542" spans="1:36">
      <c r="A542">
        <f t="shared" si="53"/>
        <v>541</v>
      </c>
      <c r="B542" t="s">
        <v>572</v>
      </c>
      <c r="C542">
        <v>61431294</v>
      </c>
      <c r="E542">
        <v>128.101</v>
      </c>
      <c r="F542">
        <v>0.479553586623055</v>
      </c>
      <c r="G542">
        <f t="shared" si="48"/>
        <v>14.611259136243</v>
      </c>
      <c r="J542">
        <v>23.61185</v>
      </c>
      <c r="K542">
        <v>2.60171456281486</v>
      </c>
      <c r="L542">
        <f t="shared" si="49"/>
        <v>2.69317850005931</v>
      </c>
      <c r="O542">
        <v>35.5701</v>
      </c>
      <c r="P542">
        <v>1.72704867290224</v>
      </c>
      <c r="Q542">
        <f t="shared" si="50"/>
        <v>4.05714200983658</v>
      </c>
      <c r="T542">
        <v>0.022271</v>
      </c>
      <c r="U542">
        <v>2.75835364375196</v>
      </c>
      <c r="V542">
        <f t="shared" si="51"/>
        <v>2.54024053070052</v>
      </c>
      <c r="Y542">
        <v>4607.683715</v>
      </c>
      <c r="Z542">
        <v>4.607683715</v>
      </c>
      <c r="AA542">
        <v>1.52069502970739</v>
      </c>
      <c r="AD542">
        <v>0.0369649</v>
      </c>
      <c r="AE542">
        <v>1.66188178515294</v>
      </c>
      <c r="AF542">
        <f t="shared" si="52"/>
        <v>4.21623354107546</v>
      </c>
      <c r="AI542">
        <v>8.76728</v>
      </c>
      <c r="AJ542">
        <v>7.00688172386419</v>
      </c>
    </row>
    <row r="543" spans="1:36">
      <c r="A543">
        <f t="shared" si="53"/>
        <v>542</v>
      </c>
      <c r="B543" t="s">
        <v>573</v>
      </c>
      <c r="C543">
        <v>188564658</v>
      </c>
      <c r="E543">
        <v>75.908</v>
      </c>
      <c r="F543">
        <v>2.48412101491279</v>
      </c>
      <c r="G543">
        <f t="shared" si="48"/>
        <v>27.6380848352448</v>
      </c>
      <c r="J543">
        <v>6.946725</v>
      </c>
      <c r="K543">
        <v>27.1443965321788</v>
      </c>
      <c r="L543">
        <f t="shared" si="49"/>
        <v>2.5293009284544</v>
      </c>
      <c r="O543">
        <v>14.5169</v>
      </c>
      <c r="P543">
        <v>12.9893198961211</v>
      </c>
      <c r="Q543">
        <f t="shared" si="50"/>
        <v>5.28559985436008</v>
      </c>
      <c r="T543">
        <v>0.007014</v>
      </c>
      <c r="U543">
        <v>26.8840402053037</v>
      </c>
      <c r="V543">
        <f t="shared" si="51"/>
        <v>2.55379574003277</v>
      </c>
      <c r="Y543">
        <v>45116.88016</v>
      </c>
      <c r="Z543">
        <v>45.11688016</v>
      </c>
      <c r="AA543">
        <v>1.52174412565087</v>
      </c>
      <c r="AD543">
        <v>0.0425386</v>
      </c>
      <c r="AE543">
        <v>4.43278946650807</v>
      </c>
      <c r="AF543">
        <f t="shared" si="52"/>
        <v>15.4882941926088</v>
      </c>
      <c r="AI543">
        <v>2.7465</v>
      </c>
      <c r="AJ543">
        <v>68.6563473511742</v>
      </c>
    </row>
    <row r="544" spans="1:36">
      <c r="A544">
        <f t="shared" si="53"/>
        <v>543</v>
      </c>
      <c r="B544" t="s">
        <v>574</v>
      </c>
      <c r="C544">
        <v>328842078</v>
      </c>
      <c r="E544">
        <v>378.686</v>
      </c>
      <c r="F544">
        <v>0.868376644502305</v>
      </c>
      <c r="G544">
        <f t="shared" si="48"/>
        <v>23.6977934642487</v>
      </c>
      <c r="J544">
        <v>28.72811</v>
      </c>
      <c r="K544">
        <v>11.4467007401461</v>
      </c>
      <c r="L544">
        <f t="shared" si="49"/>
        <v>1.79777656791701</v>
      </c>
      <c r="O544">
        <v>33.3557</v>
      </c>
      <c r="P544">
        <v>9.85864718773703</v>
      </c>
      <c r="Q544">
        <f t="shared" si="50"/>
        <v>2.08736655026972</v>
      </c>
      <c r="T544">
        <v>0.017193</v>
      </c>
      <c r="U544">
        <v>19.1265095096842</v>
      </c>
      <c r="V544">
        <f t="shared" si="51"/>
        <v>1.07592085007322</v>
      </c>
      <c r="Y544">
        <v>19833.659534</v>
      </c>
      <c r="Z544">
        <v>19.833659534</v>
      </c>
      <c r="AA544">
        <v>1.03755992863122</v>
      </c>
      <c r="AD544">
        <v>0.0269001</v>
      </c>
      <c r="AE544">
        <v>12.2245671205683</v>
      </c>
      <c r="AF544">
        <f t="shared" si="52"/>
        <v>1.68338151916796</v>
      </c>
      <c r="AI544">
        <v>15.9798</v>
      </c>
      <c r="AJ544">
        <v>20.5786103705929</v>
      </c>
    </row>
    <row r="545" spans="1:36">
      <c r="A545">
        <f t="shared" si="53"/>
        <v>544</v>
      </c>
      <c r="B545" t="s">
        <v>575</v>
      </c>
      <c r="C545">
        <v>38301936</v>
      </c>
      <c r="E545">
        <v>58.437</v>
      </c>
      <c r="F545">
        <v>0.655439806971611</v>
      </c>
      <c r="G545">
        <f t="shared" si="48"/>
        <v>13.2255589579245</v>
      </c>
      <c r="J545">
        <v>8.542039</v>
      </c>
      <c r="K545">
        <v>4.48393363692205</v>
      </c>
      <c r="L545">
        <f t="shared" si="49"/>
        <v>1.93324846271011</v>
      </c>
      <c r="O545">
        <v>20.4151</v>
      </c>
      <c r="P545">
        <v>1.87615715818193</v>
      </c>
      <c r="Q545">
        <f t="shared" si="50"/>
        <v>4.62037936036973</v>
      </c>
      <c r="T545">
        <v>0.010117</v>
      </c>
      <c r="U545">
        <v>3.78589858653751</v>
      </c>
      <c r="V545">
        <f t="shared" si="51"/>
        <v>2.28969625369753</v>
      </c>
      <c r="Y545">
        <v>5844.584726</v>
      </c>
      <c r="Z545">
        <v>5.844584726</v>
      </c>
      <c r="AA545">
        <v>1.48317771353559</v>
      </c>
      <c r="AD545">
        <v>0.00774383</v>
      </c>
      <c r="AE545">
        <v>4.94612304247381</v>
      </c>
      <c r="AF545">
        <f t="shared" si="52"/>
        <v>1.75259647526644</v>
      </c>
      <c r="AI545">
        <v>4.41849</v>
      </c>
      <c r="AJ545">
        <v>8.66855781047371</v>
      </c>
    </row>
    <row r="546" spans="1:36">
      <c r="A546">
        <f t="shared" si="53"/>
        <v>545</v>
      </c>
      <c r="B546" t="s">
        <v>576</v>
      </c>
      <c r="C546">
        <v>24510104</v>
      </c>
      <c r="E546">
        <v>38.705</v>
      </c>
      <c r="F546">
        <v>0.63325420488309</v>
      </c>
      <c r="G546">
        <f t="shared" si="48"/>
        <v>18.2451988799743</v>
      </c>
      <c r="J546">
        <v>4.839197</v>
      </c>
      <c r="K546">
        <v>5.06491138922429</v>
      </c>
      <c r="L546">
        <f t="shared" si="49"/>
        <v>2.28115519143199</v>
      </c>
      <c r="O546">
        <v>6.9397</v>
      </c>
      <c r="P546">
        <v>3.5318679481822</v>
      </c>
      <c r="Q546">
        <f t="shared" si="50"/>
        <v>3.27131395600976</v>
      </c>
      <c r="T546">
        <v>0.006523</v>
      </c>
      <c r="U546">
        <v>3.75748949869692</v>
      </c>
      <c r="V546">
        <f t="shared" si="51"/>
        <v>3.07488521622717</v>
      </c>
      <c r="Y546">
        <v>6712.540291</v>
      </c>
      <c r="Z546">
        <v>6.712540291</v>
      </c>
      <c r="AA546">
        <v>1.72123345392252</v>
      </c>
      <c r="AD546">
        <v>0.0124354</v>
      </c>
      <c r="AE546">
        <v>1.97099441915821</v>
      </c>
      <c r="AF546">
        <f t="shared" si="52"/>
        <v>5.86193892654781</v>
      </c>
      <c r="AI546">
        <v>2.12138</v>
      </c>
      <c r="AJ546">
        <v>11.553848909672</v>
      </c>
    </row>
    <row r="547" spans="1:36">
      <c r="A547">
        <f t="shared" si="53"/>
        <v>546</v>
      </c>
      <c r="B547" t="s">
        <v>577</v>
      </c>
      <c r="C547">
        <v>199397162</v>
      </c>
      <c r="E547">
        <v>109.507</v>
      </c>
      <c r="F547">
        <v>1.8208622462491</v>
      </c>
      <c r="G547">
        <f t="shared" si="48"/>
        <v>17.1531909161255</v>
      </c>
      <c r="J547">
        <v>11.671039</v>
      </c>
      <c r="K547">
        <v>17.0847824259691</v>
      </c>
      <c r="L547">
        <f t="shared" si="49"/>
        <v>1.82815308753364</v>
      </c>
      <c r="O547">
        <v>20.0599</v>
      </c>
      <c r="P547">
        <v>9.94008753782422</v>
      </c>
      <c r="Q547">
        <f t="shared" si="50"/>
        <v>3.14218538046322</v>
      </c>
      <c r="T547">
        <v>0.010236</v>
      </c>
      <c r="U547">
        <v>19.4799884720594</v>
      </c>
      <c r="V547">
        <f t="shared" si="51"/>
        <v>1.60336838939484</v>
      </c>
      <c r="Y547">
        <v>23438.499353</v>
      </c>
      <c r="Z547">
        <v>23.438499353</v>
      </c>
      <c r="AA547">
        <v>1.33257668383442</v>
      </c>
      <c r="AD547">
        <v>0.0129628</v>
      </c>
      <c r="AE547">
        <v>15.382260159842</v>
      </c>
      <c r="AF547">
        <f t="shared" si="52"/>
        <v>2.03049470086434</v>
      </c>
      <c r="AI547">
        <v>6.38406</v>
      </c>
      <c r="AJ547">
        <v>31.2335977418759</v>
      </c>
    </row>
    <row r="548" spans="1:36">
      <c r="A548">
        <f t="shared" si="53"/>
        <v>547</v>
      </c>
      <c r="B548" t="s">
        <v>578</v>
      </c>
      <c r="C548">
        <v>394238376</v>
      </c>
      <c r="E548">
        <v>92.14</v>
      </c>
      <c r="F548">
        <v>4.2786886911222</v>
      </c>
      <c r="G548">
        <f t="shared" si="48"/>
        <v>39.0532945654294</v>
      </c>
      <c r="J548">
        <v>10.501684</v>
      </c>
      <c r="K548">
        <v>37.5404912202652</v>
      </c>
      <c r="L548">
        <f t="shared" si="49"/>
        <v>4.45111090389687</v>
      </c>
      <c r="O548">
        <v>11.0293</v>
      </c>
      <c r="P548">
        <v>35.7446416363686</v>
      </c>
      <c r="Q548">
        <f t="shared" si="50"/>
        <v>4.67473954580519</v>
      </c>
      <c r="T548">
        <v>0.004414</v>
      </c>
      <c r="U548">
        <v>89.3154454009968</v>
      </c>
      <c r="V548">
        <f t="shared" si="51"/>
        <v>1.87086219027356</v>
      </c>
      <c r="Y548">
        <v>56433.54496</v>
      </c>
      <c r="Z548">
        <v>56.43354496</v>
      </c>
      <c r="AA548">
        <v>2.96094973169956</v>
      </c>
      <c r="AD548">
        <v>0.00877664</v>
      </c>
      <c r="AE548">
        <v>44.9190551281584</v>
      </c>
      <c r="AF548">
        <f t="shared" si="52"/>
        <v>3.71995558079803</v>
      </c>
      <c r="AI548">
        <v>2.35934</v>
      </c>
      <c r="AJ548">
        <v>167.096889808167</v>
      </c>
    </row>
    <row r="549" spans="1:36">
      <c r="A549">
        <f t="shared" si="53"/>
        <v>548</v>
      </c>
      <c r="B549" t="s">
        <v>579</v>
      </c>
      <c r="C549">
        <v>1192131702</v>
      </c>
      <c r="E549">
        <v>226.705</v>
      </c>
      <c r="F549">
        <v>5.25851525991928</v>
      </c>
      <c r="G549">
        <f t="shared" si="48"/>
        <v>24.4441952516553</v>
      </c>
      <c r="J549">
        <v>25.4763</v>
      </c>
      <c r="K549">
        <v>46.7937534885364</v>
      </c>
      <c r="L549">
        <f t="shared" si="49"/>
        <v>2.74695155153061</v>
      </c>
      <c r="O549">
        <v>25.6128</v>
      </c>
      <c r="P549">
        <v>46.5443724231634</v>
      </c>
      <c r="Q549">
        <f t="shared" si="50"/>
        <v>2.76166950063562</v>
      </c>
      <c r="T549">
        <v>0.011581</v>
      </c>
      <c r="U549">
        <v>102.938580606165</v>
      </c>
      <c r="V549">
        <f t="shared" si="51"/>
        <v>1.24870746216193</v>
      </c>
      <c r="Y549">
        <v>22435.890429</v>
      </c>
      <c r="Z549">
        <v>22.435890429</v>
      </c>
      <c r="AA549">
        <v>5.729220962014</v>
      </c>
      <c r="AD549">
        <v>0.0648255</v>
      </c>
      <c r="AE549">
        <v>18.3898574172201</v>
      </c>
      <c r="AF549">
        <f t="shared" si="52"/>
        <v>6.98973193924343</v>
      </c>
      <c r="AI549">
        <v>9.27439</v>
      </c>
      <c r="AJ549">
        <v>128.540173747276</v>
      </c>
    </row>
    <row r="550" spans="1:36">
      <c r="A550">
        <f t="shared" si="53"/>
        <v>549</v>
      </c>
      <c r="B550" t="s">
        <v>580</v>
      </c>
      <c r="C550">
        <v>20213852</v>
      </c>
      <c r="E550">
        <v>48.501</v>
      </c>
      <c r="F550">
        <v>0.416771860374013</v>
      </c>
      <c r="G550">
        <f t="shared" si="48"/>
        <v>12.6555491481817</v>
      </c>
      <c r="J550">
        <v>15.362099</v>
      </c>
      <c r="K550">
        <v>1.31582617713894</v>
      </c>
      <c r="L550">
        <f t="shared" si="49"/>
        <v>4.00849052418988</v>
      </c>
      <c r="O550">
        <v>18.2603</v>
      </c>
      <c r="P550">
        <v>1.10698356543978</v>
      </c>
      <c r="Q550">
        <f t="shared" si="50"/>
        <v>4.76472905941201</v>
      </c>
      <c r="T550">
        <v>0.011662</v>
      </c>
      <c r="U550">
        <v>1.73330920939804</v>
      </c>
      <c r="V550">
        <f t="shared" si="51"/>
        <v>3.04300971456455</v>
      </c>
      <c r="Y550">
        <v>2805.772789</v>
      </c>
      <c r="Z550">
        <v>2.805772789</v>
      </c>
      <c r="AA550">
        <v>1.87986596178456</v>
      </c>
      <c r="AD550">
        <v>0.00758877</v>
      </c>
      <c r="AE550">
        <v>2.66365326660315</v>
      </c>
      <c r="AF550">
        <f t="shared" si="52"/>
        <v>1.98016642356336</v>
      </c>
      <c r="AI550">
        <v>3.83239</v>
      </c>
      <c r="AJ550">
        <v>5.27447676254243</v>
      </c>
    </row>
    <row r="551" spans="1:36">
      <c r="A551">
        <f t="shared" si="53"/>
        <v>550</v>
      </c>
      <c r="B551" t="s">
        <v>581</v>
      </c>
      <c r="C551">
        <v>19457552</v>
      </c>
      <c r="E551">
        <v>43.101</v>
      </c>
      <c r="F551">
        <v>0.45144084824018</v>
      </c>
      <c r="G551">
        <f t="shared" si="48"/>
        <v>10.8766200993257</v>
      </c>
      <c r="J551">
        <v>8.482366</v>
      </c>
      <c r="K551">
        <v>2.29388262661621</v>
      </c>
      <c r="L551">
        <f t="shared" si="49"/>
        <v>2.14054134533855</v>
      </c>
      <c r="O551">
        <v>19.3444</v>
      </c>
      <c r="P551">
        <v>1.00584934141147</v>
      </c>
      <c r="Q551">
        <f t="shared" si="50"/>
        <v>4.881596479186</v>
      </c>
      <c r="T551">
        <v>0.011617</v>
      </c>
      <c r="U551">
        <v>1.67492054747353</v>
      </c>
      <c r="V551">
        <f t="shared" si="51"/>
        <v>2.9315722534017</v>
      </c>
      <c r="Y551">
        <v>3072.705249</v>
      </c>
      <c r="Z551">
        <v>3.072705249</v>
      </c>
      <c r="AA551">
        <v>1.59798946066297</v>
      </c>
      <c r="AD551">
        <v>0.0068447</v>
      </c>
      <c r="AE551">
        <v>2.84271801539878</v>
      </c>
      <c r="AF551">
        <f t="shared" si="52"/>
        <v>1.7272731860944</v>
      </c>
      <c r="AI551">
        <v>3.96272</v>
      </c>
      <c r="AJ551">
        <v>4.91015060362579</v>
      </c>
    </row>
    <row r="552" spans="1:36">
      <c r="A552">
        <f t="shared" si="53"/>
        <v>551</v>
      </c>
      <c r="B552" t="s">
        <v>582</v>
      </c>
      <c r="C552">
        <v>18927696</v>
      </c>
      <c r="E552">
        <v>44.29</v>
      </c>
      <c r="F552">
        <v>0.427358229848724</v>
      </c>
      <c r="G552">
        <f t="shared" si="48"/>
        <v>9.70354774325145</v>
      </c>
      <c r="J552">
        <v>10.281549</v>
      </c>
      <c r="K552">
        <v>1.84093816991973</v>
      </c>
      <c r="L552">
        <f t="shared" si="49"/>
        <v>2.25259655895414</v>
      </c>
      <c r="O552">
        <v>18.0039</v>
      </c>
      <c r="P552">
        <v>1.05131088264209</v>
      </c>
      <c r="Q552">
        <f t="shared" si="50"/>
        <v>3.94449544399922</v>
      </c>
      <c r="T552">
        <v>0.011366</v>
      </c>
      <c r="U552">
        <v>1.66529086749956</v>
      </c>
      <c r="V552">
        <f t="shared" si="51"/>
        <v>2.49019019304123</v>
      </c>
      <c r="Y552">
        <v>3401.30208</v>
      </c>
      <c r="Z552">
        <v>3.40130208</v>
      </c>
      <c r="AA552">
        <v>1.21920690643523</v>
      </c>
      <c r="AD552">
        <v>0.00779197</v>
      </c>
      <c r="AE552">
        <v>2.42912844890317</v>
      </c>
      <c r="AF552">
        <f t="shared" si="52"/>
        <v>1.70715179293255</v>
      </c>
      <c r="AI552">
        <v>4.56431</v>
      </c>
      <c r="AJ552">
        <v>4.14689098680852</v>
      </c>
    </row>
    <row r="553" spans="1:36">
      <c r="A553">
        <f t="shared" si="53"/>
        <v>552</v>
      </c>
      <c r="B553" t="s">
        <v>583</v>
      </c>
      <c r="C553">
        <v>20033816</v>
      </c>
      <c r="E553">
        <v>45.828</v>
      </c>
      <c r="F553">
        <v>0.437152308632277</v>
      </c>
      <c r="G553">
        <f t="shared" si="48"/>
        <v>14.929340708743</v>
      </c>
      <c r="J553">
        <v>8.839049</v>
      </c>
      <c r="K553">
        <v>2.26651260786087</v>
      </c>
      <c r="L553">
        <f t="shared" si="49"/>
        <v>2.87948795632089</v>
      </c>
      <c r="O553">
        <v>10.1938</v>
      </c>
      <c r="P553">
        <v>1.96529419843434</v>
      </c>
      <c r="Q553">
        <f t="shared" si="50"/>
        <v>3.32082380459074</v>
      </c>
      <c r="T553">
        <v>0.009056</v>
      </c>
      <c r="U553">
        <v>2.21221466431095</v>
      </c>
      <c r="V553">
        <f t="shared" si="51"/>
        <v>2.95016386179577</v>
      </c>
      <c r="Y553">
        <v>5722.142189</v>
      </c>
      <c r="Z553">
        <v>5.722142189</v>
      </c>
      <c r="AA553">
        <v>1.14055113305833</v>
      </c>
      <c r="AD553">
        <v>0.0100957</v>
      </c>
      <c r="AE553">
        <v>1.98439097833731</v>
      </c>
      <c r="AF553">
        <f t="shared" si="52"/>
        <v>3.28886586788113</v>
      </c>
      <c r="AI553">
        <v>3.06966</v>
      </c>
      <c r="AJ553">
        <v>6.52639575718483</v>
      </c>
    </row>
    <row r="554" spans="1:36">
      <c r="A554">
        <f t="shared" si="53"/>
        <v>553</v>
      </c>
      <c r="B554" t="s">
        <v>584</v>
      </c>
      <c r="C554">
        <v>63644576</v>
      </c>
      <c r="E554">
        <v>45.269</v>
      </c>
      <c r="F554">
        <v>1.40591963595396</v>
      </c>
      <c r="G554">
        <f t="shared" si="48"/>
        <v>8.62832027080604</v>
      </c>
      <c r="J554">
        <v>8.697563</v>
      </c>
      <c r="K554">
        <v>7.31751825195172</v>
      </c>
      <c r="L554">
        <f t="shared" si="49"/>
        <v>1.65776489738038</v>
      </c>
      <c r="O554">
        <v>21.9367</v>
      </c>
      <c r="P554">
        <v>2.90128305533649</v>
      </c>
      <c r="Q554">
        <f t="shared" si="50"/>
        <v>4.18115870208289</v>
      </c>
      <c r="T554">
        <v>0.010318</v>
      </c>
      <c r="U554">
        <v>6.16830548555922</v>
      </c>
      <c r="V554">
        <f t="shared" si="51"/>
        <v>1.96662193894666</v>
      </c>
      <c r="Y554">
        <v>12967.028538</v>
      </c>
      <c r="Z554">
        <v>12.967028538</v>
      </c>
      <c r="AA554">
        <v>0.935505374918903</v>
      </c>
      <c r="AD554">
        <v>0.0225482</v>
      </c>
      <c r="AE554">
        <v>2.82260118324301</v>
      </c>
      <c r="AF554">
        <f t="shared" si="52"/>
        <v>4.29771126223659</v>
      </c>
      <c r="AI554">
        <v>5.24656</v>
      </c>
      <c r="AJ554">
        <v>12.1307248940258</v>
      </c>
    </row>
    <row r="555" spans="1:36">
      <c r="A555">
        <f t="shared" si="53"/>
        <v>554</v>
      </c>
      <c r="B555" t="s">
        <v>585</v>
      </c>
      <c r="C555">
        <v>151349670</v>
      </c>
      <c r="E555">
        <v>65.735</v>
      </c>
      <c r="F555">
        <v>2.30242138891002</v>
      </c>
      <c r="G555">
        <f t="shared" si="48"/>
        <v>31.7649389684066</v>
      </c>
      <c r="J555">
        <v>6.523057</v>
      </c>
      <c r="K555">
        <v>23.2022608418108</v>
      </c>
      <c r="L555">
        <f t="shared" si="49"/>
        <v>3.15211846797654</v>
      </c>
      <c r="O555">
        <v>13.543</v>
      </c>
      <c r="P555">
        <v>11.1754906593812</v>
      </c>
      <c r="Q555">
        <f t="shared" si="50"/>
        <v>6.54434575871502</v>
      </c>
      <c r="T555">
        <v>0.006897</v>
      </c>
      <c r="U555">
        <v>21.9442757720748</v>
      </c>
      <c r="V555">
        <f t="shared" si="51"/>
        <v>3.33281789100328</v>
      </c>
      <c r="Y555">
        <v>49430.028114</v>
      </c>
      <c r="Z555">
        <v>49.430028114</v>
      </c>
      <c r="AA555">
        <v>1.47959201499152</v>
      </c>
      <c r="AD555">
        <v>0.0170624</v>
      </c>
      <c r="AE555">
        <v>8.87036231714179</v>
      </c>
      <c r="AF555">
        <f t="shared" si="52"/>
        <v>8.24501551159262</v>
      </c>
      <c r="AI555">
        <v>2.06942</v>
      </c>
      <c r="AJ555">
        <v>73.1362748982807</v>
      </c>
    </row>
    <row r="556" spans="1:36">
      <c r="A556">
        <f t="shared" si="53"/>
        <v>555</v>
      </c>
      <c r="B556" t="s">
        <v>586</v>
      </c>
      <c r="C556">
        <v>229322284</v>
      </c>
      <c r="E556">
        <v>314.68</v>
      </c>
      <c r="F556">
        <v>0.728747565781111</v>
      </c>
      <c r="G556">
        <f t="shared" si="48"/>
        <v>30.1143595387339</v>
      </c>
      <c r="J556">
        <v>24.281571</v>
      </c>
      <c r="K556">
        <v>9.44429353438457</v>
      </c>
      <c r="L556">
        <f t="shared" si="49"/>
        <v>2.32370649313364</v>
      </c>
      <c r="O556">
        <v>25.082</v>
      </c>
      <c r="P556">
        <v>9.14290263934295</v>
      </c>
      <c r="Q556">
        <f t="shared" si="50"/>
        <v>2.40030623474807</v>
      </c>
      <c r="T556">
        <v>0.012952</v>
      </c>
      <c r="U556">
        <v>17.7055500308833</v>
      </c>
      <c r="V556">
        <f t="shared" si="51"/>
        <v>1.2394851428298</v>
      </c>
      <c r="Y556">
        <v>23132.096927</v>
      </c>
      <c r="Z556">
        <v>23.132096927</v>
      </c>
      <c r="AA556">
        <v>0.948714951271633</v>
      </c>
      <c r="AD556">
        <v>0.0334869</v>
      </c>
      <c r="AE556">
        <v>6.8481192346858</v>
      </c>
      <c r="AF556">
        <f t="shared" si="52"/>
        <v>3.2046413704005</v>
      </c>
      <c r="AI556">
        <v>10.4495</v>
      </c>
      <c r="AJ556">
        <v>21.9457662089095</v>
      </c>
    </row>
    <row r="557" spans="1:36">
      <c r="A557">
        <f t="shared" si="53"/>
        <v>556</v>
      </c>
      <c r="B557" t="s">
        <v>587</v>
      </c>
      <c r="C557">
        <v>35346376</v>
      </c>
      <c r="E557">
        <v>43.439</v>
      </c>
      <c r="F557">
        <v>0.813701420382606</v>
      </c>
      <c r="G557">
        <f t="shared" si="48"/>
        <v>14.5463860908701</v>
      </c>
      <c r="J557">
        <v>7.057068</v>
      </c>
      <c r="K557">
        <v>5.00864891765249</v>
      </c>
      <c r="L557">
        <f t="shared" si="49"/>
        <v>2.36319518859837</v>
      </c>
      <c r="O557">
        <v>16.5659</v>
      </c>
      <c r="P557">
        <v>2.13368280624657</v>
      </c>
      <c r="Q557">
        <f t="shared" si="50"/>
        <v>5.54741079082725</v>
      </c>
      <c r="T557">
        <v>0.007568</v>
      </c>
      <c r="U557">
        <v>4.67050422832981</v>
      </c>
      <c r="V557">
        <f t="shared" si="51"/>
        <v>2.53429061294471</v>
      </c>
      <c r="Y557">
        <v>2206.856843</v>
      </c>
      <c r="Z557">
        <v>2.206856843</v>
      </c>
      <c r="AA557">
        <v>5.36347206259396</v>
      </c>
      <c r="AD557">
        <v>0.00749142</v>
      </c>
      <c r="AE557">
        <v>4.71824780882663</v>
      </c>
      <c r="AF557">
        <f t="shared" si="52"/>
        <v>2.50864632447493</v>
      </c>
      <c r="AI557">
        <v>2.98624</v>
      </c>
      <c r="AJ557">
        <v>11.8364150235748</v>
      </c>
    </row>
    <row r="558" spans="1:36">
      <c r="A558">
        <f t="shared" si="53"/>
        <v>557</v>
      </c>
      <c r="B558" t="s">
        <v>588</v>
      </c>
      <c r="C558">
        <v>41569568</v>
      </c>
      <c r="E558">
        <v>60.603</v>
      </c>
      <c r="F558">
        <v>0.685932511591835</v>
      </c>
      <c r="G558">
        <f t="shared" si="48"/>
        <v>13.3885491596119</v>
      </c>
      <c r="J558">
        <v>14.62401</v>
      </c>
      <c r="K558">
        <v>2.84255604310993</v>
      </c>
      <c r="L558">
        <f t="shared" si="49"/>
        <v>3.23076872094873</v>
      </c>
      <c r="O558">
        <v>22.6431</v>
      </c>
      <c r="P558">
        <v>1.83586028414837</v>
      </c>
      <c r="Q558">
        <f t="shared" si="50"/>
        <v>5.00236386772946</v>
      </c>
      <c r="T558">
        <v>0.011513</v>
      </c>
      <c r="U558">
        <v>3.61066342395553</v>
      </c>
      <c r="V558">
        <f t="shared" si="51"/>
        <v>2.54347749244446</v>
      </c>
      <c r="Y558">
        <v>6316.992378</v>
      </c>
      <c r="Z558">
        <v>6.316992378</v>
      </c>
      <c r="AA558">
        <v>1.45379962521515</v>
      </c>
      <c r="AD558">
        <v>0.00874014</v>
      </c>
      <c r="AE558">
        <v>4.75616729251476</v>
      </c>
      <c r="AF558">
        <f t="shared" si="52"/>
        <v>1.93089111185734</v>
      </c>
      <c r="AI558">
        <v>4.52648</v>
      </c>
      <c r="AJ558">
        <v>9.18364115162334</v>
      </c>
    </row>
    <row r="559" spans="1:36">
      <c r="A559">
        <f t="shared" si="53"/>
        <v>558</v>
      </c>
      <c r="B559" t="s">
        <v>589</v>
      </c>
      <c r="C559">
        <v>210794496</v>
      </c>
      <c r="E559">
        <v>130.851</v>
      </c>
      <c r="F559">
        <v>1.61095059265883</v>
      </c>
      <c r="G559">
        <f t="shared" si="48"/>
        <v>82.6121268750945</v>
      </c>
      <c r="J559">
        <v>4.62444</v>
      </c>
      <c r="K559">
        <v>45.5827075278304</v>
      </c>
      <c r="L559">
        <f t="shared" si="49"/>
        <v>2.91961715238143</v>
      </c>
      <c r="O559">
        <v>10.1024</v>
      </c>
      <c r="P559">
        <v>20.8657839721254</v>
      </c>
      <c r="Q559">
        <f t="shared" si="50"/>
        <v>6.37809990403557</v>
      </c>
      <c r="T559">
        <v>0.004332</v>
      </c>
      <c r="U559">
        <v>48.6598559556787</v>
      </c>
      <c r="V559">
        <f t="shared" si="51"/>
        <v>2.73498661548563</v>
      </c>
      <c r="Y559">
        <v>67273.044514</v>
      </c>
      <c r="Z559">
        <v>67.273044514</v>
      </c>
      <c r="AA559">
        <v>1.97826716051991</v>
      </c>
      <c r="AD559">
        <v>0.016678</v>
      </c>
      <c r="AE559">
        <v>12.6390751888716</v>
      </c>
      <c r="AF559">
        <f t="shared" si="52"/>
        <v>10.5295722006162</v>
      </c>
      <c r="AI559">
        <v>1.58392</v>
      </c>
      <c r="AJ559">
        <v>133.08405475024</v>
      </c>
    </row>
    <row r="560" spans="1:36">
      <c r="A560">
        <f t="shared" si="53"/>
        <v>559</v>
      </c>
      <c r="B560" t="s">
        <v>590</v>
      </c>
      <c r="C560">
        <v>300282560</v>
      </c>
      <c r="E560">
        <v>350.234</v>
      </c>
      <c r="F560">
        <v>0.857376953693816</v>
      </c>
      <c r="G560">
        <f t="shared" si="48"/>
        <v>8.82971052857151</v>
      </c>
      <c r="J560">
        <v>61.445594</v>
      </c>
      <c r="K560">
        <v>4.88696650894123</v>
      </c>
      <c r="L560">
        <f t="shared" si="49"/>
        <v>1.54909805523202</v>
      </c>
      <c r="O560">
        <v>55.9018</v>
      </c>
      <c r="P560">
        <v>5.37160806986537</v>
      </c>
      <c r="Q560">
        <f t="shared" si="50"/>
        <v>1.40933407957565</v>
      </c>
      <c r="T560">
        <v>0.047983</v>
      </c>
      <c r="U560">
        <v>6.25810307817352</v>
      </c>
      <c r="V560">
        <f t="shared" si="51"/>
        <v>1.20969409107182</v>
      </c>
      <c r="Y560">
        <v>5451.328981</v>
      </c>
      <c r="Z560">
        <v>5.451328981</v>
      </c>
      <c r="AA560">
        <v>1.38872380319929</v>
      </c>
      <c r="AD560">
        <v>0.0351739</v>
      </c>
      <c r="AE560">
        <v>8.53708459966054</v>
      </c>
      <c r="AF560">
        <f t="shared" si="52"/>
        <v>0.886765291664776</v>
      </c>
      <c r="AI560">
        <v>39.6654</v>
      </c>
      <c r="AJ560">
        <v>7.57039031498485</v>
      </c>
    </row>
    <row r="561" spans="1:36">
      <c r="A561">
        <f t="shared" si="53"/>
        <v>560</v>
      </c>
      <c r="B561" t="s">
        <v>591</v>
      </c>
      <c r="C561">
        <v>66596856</v>
      </c>
      <c r="E561">
        <v>39.602</v>
      </c>
      <c r="F561">
        <v>1.68165385586587</v>
      </c>
      <c r="G561">
        <f t="shared" si="48"/>
        <v>13.0134037861834</v>
      </c>
      <c r="J561">
        <v>5.082045</v>
      </c>
      <c r="K561">
        <v>13.1043420512805</v>
      </c>
      <c r="L561">
        <f t="shared" si="49"/>
        <v>1.66998393122961</v>
      </c>
      <c r="O561">
        <v>17.4925</v>
      </c>
      <c r="P561">
        <v>3.80716627125911</v>
      </c>
      <c r="Q561">
        <f t="shared" si="50"/>
        <v>5.74811791651469</v>
      </c>
      <c r="T561">
        <v>0.009505</v>
      </c>
      <c r="U561">
        <v>7.00650773277223</v>
      </c>
      <c r="V561">
        <f t="shared" si="51"/>
        <v>3.12338778313403</v>
      </c>
      <c r="Y561">
        <v>11909.418261</v>
      </c>
      <c r="Z561">
        <v>11.909418261</v>
      </c>
      <c r="AA561">
        <v>1.8375406905171</v>
      </c>
      <c r="AD561">
        <v>0.0237283</v>
      </c>
      <c r="AE561">
        <v>2.80664253233481</v>
      </c>
      <c r="AF561">
        <f t="shared" si="52"/>
        <v>7.7972311767006</v>
      </c>
      <c r="AI561">
        <v>3.04317</v>
      </c>
      <c r="AJ561">
        <v>21.8840406549749</v>
      </c>
    </row>
    <row r="562" spans="1:36">
      <c r="A562">
        <f t="shared" si="53"/>
        <v>561</v>
      </c>
      <c r="B562" t="s">
        <v>592</v>
      </c>
      <c r="C562">
        <v>129187496</v>
      </c>
      <c r="E562">
        <v>3430.913</v>
      </c>
      <c r="F562">
        <v>0.0376539702405744</v>
      </c>
      <c r="G562">
        <f t="shared" si="48"/>
        <v>452.523764365125</v>
      </c>
      <c r="J562">
        <v>33.513298</v>
      </c>
      <c r="K562">
        <v>3.85481297603119</v>
      </c>
      <c r="L562">
        <f t="shared" si="49"/>
        <v>4.42027057149224</v>
      </c>
      <c r="O562">
        <v>42.7829</v>
      </c>
      <c r="P562">
        <v>3.01960587056978</v>
      </c>
      <c r="Q562">
        <f t="shared" si="50"/>
        <v>5.64289416795374</v>
      </c>
      <c r="T562">
        <v>0.019832</v>
      </c>
      <c r="U562">
        <v>6.51409318273497</v>
      </c>
      <c r="V562">
        <f t="shared" si="51"/>
        <v>2.61576183799739</v>
      </c>
      <c r="Y562">
        <v>6948.717913</v>
      </c>
      <c r="Z562">
        <v>6.948717913</v>
      </c>
      <c r="AA562">
        <v>2.45215255100212</v>
      </c>
      <c r="AD562">
        <v>0.0415314</v>
      </c>
      <c r="AE562">
        <v>3.11059814983362</v>
      </c>
      <c r="AF562">
        <f t="shared" si="52"/>
        <v>5.47782630085744</v>
      </c>
      <c r="AI562">
        <v>7.58173</v>
      </c>
      <c r="AJ562">
        <v>17.0393163565571</v>
      </c>
    </row>
    <row r="563" spans="1:36">
      <c r="A563">
        <f t="shared" si="53"/>
        <v>562</v>
      </c>
      <c r="B563" t="s">
        <v>593</v>
      </c>
      <c r="C563">
        <v>489768668</v>
      </c>
      <c r="E563">
        <v>109.755</v>
      </c>
      <c r="F563">
        <v>4.46238137670266</v>
      </c>
      <c r="G563">
        <f t="shared" si="48"/>
        <v>38.8220562903013</v>
      </c>
      <c r="J563">
        <v>12.89006</v>
      </c>
      <c r="K563">
        <v>37.995840826187</v>
      </c>
      <c r="L563">
        <f t="shared" si="49"/>
        <v>4.55941537884709</v>
      </c>
      <c r="O563">
        <v>10.3423</v>
      </c>
      <c r="P563">
        <v>47.355875192172</v>
      </c>
      <c r="Q563">
        <f t="shared" si="50"/>
        <v>3.65823290757763</v>
      </c>
      <c r="T563">
        <v>0.00516</v>
      </c>
      <c r="U563">
        <v>94.9164085271318</v>
      </c>
      <c r="V563">
        <f t="shared" si="51"/>
        <v>1.82517252478662</v>
      </c>
      <c r="Y563">
        <v>82306.618716</v>
      </c>
      <c r="Z563">
        <v>82.306618716</v>
      </c>
      <c r="AA563">
        <v>2.10479817659508</v>
      </c>
      <c r="AD563">
        <v>0.0101853</v>
      </c>
      <c r="AE563">
        <v>48.0858362542095</v>
      </c>
      <c r="AF563">
        <f t="shared" si="52"/>
        <v>3.60269955750177</v>
      </c>
      <c r="AI563">
        <v>2.82713</v>
      </c>
      <c r="AJ563">
        <v>173.238820995143</v>
      </c>
    </row>
    <row r="564" spans="1:36">
      <c r="A564">
        <f t="shared" si="53"/>
        <v>563</v>
      </c>
      <c r="B564" t="s">
        <v>594</v>
      </c>
      <c r="C564">
        <v>488889912</v>
      </c>
      <c r="E564">
        <v>116.127</v>
      </c>
      <c r="F564">
        <v>4.20995902761632</v>
      </c>
      <c r="G564">
        <f t="shared" si="48"/>
        <v>42.4123007249684</v>
      </c>
      <c r="J564">
        <v>12.699412</v>
      </c>
      <c r="K564">
        <v>38.497051044568</v>
      </c>
      <c r="L564">
        <f t="shared" si="49"/>
        <v>4.63812275159329</v>
      </c>
      <c r="O564">
        <v>10.8241</v>
      </c>
      <c r="P564">
        <v>45.1667955765375</v>
      </c>
      <c r="Q564">
        <f t="shared" si="50"/>
        <v>3.95321487920235</v>
      </c>
      <c r="T564">
        <v>0.005144</v>
      </c>
      <c r="U564">
        <v>95.0408071539658</v>
      </c>
      <c r="V564">
        <f t="shared" si="51"/>
        <v>1.87870930041453</v>
      </c>
      <c r="Y564">
        <v>85052.301461</v>
      </c>
      <c r="Z564">
        <v>85.052301461</v>
      </c>
      <c r="AA564">
        <v>2.09934411240986</v>
      </c>
      <c r="AD564">
        <v>0.0113689</v>
      </c>
      <c r="AE564">
        <v>43.0023935473089</v>
      </c>
      <c r="AF564">
        <f t="shared" si="52"/>
        <v>4.15218860137689</v>
      </c>
      <c r="AI564">
        <v>2.73805</v>
      </c>
      <c r="AJ564">
        <v>178.554048319059</v>
      </c>
    </row>
    <row r="565" spans="1:36">
      <c r="A565">
        <f t="shared" si="53"/>
        <v>564</v>
      </c>
      <c r="B565" t="s">
        <v>595</v>
      </c>
      <c r="C565">
        <v>492893748</v>
      </c>
      <c r="E565">
        <v>111.234</v>
      </c>
      <c r="F565">
        <v>4.43114288796591</v>
      </c>
      <c r="G565">
        <f t="shared" si="48"/>
        <v>38.8980392568268</v>
      </c>
      <c r="J565">
        <v>12.824394</v>
      </c>
      <c r="K565">
        <v>38.4340771189656</v>
      </c>
      <c r="L565">
        <f t="shared" si="49"/>
        <v>4.48463402608029</v>
      </c>
      <c r="O565">
        <v>11.9328</v>
      </c>
      <c r="P565">
        <v>41.3057914320193</v>
      </c>
      <c r="Q565">
        <f t="shared" si="50"/>
        <v>4.17284753621971</v>
      </c>
      <c r="T565">
        <v>0.005245</v>
      </c>
      <c r="U565">
        <v>93.9740224976168</v>
      </c>
      <c r="V565">
        <f t="shared" si="51"/>
        <v>1.83415336949185</v>
      </c>
      <c r="Y565">
        <v>83838.139803</v>
      </c>
      <c r="Z565">
        <v>83.838139803</v>
      </c>
      <c r="AA565">
        <v>2.05589926510439</v>
      </c>
      <c r="AD565">
        <v>0.0305053</v>
      </c>
      <c r="AE565">
        <v>16.1576430325222</v>
      </c>
      <c r="AF565">
        <f t="shared" si="52"/>
        <v>10.6675688812888</v>
      </c>
      <c r="AI565">
        <v>2.85963</v>
      </c>
      <c r="AJ565">
        <v>172.362770008707</v>
      </c>
    </row>
    <row r="566" spans="1:36">
      <c r="A566">
        <f t="shared" si="53"/>
        <v>565</v>
      </c>
      <c r="B566" t="s">
        <v>596</v>
      </c>
      <c r="C566">
        <v>492894708</v>
      </c>
      <c r="E566">
        <v>108.288</v>
      </c>
      <c r="F566">
        <v>4.55170201684397</v>
      </c>
      <c r="G566">
        <f t="shared" si="48"/>
        <v>38.4796884327828</v>
      </c>
      <c r="J566">
        <v>11.833561</v>
      </c>
      <c r="K566">
        <v>41.6522725492352</v>
      </c>
      <c r="L566">
        <f t="shared" si="49"/>
        <v>4.20500646729397</v>
      </c>
      <c r="O566">
        <v>12.4485</v>
      </c>
      <c r="P566">
        <v>39.5947068321485</v>
      </c>
      <c r="Q566">
        <f t="shared" si="50"/>
        <v>4.42352247206981</v>
      </c>
      <c r="T566">
        <v>0.005269</v>
      </c>
      <c r="U566">
        <v>93.5461582843044</v>
      </c>
      <c r="V566">
        <f t="shared" si="51"/>
        <v>1.87231713903971</v>
      </c>
      <c r="Y566">
        <v>84805.763429</v>
      </c>
      <c r="Z566">
        <v>84.805763429</v>
      </c>
      <c r="AA566">
        <v>2.06528505098194</v>
      </c>
      <c r="AD566">
        <v>0.0140678</v>
      </c>
      <c r="AE566">
        <v>35.0370852585337</v>
      </c>
      <c r="AF566">
        <f t="shared" si="52"/>
        <v>4.99893396253233</v>
      </c>
      <c r="AI566">
        <v>2.81416</v>
      </c>
      <c r="AJ566">
        <v>175.148075447025</v>
      </c>
    </row>
    <row r="567" spans="1:36">
      <c r="A567">
        <f t="shared" si="53"/>
        <v>566</v>
      </c>
      <c r="B567" t="s">
        <v>597</v>
      </c>
      <c r="C567">
        <v>66596856</v>
      </c>
      <c r="E567">
        <v>45.201</v>
      </c>
      <c r="F567">
        <v>1.47334917369085</v>
      </c>
      <c r="G567">
        <f t="shared" si="48"/>
        <v>13.3823812413956</v>
      </c>
      <c r="J567">
        <v>4.346456</v>
      </c>
      <c r="K567">
        <v>15.3221051817849</v>
      </c>
      <c r="L567">
        <f t="shared" si="49"/>
        <v>1.28682841620653</v>
      </c>
      <c r="O567">
        <v>19.5257</v>
      </c>
      <c r="P567">
        <v>3.41072821973092</v>
      </c>
      <c r="Q567">
        <f t="shared" si="50"/>
        <v>5.78085355202582</v>
      </c>
      <c r="T567">
        <v>0.010201</v>
      </c>
      <c r="U567">
        <v>6.52846348397216</v>
      </c>
      <c r="V567">
        <f t="shared" si="51"/>
        <v>3.02014714372419</v>
      </c>
      <c r="Y567">
        <v>11909.027926</v>
      </c>
      <c r="Z567">
        <v>11.909027926</v>
      </c>
      <c r="AA567">
        <v>1.6556280215768</v>
      </c>
      <c r="AD567">
        <v>0.0223459</v>
      </c>
      <c r="AE567">
        <v>2.98027181720137</v>
      </c>
      <c r="AF567">
        <f t="shared" si="52"/>
        <v>6.61581276923305</v>
      </c>
      <c r="AI567">
        <v>3.37765</v>
      </c>
      <c r="AJ567">
        <v>19.7169203440262</v>
      </c>
    </row>
    <row r="568" spans="1:36">
      <c r="A568">
        <f t="shared" si="53"/>
        <v>567</v>
      </c>
      <c r="B568" t="s">
        <v>598</v>
      </c>
      <c r="C568">
        <v>108416900</v>
      </c>
      <c r="E568">
        <v>153.885</v>
      </c>
      <c r="F568">
        <v>0.704531955681191</v>
      </c>
      <c r="G568">
        <f t="shared" si="48"/>
        <v>5.7016195067007</v>
      </c>
      <c r="J568">
        <v>21.427866</v>
      </c>
      <c r="K568">
        <v>5.05962189608615</v>
      </c>
      <c r="L568">
        <f t="shared" si="49"/>
        <v>0.793927535319029</v>
      </c>
      <c r="O568">
        <v>34.0474</v>
      </c>
      <c r="P568">
        <v>3.18429307377362</v>
      </c>
      <c r="Q568">
        <f t="shared" si="50"/>
        <v>1.26149605219769</v>
      </c>
      <c r="T568">
        <v>0.019264</v>
      </c>
      <c r="U568">
        <v>5.62795369601329</v>
      </c>
      <c r="V568">
        <f t="shared" si="51"/>
        <v>0.71375376532529</v>
      </c>
      <c r="Y568">
        <v>3906.746913</v>
      </c>
      <c r="Z568">
        <v>3.906746913</v>
      </c>
      <c r="AA568">
        <v>1.02821432538644</v>
      </c>
      <c r="AD568">
        <v>0.0141506</v>
      </c>
      <c r="AE568">
        <v>7.66164685596371</v>
      </c>
      <c r="AF568">
        <f t="shared" si="52"/>
        <v>0.524296305627702</v>
      </c>
      <c r="AI568">
        <v>26.9897</v>
      </c>
      <c r="AJ568">
        <v>4.01697314160587</v>
      </c>
    </row>
    <row r="569" spans="1:36">
      <c r="A569">
        <f t="shared" si="53"/>
        <v>568</v>
      </c>
      <c r="B569" t="s">
        <v>599</v>
      </c>
      <c r="C569">
        <v>19815620</v>
      </c>
      <c r="E569">
        <v>40.828</v>
      </c>
      <c r="F569">
        <v>0.485343881649848</v>
      </c>
      <c r="G569">
        <f t="shared" si="48"/>
        <v>11.0661780649638</v>
      </c>
      <c r="J569">
        <v>16.334968</v>
      </c>
      <c r="K569">
        <v>1.21307981748112</v>
      </c>
      <c r="L569">
        <f t="shared" si="49"/>
        <v>4.42749251918992</v>
      </c>
      <c r="O569">
        <v>15.0719</v>
      </c>
      <c r="P569">
        <v>1.31473934938528</v>
      </c>
      <c r="Q569">
        <f t="shared" si="50"/>
        <v>4.08514571317056</v>
      </c>
      <c r="T569">
        <v>0.011188</v>
      </c>
      <c r="U569">
        <v>1.77114944583482</v>
      </c>
      <c r="V569">
        <f t="shared" si="51"/>
        <v>3.03243852725617</v>
      </c>
      <c r="Y569">
        <v>3206.495891</v>
      </c>
      <c r="Z569">
        <v>3.206495891</v>
      </c>
      <c r="AA569">
        <v>1.67500661147048</v>
      </c>
      <c r="AD569">
        <v>0.00712921</v>
      </c>
      <c r="AE569">
        <v>2.77949730755582</v>
      </c>
      <c r="AF569">
        <f t="shared" si="52"/>
        <v>1.93232848345548</v>
      </c>
      <c r="AI569">
        <v>3.68944</v>
      </c>
      <c r="AJ569">
        <v>5.37090181707793</v>
      </c>
    </row>
    <row r="570" spans="1:36">
      <c r="A570">
        <f t="shared" si="53"/>
        <v>569</v>
      </c>
      <c r="B570" t="s">
        <v>600</v>
      </c>
      <c r="C570">
        <v>19712276</v>
      </c>
      <c r="E570">
        <v>44.576</v>
      </c>
      <c r="F570">
        <v>0.442217246949031</v>
      </c>
      <c r="G570">
        <f t="shared" si="48"/>
        <v>10.3909182032215</v>
      </c>
      <c r="J570">
        <v>12.058836</v>
      </c>
      <c r="K570">
        <v>1.63467485584844</v>
      </c>
      <c r="L570">
        <f t="shared" si="49"/>
        <v>2.81098300659689</v>
      </c>
      <c r="O570">
        <v>9.3225</v>
      </c>
      <c r="P570">
        <v>2.11448388307857</v>
      </c>
      <c r="Q570">
        <f t="shared" si="50"/>
        <v>2.17312757873144</v>
      </c>
      <c r="T570">
        <v>0.013267</v>
      </c>
      <c r="U570">
        <v>1.48581261777342</v>
      </c>
      <c r="V570">
        <f t="shared" si="51"/>
        <v>3.09261288141915</v>
      </c>
      <c r="Y570">
        <v>2942.28527</v>
      </c>
      <c r="Z570">
        <v>2.94228527</v>
      </c>
      <c r="AA570">
        <v>1.56172594409963</v>
      </c>
      <c r="AD570">
        <v>0.00722302</v>
      </c>
      <c r="AE570">
        <v>2.72909060199196</v>
      </c>
      <c r="AF570">
        <f t="shared" si="52"/>
        <v>1.68372689340078</v>
      </c>
      <c r="AI570">
        <v>4.2899</v>
      </c>
      <c r="AJ570">
        <v>4.59504324110119</v>
      </c>
    </row>
    <row r="571" spans="1:36">
      <c r="A571">
        <f t="shared" si="53"/>
        <v>570</v>
      </c>
      <c r="B571" t="s">
        <v>601</v>
      </c>
      <c r="C571">
        <v>161885088</v>
      </c>
      <c r="E571">
        <v>60.513</v>
      </c>
      <c r="F571">
        <v>2.6752117396262</v>
      </c>
      <c r="G571">
        <f t="shared" si="48"/>
        <v>31.0624143400526</v>
      </c>
      <c r="J571">
        <v>6.705847</v>
      </c>
      <c r="K571">
        <v>24.140886005899</v>
      </c>
      <c r="L571">
        <f t="shared" si="49"/>
        <v>3.44223221481334</v>
      </c>
      <c r="O571">
        <v>13.7039</v>
      </c>
      <c r="P571">
        <v>11.8130669371493</v>
      </c>
      <c r="Q571">
        <f t="shared" si="50"/>
        <v>7.03445903978727</v>
      </c>
      <c r="T571">
        <v>0.007283</v>
      </c>
      <c r="U571">
        <v>22.2278028285047</v>
      </c>
      <c r="V571">
        <f t="shared" si="51"/>
        <v>3.73849525950794</v>
      </c>
      <c r="Y571">
        <v>49790.21808</v>
      </c>
      <c r="Z571">
        <v>49.79021808</v>
      </c>
      <c r="AA571">
        <v>1.66897311777434</v>
      </c>
      <c r="AD571">
        <v>0.0134874</v>
      </c>
      <c r="AE571">
        <v>12.0026905111437</v>
      </c>
      <c r="AF571">
        <f t="shared" si="52"/>
        <v>6.92332568489461</v>
      </c>
      <c r="AI571">
        <v>1.94811</v>
      </c>
      <c r="AJ571">
        <v>83.098535503642</v>
      </c>
    </row>
    <row r="572" spans="1:36">
      <c r="A572">
        <f t="shared" si="53"/>
        <v>571</v>
      </c>
      <c r="B572" t="s">
        <v>602</v>
      </c>
      <c r="C572">
        <v>54377724</v>
      </c>
      <c r="E572">
        <v>109.794</v>
      </c>
      <c r="F572">
        <v>0.495270451937264</v>
      </c>
      <c r="G572">
        <f t="shared" si="48"/>
        <v>10.6082184368931</v>
      </c>
      <c r="J572">
        <v>21.350293</v>
      </c>
      <c r="K572">
        <v>2.54693104211731</v>
      </c>
      <c r="L572">
        <f t="shared" si="49"/>
        <v>2.06285017246544</v>
      </c>
      <c r="O572">
        <v>33.229</v>
      </c>
      <c r="P572">
        <v>1.63645382045803</v>
      </c>
      <c r="Q572">
        <f t="shared" si="50"/>
        <v>3.21056242089296</v>
      </c>
      <c r="T572">
        <v>0.01744</v>
      </c>
      <c r="U572">
        <v>3.11798876146789</v>
      </c>
      <c r="V572">
        <f t="shared" si="51"/>
        <v>1.68504043517329</v>
      </c>
      <c r="Y572">
        <v>3929.003575</v>
      </c>
      <c r="Z572">
        <v>3.929003575</v>
      </c>
      <c r="AA572">
        <v>1.33721872204946</v>
      </c>
      <c r="AD572">
        <v>0.0159833</v>
      </c>
      <c r="AE572">
        <v>3.40215875319865</v>
      </c>
      <c r="AF572">
        <f t="shared" si="52"/>
        <v>1.54429511396245</v>
      </c>
      <c r="AI572">
        <v>10.3499</v>
      </c>
      <c r="AJ572">
        <v>5.25393713948927</v>
      </c>
    </row>
    <row r="573" spans="1:36">
      <c r="A573">
        <f t="shared" si="53"/>
        <v>572</v>
      </c>
      <c r="B573" t="s">
        <v>603</v>
      </c>
      <c r="C573">
        <v>74735032</v>
      </c>
      <c r="E573">
        <v>127.181</v>
      </c>
      <c r="F573">
        <v>0.587627334271629</v>
      </c>
      <c r="G573">
        <f t="shared" si="48"/>
        <v>13.599409748769</v>
      </c>
      <c r="J573">
        <v>35.76859</v>
      </c>
      <c r="K573">
        <v>2.08940391555832</v>
      </c>
      <c r="L573">
        <f t="shared" si="49"/>
        <v>3.82471997818636</v>
      </c>
      <c r="O573">
        <v>34.8117</v>
      </c>
      <c r="P573">
        <v>2.1468366095307</v>
      </c>
      <c r="Q573">
        <f t="shared" si="50"/>
        <v>3.72240014114704</v>
      </c>
      <c r="T573">
        <v>0.02166</v>
      </c>
      <c r="U573">
        <v>3.45037082179132</v>
      </c>
      <c r="V573">
        <f t="shared" si="51"/>
        <v>2.31609450435471</v>
      </c>
      <c r="Y573">
        <v>6125.58393</v>
      </c>
      <c r="Z573">
        <v>6.12558393</v>
      </c>
      <c r="AA573">
        <v>1.30459152787034</v>
      </c>
      <c r="AD573">
        <v>0.0405996</v>
      </c>
      <c r="AE573">
        <v>1.84078247076326</v>
      </c>
      <c r="AF573">
        <f t="shared" si="52"/>
        <v>4.34129780420126</v>
      </c>
      <c r="AI573">
        <v>9.35195</v>
      </c>
      <c r="AJ573">
        <v>7.99138489833671</v>
      </c>
    </row>
    <row r="574" spans="1:36">
      <c r="A574">
        <f t="shared" si="53"/>
        <v>573</v>
      </c>
      <c r="B574" t="s">
        <v>604</v>
      </c>
      <c r="C574">
        <v>180268052</v>
      </c>
      <c r="E574">
        <v>158.439</v>
      </c>
      <c r="F574">
        <v>1.1377757496576</v>
      </c>
      <c r="G574">
        <f t="shared" si="48"/>
        <v>19.6994337806888</v>
      </c>
      <c r="J574">
        <v>15.1492</v>
      </c>
      <c r="K574">
        <v>11.8995096770787</v>
      </c>
      <c r="L574">
        <f t="shared" si="49"/>
        <v>1.88356820120306</v>
      </c>
      <c r="O574">
        <v>33.1409</v>
      </c>
      <c r="P574">
        <v>5.43944346713578</v>
      </c>
      <c r="Q574">
        <f t="shared" si="50"/>
        <v>4.12055721749337</v>
      </c>
      <c r="T574">
        <v>0.019492</v>
      </c>
      <c r="U574">
        <v>9.2483096655038</v>
      </c>
      <c r="V574">
        <f t="shared" si="51"/>
        <v>2.4235280660266</v>
      </c>
      <c r="Y574">
        <v>16665.435477</v>
      </c>
      <c r="Z574">
        <v>16.665435477</v>
      </c>
      <c r="AA574">
        <v>1.3449116327375</v>
      </c>
      <c r="AD574">
        <v>0.0395195</v>
      </c>
      <c r="AE574">
        <v>4.56149627399132</v>
      </c>
      <c r="AF574">
        <f t="shared" si="52"/>
        <v>4.91363725658414</v>
      </c>
      <c r="AI574">
        <v>8.04282</v>
      </c>
      <c r="AJ574">
        <v>22.4135380376535</v>
      </c>
    </row>
    <row r="575" spans="1:36">
      <c r="A575">
        <f t="shared" si="53"/>
        <v>574</v>
      </c>
      <c r="B575" t="s">
        <v>605</v>
      </c>
      <c r="C575">
        <v>32260732</v>
      </c>
      <c r="E575">
        <v>41.466</v>
      </c>
      <c r="F575">
        <v>0.778004437370376</v>
      </c>
      <c r="G575">
        <f t="shared" si="48"/>
        <v>11.4046668206872</v>
      </c>
      <c r="J575">
        <v>5.891582</v>
      </c>
      <c r="K575">
        <v>5.47573334292894</v>
      </c>
      <c r="L575">
        <f t="shared" si="49"/>
        <v>1.62040056327492</v>
      </c>
      <c r="O575">
        <v>19.5855</v>
      </c>
      <c r="P575">
        <v>1.64717428710015</v>
      </c>
      <c r="Q575">
        <f t="shared" si="50"/>
        <v>5.38672893494835</v>
      </c>
      <c r="T575">
        <v>0.012736</v>
      </c>
      <c r="U575">
        <v>2.53303486180904</v>
      </c>
      <c r="V575">
        <f t="shared" si="51"/>
        <v>3.5028658811622</v>
      </c>
      <c r="Y575">
        <v>5126.980494</v>
      </c>
      <c r="Z575">
        <v>5.126980494</v>
      </c>
      <c r="AA575">
        <v>1.73062515131646</v>
      </c>
      <c r="AD575">
        <v>0.00891014</v>
      </c>
      <c r="AE575">
        <v>3.62067621833103</v>
      </c>
      <c r="AF575">
        <f t="shared" si="52"/>
        <v>2.45061443171942</v>
      </c>
      <c r="AI575">
        <v>3.63588</v>
      </c>
      <c r="AJ575">
        <v>8.8728813932253</v>
      </c>
    </row>
    <row r="576" spans="1:36">
      <c r="A576">
        <f t="shared" si="53"/>
        <v>575</v>
      </c>
      <c r="B576" t="s">
        <v>606</v>
      </c>
      <c r="C576">
        <v>230709890</v>
      </c>
      <c r="E576">
        <v>541.95</v>
      </c>
      <c r="F576">
        <v>0.42570327520989</v>
      </c>
      <c r="G576">
        <f t="shared" si="48"/>
        <v>64.7443854151608</v>
      </c>
      <c r="J576">
        <v>24.195658</v>
      </c>
      <c r="K576">
        <v>9.53517734462936</v>
      </c>
      <c r="L576">
        <f t="shared" si="49"/>
        <v>2.89054895640819</v>
      </c>
      <c r="O576">
        <v>27.7222</v>
      </c>
      <c r="P576">
        <v>8.32220711198967</v>
      </c>
      <c r="Q576">
        <f t="shared" si="50"/>
        <v>3.31184943510687</v>
      </c>
      <c r="T576">
        <v>0.014114</v>
      </c>
      <c r="U576">
        <v>16.3461733031033</v>
      </c>
      <c r="V576">
        <f t="shared" si="51"/>
        <v>1.68613756942445</v>
      </c>
      <c r="Y576">
        <v>20431.013375</v>
      </c>
      <c r="Z576">
        <v>20.431013375</v>
      </c>
      <c r="AA576">
        <v>1.34902250890849</v>
      </c>
      <c r="AD576">
        <v>0.0260558</v>
      </c>
      <c r="AE576">
        <v>8.85445428656959</v>
      </c>
      <c r="AF576">
        <f t="shared" si="52"/>
        <v>3.11277194851988</v>
      </c>
      <c r="AI576">
        <v>8.37061</v>
      </c>
      <c r="AJ576">
        <v>27.5618969226854</v>
      </c>
    </row>
    <row r="577" spans="1:36">
      <c r="A577">
        <f t="shared" si="53"/>
        <v>576</v>
      </c>
      <c r="B577" t="s">
        <v>607</v>
      </c>
      <c r="C577">
        <v>54901212</v>
      </c>
      <c r="E577">
        <v>66.102</v>
      </c>
      <c r="F577">
        <v>0.830552963601706</v>
      </c>
      <c r="G577">
        <f t="shared" si="48"/>
        <v>14.2219372661573</v>
      </c>
      <c r="J577">
        <v>11.964061</v>
      </c>
      <c r="K577">
        <v>4.58884420599327</v>
      </c>
      <c r="L577">
        <f t="shared" si="49"/>
        <v>2.57408436946657</v>
      </c>
      <c r="O577">
        <v>23.1461</v>
      </c>
      <c r="P577">
        <v>2.37194222784832</v>
      </c>
      <c r="Q577">
        <f t="shared" si="50"/>
        <v>4.97991561762433</v>
      </c>
      <c r="T577">
        <v>0.014181</v>
      </c>
      <c r="U577">
        <v>3.87146266130738</v>
      </c>
      <c r="V577">
        <f t="shared" si="51"/>
        <v>3.05106187969164</v>
      </c>
      <c r="Y577">
        <v>7766.422801</v>
      </c>
      <c r="Z577">
        <v>7.766422801</v>
      </c>
      <c r="AA577">
        <v>1.52091541334108</v>
      </c>
      <c r="AD577">
        <v>0.0126468</v>
      </c>
      <c r="AE577">
        <v>4.34111490653762</v>
      </c>
      <c r="AF577">
        <f t="shared" si="52"/>
        <v>2.72097661519528</v>
      </c>
      <c r="AI577">
        <v>4.64789</v>
      </c>
      <c r="AJ577">
        <v>11.8120721445645</v>
      </c>
    </row>
    <row r="578" spans="1:36">
      <c r="A578">
        <f t="shared" si="53"/>
        <v>577</v>
      </c>
      <c r="B578" t="s">
        <v>608</v>
      </c>
      <c r="C578">
        <v>21803520</v>
      </c>
      <c r="E578">
        <v>50.127</v>
      </c>
      <c r="F578">
        <v>0.434965587407984</v>
      </c>
      <c r="G578">
        <f t="shared" si="48"/>
        <v>11.1418588213328</v>
      </c>
      <c r="J578">
        <v>15.661574</v>
      </c>
      <c r="K578">
        <v>1.39216658555519</v>
      </c>
      <c r="L578">
        <f t="shared" si="49"/>
        <v>3.48113883591393</v>
      </c>
      <c r="O578">
        <v>22.1183</v>
      </c>
      <c r="P578">
        <v>0.985768345668519</v>
      </c>
      <c r="Q578">
        <f t="shared" si="50"/>
        <v>4.9162921373289</v>
      </c>
      <c r="T578">
        <v>0.013868</v>
      </c>
      <c r="U578">
        <v>1.57221805595616</v>
      </c>
      <c r="V578">
        <f t="shared" si="51"/>
        <v>3.08247647244486</v>
      </c>
      <c r="Y578">
        <v>2682.101835</v>
      </c>
      <c r="Z578">
        <v>2.682101835</v>
      </c>
      <c r="AA578">
        <v>1.80691318420348</v>
      </c>
      <c r="AD578">
        <v>0.00772044</v>
      </c>
      <c r="AE578">
        <v>2.82412919470911</v>
      </c>
      <c r="AF578">
        <f t="shared" si="52"/>
        <v>1.716042302922</v>
      </c>
      <c r="AI578">
        <v>4.49898</v>
      </c>
      <c r="AJ578">
        <v>4.84632516703786</v>
      </c>
    </row>
    <row r="579" spans="1:36">
      <c r="A579">
        <f t="shared" si="53"/>
        <v>578</v>
      </c>
      <c r="B579" t="s">
        <v>609</v>
      </c>
      <c r="C579">
        <v>85714394</v>
      </c>
      <c r="E579">
        <v>49.134</v>
      </c>
      <c r="F579">
        <v>1.74450266617821</v>
      </c>
      <c r="G579">
        <f t="shared" ref="G579:G611" si="54">AJ579/F579</f>
        <v>11.1952133137685</v>
      </c>
      <c r="J579">
        <v>5.059583</v>
      </c>
      <c r="K579">
        <v>16.9409996831755</v>
      </c>
      <c r="L579">
        <f t="shared" ref="L579:L611" si="55">AJ579/K579</f>
        <v>1.15282922138879</v>
      </c>
      <c r="O579">
        <v>18.5844</v>
      </c>
      <c r="P579">
        <v>4.61216902348206</v>
      </c>
      <c r="Q579">
        <f t="shared" ref="Q579:Q611" si="56">AJ579/P579</f>
        <v>4.23446742191559</v>
      </c>
      <c r="T579">
        <v>0.010103</v>
      </c>
      <c r="U579">
        <v>8.48405364743146</v>
      </c>
      <c r="V579">
        <f t="shared" ref="V579:V611" si="57">AJ579/U579</f>
        <v>2.30197500934187</v>
      </c>
      <c r="Y579">
        <v>13680.35171</v>
      </c>
      <c r="Z579">
        <v>13.68035171</v>
      </c>
      <c r="AA579">
        <v>1.42760068515103</v>
      </c>
      <c r="AD579">
        <v>0.00826084</v>
      </c>
      <c r="AE579">
        <v>10.3759900930172</v>
      </c>
      <c r="AF579">
        <f t="shared" ref="AF579:AF611" si="58">AJ579/AE579</f>
        <v>1.88223767555891</v>
      </c>
      <c r="AI579">
        <v>4.38884</v>
      </c>
      <c r="AJ579">
        <v>19.530079474303</v>
      </c>
    </row>
    <row r="580" spans="1:36">
      <c r="A580">
        <f t="shared" ref="A580:A611" si="59">A579+1</f>
        <v>579</v>
      </c>
      <c r="B580" t="s">
        <v>610</v>
      </c>
      <c r="C580">
        <v>85714394</v>
      </c>
      <c r="E580">
        <v>48.826</v>
      </c>
      <c r="F580">
        <v>1.75550718879286</v>
      </c>
      <c r="G580">
        <f t="shared" si="54"/>
        <v>10.9890752935986</v>
      </c>
      <c r="J580">
        <v>5.451871</v>
      </c>
      <c r="K580">
        <v>15.7220143323274</v>
      </c>
      <c r="L580">
        <f t="shared" si="55"/>
        <v>1.22703110863038</v>
      </c>
      <c r="O580">
        <v>19.4746</v>
      </c>
      <c r="P580">
        <v>4.40134298008688</v>
      </c>
      <c r="Q580">
        <f t="shared" si="56"/>
        <v>4.38307143146513</v>
      </c>
      <c r="T580">
        <v>0.009964</v>
      </c>
      <c r="U580">
        <v>8.60240806904857</v>
      </c>
      <c r="V580">
        <f t="shared" si="57"/>
        <v>2.24255819082901</v>
      </c>
      <c r="Y580">
        <v>13085.167073</v>
      </c>
      <c r="Z580">
        <v>13.085167073</v>
      </c>
      <c r="AA580">
        <v>1.47429532756249</v>
      </c>
      <c r="AD580">
        <v>0.00775917</v>
      </c>
      <c r="AE580">
        <v>11.0468508874016</v>
      </c>
      <c r="AF580">
        <f t="shared" si="58"/>
        <v>1.74632579662131</v>
      </c>
      <c r="AI580">
        <v>4.44314</v>
      </c>
      <c r="AJ580">
        <v>19.2914006760984</v>
      </c>
    </row>
    <row r="581" spans="1:36">
      <c r="A581">
        <f t="shared" si="59"/>
        <v>580</v>
      </c>
      <c r="B581" t="s">
        <v>611</v>
      </c>
      <c r="C581">
        <v>355061442</v>
      </c>
      <c r="E581">
        <v>143.758</v>
      </c>
      <c r="F581">
        <v>2.46985518718958</v>
      </c>
      <c r="G581">
        <f t="shared" si="54"/>
        <v>15.8663307054634</v>
      </c>
      <c r="J581">
        <v>30.147869</v>
      </c>
      <c r="K581">
        <v>11.7773313264695</v>
      </c>
      <c r="L581">
        <f t="shared" si="55"/>
        <v>3.32737002197435</v>
      </c>
      <c r="O581">
        <v>33.2182</v>
      </c>
      <c r="P581">
        <v>10.6887622447935</v>
      </c>
      <c r="Q581">
        <f t="shared" si="56"/>
        <v>3.66623733385428</v>
      </c>
      <c r="T581">
        <v>0.015664</v>
      </c>
      <c r="U581">
        <v>22.6673545709908</v>
      </c>
      <c r="V581">
        <f t="shared" si="57"/>
        <v>1.72880955613168</v>
      </c>
      <c r="Y581">
        <v>32710.992983</v>
      </c>
      <c r="Z581">
        <v>32.710992983</v>
      </c>
      <c r="AA581">
        <v>1.19799295652443</v>
      </c>
      <c r="AD581">
        <v>0.0426767</v>
      </c>
      <c r="AE581">
        <v>8.31979609482458</v>
      </c>
      <c r="AF581">
        <f t="shared" si="58"/>
        <v>4.71015620430061</v>
      </c>
      <c r="AI581">
        <v>9.06057</v>
      </c>
      <c r="AJ581">
        <v>39.187539194554</v>
      </c>
    </row>
    <row r="582" spans="1:36">
      <c r="A582">
        <f t="shared" si="59"/>
        <v>581</v>
      </c>
      <c r="B582" t="s">
        <v>612</v>
      </c>
      <c r="C582">
        <v>138494868</v>
      </c>
      <c r="E582">
        <v>202.529</v>
      </c>
      <c r="F582">
        <v>0.683827343244671</v>
      </c>
      <c r="G582">
        <f t="shared" si="54"/>
        <v>32.3419741908079</v>
      </c>
      <c r="J582">
        <v>16.375002</v>
      </c>
      <c r="K582">
        <v>8.45770082959379</v>
      </c>
      <c r="L582">
        <f t="shared" si="55"/>
        <v>2.61493362460896</v>
      </c>
      <c r="O582">
        <v>33.3319</v>
      </c>
      <c r="P582">
        <v>4.15502470606236</v>
      </c>
      <c r="Q582">
        <f t="shared" si="56"/>
        <v>5.32279056100899</v>
      </c>
      <c r="T582">
        <v>0.017658</v>
      </c>
      <c r="U582">
        <v>7.84317974855589</v>
      </c>
      <c r="V582">
        <f t="shared" si="57"/>
        <v>2.81981632389083</v>
      </c>
      <c r="Y582">
        <v>22072.461024</v>
      </c>
      <c r="Z582">
        <v>22.072461024</v>
      </c>
      <c r="AA582">
        <v>1.00198732991941</v>
      </c>
      <c r="AD582">
        <v>0.0331856</v>
      </c>
      <c r="AE582">
        <v>4.17334229304277</v>
      </c>
      <c r="AF582">
        <f t="shared" si="58"/>
        <v>5.29942782863923</v>
      </c>
      <c r="AI582">
        <v>6.26211</v>
      </c>
      <c r="AJ582">
        <v>22.1163262861879</v>
      </c>
    </row>
    <row r="583" spans="1:36">
      <c r="A583">
        <f t="shared" si="59"/>
        <v>582</v>
      </c>
      <c r="B583" t="s">
        <v>613</v>
      </c>
      <c r="C583">
        <v>33005036</v>
      </c>
      <c r="E583">
        <v>51.684</v>
      </c>
      <c r="F583">
        <v>0.638592910765421</v>
      </c>
      <c r="G583">
        <f t="shared" si="54"/>
        <v>14.2314692689589</v>
      </c>
      <c r="J583">
        <v>10.263146</v>
      </c>
      <c r="K583">
        <v>3.21587902968544</v>
      </c>
      <c r="L583">
        <f t="shared" si="55"/>
        <v>2.82601282605523</v>
      </c>
      <c r="O583">
        <v>20.8388</v>
      </c>
      <c r="P583">
        <v>1.58382613202296</v>
      </c>
      <c r="Q583">
        <f t="shared" si="56"/>
        <v>5.73807642214187</v>
      </c>
      <c r="T583">
        <v>0.011156</v>
      </c>
      <c r="U583">
        <v>2.95850089637863</v>
      </c>
      <c r="V583">
        <f t="shared" si="57"/>
        <v>3.07186500976135</v>
      </c>
      <c r="Y583">
        <v>5094.158288</v>
      </c>
      <c r="Z583">
        <v>5.094158288</v>
      </c>
      <c r="AA583">
        <v>1.78402689338127</v>
      </c>
      <c r="AD583">
        <v>0.00999256</v>
      </c>
      <c r="AE583">
        <v>3.30296100298622</v>
      </c>
      <c r="AF583">
        <f t="shared" si="58"/>
        <v>2.75150550573152</v>
      </c>
      <c r="AI583">
        <v>3.63167</v>
      </c>
      <c r="AJ583">
        <v>9.0881153849331</v>
      </c>
    </row>
    <row r="584" spans="1:36">
      <c r="A584">
        <f t="shared" si="59"/>
        <v>583</v>
      </c>
      <c r="B584" t="s">
        <v>614</v>
      </c>
      <c r="C584">
        <v>40588948</v>
      </c>
      <c r="E584">
        <v>74.961</v>
      </c>
      <c r="F584">
        <v>0.541467536452289</v>
      </c>
      <c r="G584">
        <f t="shared" si="54"/>
        <v>8.99139615471807</v>
      </c>
      <c r="J584">
        <v>38.967823</v>
      </c>
      <c r="K584">
        <v>1.04160163117144</v>
      </c>
      <c r="L584">
        <f t="shared" si="55"/>
        <v>4.67409898320374</v>
      </c>
      <c r="O584">
        <v>37.3249</v>
      </c>
      <c r="P584">
        <v>1.08744961138543</v>
      </c>
      <c r="Q584">
        <f t="shared" si="56"/>
        <v>4.4770342222654</v>
      </c>
      <c r="T584">
        <v>0.023528</v>
      </c>
      <c r="U584">
        <v>1.72513379802788</v>
      </c>
      <c r="V584">
        <f t="shared" si="57"/>
        <v>2.82212842315614</v>
      </c>
      <c r="Y584">
        <v>4298.127598</v>
      </c>
      <c r="Z584">
        <v>4.298127598</v>
      </c>
      <c r="AA584">
        <v>1.13271395838207</v>
      </c>
      <c r="AD584">
        <v>0.0301245</v>
      </c>
      <c r="AE584">
        <v>1.34737333399724</v>
      </c>
      <c r="AF584">
        <f t="shared" si="58"/>
        <v>3.61336312833081</v>
      </c>
      <c r="AI584">
        <v>8.33697</v>
      </c>
      <c r="AJ584">
        <v>4.86854912516178</v>
      </c>
    </row>
    <row r="585" spans="1:36">
      <c r="A585">
        <f t="shared" si="59"/>
        <v>584</v>
      </c>
      <c r="B585" t="s">
        <v>615</v>
      </c>
      <c r="C585">
        <v>88370774</v>
      </c>
      <c r="E585">
        <v>98.938</v>
      </c>
      <c r="F585">
        <v>0.893193454486648</v>
      </c>
      <c r="G585">
        <f t="shared" si="54"/>
        <v>21.401300889684</v>
      </c>
      <c r="J585">
        <v>6.270907</v>
      </c>
      <c r="K585">
        <v>14.0921837941465</v>
      </c>
      <c r="L585">
        <f t="shared" si="55"/>
        <v>1.35646129453017</v>
      </c>
      <c r="O585">
        <v>19.9265</v>
      </c>
      <c r="P585">
        <v>4.43483672496424</v>
      </c>
      <c r="Q585">
        <f t="shared" si="56"/>
        <v>4.31030566797679</v>
      </c>
      <c r="T585">
        <v>0.011481</v>
      </c>
      <c r="U585">
        <v>7.69713213134744</v>
      </c>
      <c r="V585">
        <f t="shared" si="57"/>
        <v>2.48345767566013</v>
      </c>
      <c r="Y585">
        <v>12056.549253</v>
      </c>
      <c r="Z585">
        <v>12.056549253</v>
      </c>
      <c r="AA585">
        <v>1.58548698064735</v>
      </c>
      <c r="AD585">
        <v>0.0206433</v>
      </c>
      <c r="AE585">
        <v>4.28084531058503</v>
      </c>
      <c r="AF585">
        <f t="shared" si="58"/>
        <v>4.46535683616015</v>
      </c>
      <c r="AI585">
        <v>4.62299</v>
      </c>
      <c r="AJ585">
        <v>19.115501872165</v>
      </c>
    </row>
    <row r="586" spans="1:36">
      <c r="A586">
        <f t="shared" si="59"/>
        <v>585</v>
      </c>
      <c r="B586" t="s">
        <v>616</v>
      </c>
      <c r="C586">
        <v>21240028</v>
      </c>
      <c r="E586">
        <v>47.635</v>
      </c>
      <c r="F586">
        <v>0.445891214443162</v>
      </c>
      <c r="G586">
        <f t="shared" si="54"/>
        <v>10.3751023679671</v>
      </c>
      <c r="J586">
        <v>7.378816</v>
      </c>
      <c r="K586">
        <v>2.87851438496366</v>
      </c>
      <c r="L586">
        <f t="shared" si="55"/>
        <v>1.60713700754474</v>
      </c>
      <c r="O586">
        <v>8.7619</v>
      </c>
      <c r="P586">
        <v>2.42413494789943</v>
      </c>
      <c r="Q586">
        <f t="shared" si="56"/>
        <v>1.90837849140109</v>
      </c>
      <c r="T586">
        <v>0.015444</v>
      </c>
      <c r="U586">
        <v>1.37529318829319</v>
      </c>
      <c r="V586">
        <f t="shared" si="57"/>
        <v>3.36376783816277</v>
      </c>
      <c r="Y586">
        <v>2899.566844</v>
      </c>
      <c r="Z586">
        <v>2.899566844</v>
      </c>
      <c r="AA586">
        <v>1.59546830396332</v>
      </c>
      <c r="AD586">
        <v>0.00741248</v>
      </c>
      <c r="AE586">
        <v>2.86544152564324</v>
      </c>
      <c r="AF586">
        <f t="shared" si="58"/>
        <v>1.61446916763952</v>
      </c>
      <c r="AI586">
        <v>4.59128</v>
      </c>
      <c r="AJ586">
        <v>4.62616699482497</v>
      </c>
    </row>
    <row r="587" spans="1:36">
      <c r="A587">
        <f t="shared" si="59"/>
        <v>586</v>
      </c>
      <c r="B587" t="s">
        <v>617</v>
      </c>
      <c r="C587">
        <v>254331808</v>
      </c>
      <c r="E587">
        <v>538.8</v>
      </c>
      <c r="F587">
        <v>0.472033793615442</v>
      </c>
      <c r="G587">
        <f t="shared" si="54"/>
        <v>62.8356511851657</v>
      </c>
      <c r="J587">
        <v>23.056467</v>
      </c>
      <c r="K587">
        <v>11.0308230658236</v>
      </c>
      <c r="L587">
        <f t="shared" si="55"/>
        <v>2.68887920930638</v>
      </c>
      <c r="O587">
        <v>28.3696</v>
      </c>
      <c r="P587">
        <v>8.96494162765777</v>
      </c>
      <c r="Q587">
        <f t="shared" si="56"/>
        <v>3.30850462112598</v>
      </c>
      <c r="T587">
        <v>0.013607</v>
      </c>
      <c r="U587">
        <v>18.6912477401338</v>
      </c>
      <c r="V587">
        <f t="shared" si="57"/>
        <v>1.58686842181987</v>
      </c>
      <c r="Y587">
        <v>24271.08277</v>
      </c>
      <c r="Z587">
        <v>24.27108277</v>
      </c>
      <c r="AA587">
        <v>1.2220530531869</v>
      </c>
      <c r="AD587">
        <v>0.0297052</v>
      </c>
      <c r="AE587">
        <v>8.56186149226398</v>
      </c>
      <c r="AF587">
        <f t="shared" si="58"/>
        <v>3.46426426426426</v>
      </c>
      <c r="AI587">
        <v>8.57475</v>
      </c>
      <c r="AJ587">
        <v>29.6605508032304</v>
      </c>
    </row>
    <row r="588" spans="1:36">
      <c r="A588">
        <f t="shared" si="59"/>
        <v>587</v>
      </c>
      <c r="B588" t="s">
        <v>618</v>
      </c>
      <c r="C588">
        <v>95197696</v>
      </c>
      <c r="E588">
        <v>45.302</v>
      </c>
      <c r="F588">
        <v>2.1014016158227</v>
      </c>
      <c r="G588">
        <f t="shared" si="54"/>
        <v>22.6695890630317</v>
      </c>
      <c r="J588">
        <v>4.824377</v>
      </c>
      <c r="K588">
        <v>19.7326402973897</v>
      </c>
      <c r="L588">
        <f t="shared" si="55"/>
        <v>2.41416811785664</v>
      </c>
      <c r="O588">
        <v>14.0896</v>
      </c>
      <c r="P588">
        <v>6.75659323188735</v>
      </c>
      <c r="Q588">
        <f t="shared" si="56"/>
        <v>7.05058147681098</v>
      </c>
      <c r="T588">
        <v>0.007855</v>
      </c>
      <c r="U588">
        <v>12.1193756842775</v>
      </c>
      <c r="V588">
        <f t="shared" si="57"/>
        <v>3.93072319301828</v>
      </c>
      <c r="Y588">
        <v>31763.222655</v>
      </c>
      <c r="Z588">
        <v>31.763222655</v>
      </c>
      <c r="AA588">
        <v>1.49978204681925</v>
      </c>
      <c r="AD588">
        <v>0.020017</v>
      </c>
      <c r="AE588">
        <v>4.75584233401609</v>
      </c>
      <c r="AF588">
        <f t="shared" si="58"/>
        <v>10.0167137052383</v>
      </c>
      <c r="AI588">
        <v>1.99836</v>
      </c>
      <c r="AJ588">
        <v>47.6379110870914</v>
      </c>
    </row>
    <row r="589" spans="1:36">
      <c r="A589">
        <f t="shared" si="59"/>
        <v>588</v>
      </c>
      <c r="B589" t="s">
        <v>619</v>
      </c>
      <c r="C589">
        <v>95197696</v>
      </c>
      <c r="E589">
        <v>47.537</v>
      </c>
      <c r="F589">
        <v>2.0026020994173</v>
      </c>
      <c r="G589">
        <f t="shared" si="54"/>
        <v>23.1580537043532</v>
      </c>
      <c r="J589">
        <v>4.479994</v>
      </c>
      <c r="K589">
        <v>21.2495141734565</v>
      </c>
      <c r="L589">
        <f t="shared" si="55"/>
        <v>2.18246716551697</v>
      </c>
      <c r="O589">
        <v>13.4043</v>
      </c>
      <c r="P589">
        <v>7.10202666308573</v>
      </c>
      <c r="Q589">
        <f t="shared" si="56"/>
        <v>6.53001870688647</v>
      </c>
      <c r="T589">
        <v>0.00755</v>
      </c>
      <c r="U589">
        <v>12.6089663576159</v>
      </c>
      <c r="V589">
        <f t="shared" si="57"/>
        <v>3.67804668927082</v>
      </c>
      <c r="Y589">
        <v>28594.859745</v>
      </c>
      <c r="Z589">
        <v>28.594859745</v>
      </c>
      <c r="AA589">
        <v>1.6218427850434</v>
      </c>
      <c r="AD589">
        <v>0.0281016</v>
      </c>
      <c r="AE589">
        <v>3.38762547328266</v>
      </c>
      <c r="AF589">
        <f t="shared" si="58"/>
        <v>13.6899333567169</v>
      </c>
      <c r="AI589">
        <v>2.05272</v>
      </c>
      <c r="AJ589">
        <v>46.3763669667563</v>
      </c>
    </row>
    <row r="590" spans="1:36">
      <c r="A590">
        <f t="shared" si="59"/>
        <v>589</v>
      </c>
      <c r="B590" t="s">
        <v>620</v>
      </c>
      <c r="C590">
        <v>95197696</v>
      </c>
      <c r="E590">
        <v>47.165</v>
      </c>
      <c r="F590">
        <v>2.01839703169723</v>
      </c>
      <c r="G590">
        <f t="shared" si="54"/>
        <v>23.2462430936504</v>
      </c>
      <c r="J590">
        <v>5.367502</v>
      </c>
      <c r="K590">
        <v>17.7359404803203</v>
      </c>
      <c r="L590">
        <f t="shared" si="55"/>
        <v>2.64548407288571</v>
      </c>
      <c r="O590">
        <v>13.9657</v>
      </c>
      <c r="P590">
        <v>6.81653594162842</v>
      </c>
      <c r="Q590">
        <f t="shared" si="56"/>
        <v>6.88328330696476</v>
      </c>
      <c r="T590">
        <v>0.007539</v>
      </c>
      <c r="U590">
        <v>12.6273638413583</v>
      </c>
      <c r="V590">
        <f t="shared" si="57"/>
        <v>3.71575165234877</v>
      </c>
      <c r="Y590">
        <v>26598.452807</v>
      </c>
      <c r="Z590">
        <v>26.598452807</v>
      </c>
      <c r="AA590">
        <v>1.76401794490799</v>
      </c>
      <c r="AD590">
        <v>0.0232092</v>
      </c>
      <c r="AE590">
        <v>4.10172242041949</v>
      </c>
      <c r="AF590">
        <f t="shared" si="58"/>
        <v>11.4391329419941</v>
      </c>
      <c r="AI590">
        <v>2.02893</v>
      </c>
      <c r="AJ590">
        <v>46.9201480583362</v>
      </c>
    </row>
    <row r="591" spans="1:36">
      <c r="A591">
        <f t="shared" si="59"/>
        <v>590</v>
      </c>
      <c r="B591" t="s">
        <v>621</v>
      </c>
      <c r="C591">
        <v>38356128</v>
      </c>
      <c r="E591">
        <v>35.101</v>
      </c>
      <c r="F591">
        <v>1.09273604740606</v>
      </c>
      <c r="G591">
        <f t="shared" si="54"/>
        <v>11.9557072399792</v>
      </c>
      <c r="J591">
        <v>6.53111</v>
      </c>
      <c r="K591">
        <v>5.87283447989699</v>
      </c>
      <c r="L591">
        <f t="shared" si="55"/>
        <v>2.22455312133845</v>
      </c>
      <c r="O591">
        <v>23.0814</v>
      </c>
      <c r="P591">
        <v>1.6617764953599</v>
      </c>
      <c r="Q591">
        <f t="shared" si="56"/>
        <v>7.86172647756067</v>
      </c>
      <c r="T591">
        <v>0.011316</v>
      </c>
      <c r="U591">
        <v>3.38954825026511</v>
      </c>
      <c r="V591">
        <f t="shared" si="57"/>
        <v>3.85432845581622</v>
      </c>
      <c r="Y591">
        <v>9786.868376</v>
      </c>
      <c r="Z591">
        <v>9.786868376</v>
      </c>
      <c r="AA591">
        <v>1.33489404081456</v>
      </c>
      <c r="AD591">
        <v>0.0164889</v>
      </c>
      <c r="AE591">
        <v>2.32617870203591</v>
      </c>
      <c r="AF591">
        <f t="shared" si="58"/>
        <v>5.61626338592331</v>
      </c>
      <c r="AI591">
        <v>2.93592</v>
      </c>
      <c r="AJ591">
        <v>13.0644322733589</v>
      </c>
    </row>
    <row r="592" spans="1:36">
      <c r="A592">
        <f t="shared" si="59"/>
        <v>591</v>
      </c>
      <c r="B592" t="s">
        <v>622</v>
      </c>
      <c r="C592">
        <v>38356128</v>
      </c>
      <c r="E592">
        <v>32.847</v>
      </c>
      <c r="F592">
        <v>1.16772088775231</v>
      </c>
      <c r="G592">
        <f t="shared" si="54"/>
        <v>11.3370678318854</v>
      </c>
      <c r="J592">
        <v>6.433233</v>
      </c>
      <c r="K592">
        <v>5.962185420612</v>
      </c>
      <c r="L592">
        <f t="shared" si="55"/>
        <v>2.22041583399775</v>
      </c>
      <c r="O592">
        <v>23.515</v>
      </c>
      <c r="P592">
        <v>1.63113450988731</v>
      </c>
      <c r="Q592">
        <f t="shared" si="56"/>
        <v>8.1161491176298</v>
      </c>
      <c r="T592">
        <v>0.011775</v>
      </c>
      <c r="U592">
        <v>3.25742063694268</v>
      </c>
      <c r="V592">
        <f t="shared" si="57"/>
        <v>4.06411464427348</v>
      </c>
      <c r="Y592">
        <v>10752.331738</v>
      </c>
      <c r="Z592">
        <v>10.752331738</v>
      </c>
      <c r="AA592">
        <v>1.23122418799365</v>
      </c>
      <c r="AD592">
        <v>0.0462466</v>
      </c>
      <c r="AE592">
        <v>0.829382657319673</v>
      </c>
      <c r="AF592">
        <f t="shared" si="58"/>
        <v>15.9619094953595</v>
      </c>
      <c r="AI592">
        <v>2.89731</v>
      </c>
      <c r="AJ592">
        <v>13.2385309131574</v>
      </c>
    </row>
    <row r="593" spans="1:36">
      <c r="A593">
        <f t="shared" si="59"/>
        <v>592</v>
      </c>
      <c r="B593" t="s">
        <v>623</v>
      </c>
      <c r="C593">
        <v>258256624</v>
      </c>
      <c r="E593">
        <v>107.798</v>
      </c>
      <c r="F593">
        <v>2.39574596931297</v>
      </c>
      <c r="G593">
        <f t="shared" si="54"/>
        <v>31.4170885319671</v>
      </c>
      <c r="J593">
        <v>9.001627</v>
      </c>
      <c r="K593">
        <v>28.6899939310971</v>
      </c>
      <c r="L593">
        <f t="shared" si="55"/>
        <v>2.62347086579292</v>
      </c>
      <c r="O593">
        <v>17.7137</v>
      </c>
      <c r="P593">
        <v>14.5794850313599</v>
      </c>
      <c r="Q593">
        <f t="shared" si="56"/>
        <v>5.16255293353035</v>
      </c>
      <c r="T593">
        <v>0.00932</v>
      </c>
      <c r="U593">
        <v>27.7099381974249</v>
      </c>
      <c r="V593">
        <f t="shared" si="57"/>
        <v>2.71625879068195</v>
      </c>
      <c r="Y593">
        <v>45657.650793</v>
      </c>
      <c r="Z593">
        <v>45.657650793</v>
      </c>
      <c r="AA593">
        <v>1.64851589844716</v>
      </c>
      <c r="AD593">
        <v>0.0129276</v>
      </c>
      <c r="AE593">
        <v>19.9771515207773</v>
      </c>
      <c r="AF593">
        <f t="shared" si="58"/>
        <v>3.76767244017381</v>
      </c>
      <c r="AI593">
        <v>3.43119</v>
      </c>
      <c r="AJ593">
        <v>75.2673632180089</v>
      </c>
    </row>
    <row r="594" spans="1:36">
      <c r="A594">
        <f t="shared" si="59"/>
        <v>593</v>
      </c>
      <c r="B594" t="s">
        <v>624</v>
      </c>
      <c r="C594">
        <v>258256624</v>
      </c>
      <c r="E594">
        <v>112.788</v>
      </c>
      <c r="F594">
        <v>2.28975266872362</v>
      </c>
      <c r="G594">
        <f t="shared" si="54"/>
        <v>30.5662678356076</v>
      </c>
      <c r="J594">
        <v>9.416054</v>
      </c>
      <c r="K594">
        <v>27.4272666660578</v>
      </c>
      <c r="L594">
        <f t="shared" si="55"/>
        <v>2.55181072914267</v>
      </c>
      <c r="O594">
        <v>18.0133</v>
      </c>
      <c r="P594">
        <v>14.3369967746054</v>
      </c>
      <c r="Q594">
        <f t="shared" si="56"/>
        <v>4.88171926448869</v>
      </c>
      <c r="T594">
        <v>0.008494</v>
      </c>
      <c r="U594">
        <v>30.4045943018601</v>
      </c>
      <c r="V594">
        <f t="shared" si="57"/>
        <v>2.30192821040936</v>
      </c>
      <c r="Y594">
        <v>43447.821038</v>
      </c>
      <c r="Z594">
        <v>43.447821038</v>
      </c>
      <c r="AA594">
        <v>1.61087924957825</v>
      </c>
      <c r="AD594">
        <v>0.0148588</v>
      </c>
      <c r="AE594">
        <v>17.3807187659838</v>
      </c>
      <c r="AF594">
        <f t="shared" si="58"/>
        <v>4.02682963183783</v>
      </c>
      <c r="AI594">
        <v>3.68995</v>
      </c>
      <c r="AJ594">
        <v>69.9891933495034</v>
      </c>
    </row>
    <row r="595" spans="1:36">
      <c r="A595">
        <f t="shared" si="59"/>
        <v>594</v>
      </c>
      <c r="B595" t="s">
        <v>625</v>
      </c>
      <c r="C595">
        <v>24425600</v>
      </c>
      <c r="E595">
        <v>25.191</v>
      </c>
      <c r="F595">
        <v>0.969616132745822</v>
      </c>
      <c r="G595">
        <f t="shared" si="54"/>
        <v>7.44571112733463</v>
      </c>
      <c r="J595">
        <v>11.458748</v>
      </c>
      <c r="K595">
        <v>2.13161158618725</v>
      </c>
      <c r="L595">
        <f t="shared" si="55"/>
        <v>3.38686544753775</v>
      </c>
      <c r="O595">
        <v>16.5197</v>
      </c>
      <c r="P595">
        <v>1.478574066115</v>
      </c>
      <c r="Q595">
        <f t="shared" si="56"/>
        <v>4.88273248819936</v>
      </c>
      <c r="T595">
        <v>0.00968</v>
      </c>
      <c r="U595">
        <v>2.52330578512397</v>
      </c>
      <c r="V595">
        <f t="shared" si="57"/>
        <v>2.86112038873404</v>
      </c>
      <c r="Y595">
        <v>3768.898143</v>
      </c>
      <c r="Z595">
        <v>3.768898143</v>
      </c>
      <c r="AA595">
        <v>1.91554171933182</v>
      </c>
      <c r="AD595">
        <v>0.0119409</v>
      </c>
      <c r="AE595">
        <v>2.04554095587435</v>
      </c>
      <c r="AF595">
        <f t="shared" si="58"/>
        <v>3.52937525308205</v>
      </c>
      <c r="AI595">
        <v>3.38329</v>
      </c>
      <c r="AJ595">
        <v>7.21948162882874</v>
      </c>
    </row>
    <row r="596" spans="1:36">
      <c r="A596">
        <f t="shared" si="59"/>
        <v>595</v>
      </c>
      <c r="B596" t="s">
        <v>626</v>
      </c>
      <c r="C596">
        <v>22273056</v>
      </c>
      <c r="E596">
        <v>55.882</v>
      </c>
      <c r="F596">
        <v>0.398572993092588</v>
      </c>
      <c r="G596">
        <f t="shared" si="54"/>
        <v>11.2248238902626</v>
      </c>
      <c r="J596">
        <v>9.123242</v>
      </c>
      <c r="K596">
        <v>2.44135319440173</v>
      </c>
      <c r="L596">
        <f t="shared" si="55"/>
        <v>1.83255403812045</v>
      </c>
      <c r="O596">
        <v>21.8306</v>
      </c>
      <c r="P596">
        <v>1.02026769763543</v>
      </c>
      <c r="Q596">
        <f t="shared" si="56"/>
        <v>4.38503704983298</v>
      </c>
      <c r="T596">
        <v>0.014744</v>
      </c>
      <c r="U596">
        <v>1.51065219750407</v>
      </c>
      <c r="V596">
        <f t="shared" si="57"/>
        <v>2.96157623989892</v>
      </c>
      <c r="Y596">
        <v>1146.186781</v>
      </c>
      <c r="Z596">
        <v>1.146186781</v>
      </c>
      <c r="AA596">
        <v>3.90330069151195</v>
      </c>
      <c r="AD596">
        <v>0.00894689</v>
      </c>
      <c r="AE596">
        <v>2.489474666616</v>
      </c>
      <c r="AF596">
        <f t="shared" si="58"/>
        <v>1.79713082236769</v>
      </c>
      <c r="AI596">
        <v>4.97843</v>
      </c>
      <c r="AJ596">
        <v>4.47391165487915</v>
      </c>
    </row>
    <row r="597" spans="1:36">
      <c r="A597">
        <f t="shared" si="59"/>
        <v>596</v>
      </c>
      <c r="B597" t="s">
        <v>627</v>
      </c>
      <c r="C597">
        <v>192762986</v>
      </c>
      <c r="E597">
        <v>178.848</v>
      </c>
      <c r="F597">
        <v>1.07780341966362</v>
      </c>
      <c r="G597">
        <f t="shared" si="54"/>
        <v>42.8947633506499</v>
      </c>
      <c r="J597">
        <v>11.134458</v>
      </c>
      <c r="K597">
        <v>17.312291806211</v>
      </c>
      <c r="L597">
        <f t="shared" si="55"/>
        <v>2.67047963045573</v>
      </c>
      <c r="O597">
        <v>24.8725</v>
      </c>
      <c r="P597">
        <v>7.75004466780581</v>
      </c>
      <c r="Q597">
        <f t="shared" si="56"/>
        <v>5.96540079530683</v>
      </c>
      <c r="T597">
        <v>0.011926</v>
      </c>
      <c r="U597">
        <v>16.1632555760523</v>
      </c>
      <c r="V597">
        <f t="shared" si="57"/>
        <v>2.86032243983634</v>
      </c>
      <c r="Y597">
        <v>35091.107047</v>
      </c>
      <c r="Z597">
        <v>35.091107047</v>
      </c>
      <c r="AA597">
        <v>1.31748829021183</v>
      </c>
      <c r="AD597">
        <v>0.027643</v>
      </c>
      <c r="AE597">
        <v>6.97330195709583</v>
      </c>
      <c r="AF597">
        <f t="shared" si="58"/>
        <v>6.62987533157771</v>
      </c>
      <c r="AI597">
        <v>4.16946</v>
      </c>
      <c r="AJ597">
        <v>46.2321226249922</v>
      </c>
    </row>
    <row r="598" spans="1:36">
      <c r="A598">
        <f t="shared" si="59"/>
        <v>597</v>
      </c>
      <c r="B598" t="s">
        <v>628</v>
      </c>
      <c r="C598">
        <v>306811190</v>
      </c>
      <c r="E598">
        <v>200.437</v>
      </c>
      <c r="F598">
        <v>1.53071134570962</v>
      </c>
      <c r="G598">
        <f t="shared" si="54"/>
        <v>18.021830802291</v>
      </c>
      <c r="J598">
        <v>13.733819</v>
      </c>
      <c r="K598">
        <v>22.3398306035634</v>
      </c>
      <c r="L598">
        <f t="shared" si="55"/>
        <v>1.23484467581978</v>
      </c>
      <c r="O598">
        <v>25.185</v>
      </c>
      <c r="P598">
        <v>12.1822985904308</v>
      </c>
      <c r="Q598">
        <f t="shared" si="56"/>
        <v>2.26445121786745</v>
      </c>
      <c r="T598">
        <v>0.012763</v>
      </c>
      <c r="U598">
        <v>24.0391122776777</v>
      </c>
      <c r="V598">
        <f t="shared" si="57"/>
        <v>1.14755572339258</v>
      </c>
      <c r="Y598">
        <v>24673.201697</v>
      </c>
      <c r="Z598">
        <v>24.673201697</v>
      </c>
      <c r="AA598">
        <v>1.11806409311201</v>
      </c>
      <c r="AD598">
        <v>0.0294482</v>
      </c>
      <c r="AE598">
        <v>10.418673806888</v>
      </c>
      <c r="AF598">
        <f t="shared" si="58"/>
        <v>2.64776701822531</v>
      </c>
      <c r="AI598">
        <v>11.1219</v>
      </c>
      <c r="AJ598">
        <v>27.586220879526</v>
      </c>
    </row>
    <row r="599" spans="1:36">
      <c r="A599">
        <f t="shared" si="59"/>
        <v>598</v>
      </c>
      <c r="B599" t="s">
        <v>629</v>
      </c>
      <c r="C599">
        <v>142990310</v>
      </c>
      <c r="E599">
        <v>56.553</v>
      </c>
      <c r="F599">
        <v>2.52843014517355</v>
      </c>
      <c r="G599">
        <f t="shared" si="54"/>
        <v>20.9763208261005</v>
      </c>
      <c r="J599">
        <v>5.989905</v>
      </c>
      <c r="K599">
        <v>23.8718827761041</v>
      </c>
      <c r="L599">
        <f t="shared" si="55"/>
        <v>2.22174188810255</v>
      </c>
      <c r="O599">
        <v>18.1282</v>
      </c>
      <c r="P599">
        <v>7.88772795975331</v>
      </c>
      <c r="Q599">
        <f t="shared" si="56"/>
        <v>6.72401002952478</v>
      </c>
      <c r="T599">
        <v>0.008797</v>
      </c>
      <c r="U599">
        <v>16.2544401500512</v>
      </c>
      <c r="V599">
        <f t="shared" si="57"/>
        <v>3.26293378436521</v>
      </c>
      <c r="Y599">
        <v>35900.986601</v>
      </c>
      <c r="Z599">
        <v>35.900986601</v>
      </c>
      <c r="AA599">
        <v>1.47731767098754</v>
      </c>
      <c r="AD599">
        <v>0.022827</v>
      </c>
      <c r="AE599">
        <v>6.26408682700311</v>
      </c>
      <c r="AF599">
        <f t="shared" si="58"/>
        <v>8.46686250945831</v>
      </c>
      <c r="AI599">
        <v>2.69604</v>
      </c>
      <c r="AJ599">
        <v>53.0371619115443</v>
      </c>
    </row>
    <row r="600" spans="1:36">
      <c r="A600">
        <f t="shared" si="59"/>
        <v>599</v>
      </c>
      <c r="B600" t="s">
        <v>630</v>
      </c>
      <c r="C600">
        <v>95873288</v>
      </c>
      <c r="E600">
        <v>82.861</v>
      </c>
      <c r="F600">
        <v>1.15703754480395</v>
      </c>
      <c r="G600">
        <f t="shared" si="54"/>
        <v>14.5272817164637</v>
      </c>
      <c r="J600">
        <v>4.525565</v>
      </c>
      <c r="K600">
        <v>21.1848217846832</v>
      </c>
      <c r="L600">
        <f t="shared" si="55"/>
        <v>0.793427036617568</v>
      </c>
      <c r="O600">
        <v>18.9885</v>
      </c>
      <c r="P600">
        <v>5.04901851120415</v>
      </c>
      <c r="Q600">
        <f t="shared" si="56"/>
        <v>3.32908471866224</v>
      </c>
      <c r="T600">
        <v>0.010751</v>
      </c>
      <c r="U600">
        <v>8.9176158496884</v>
      </c>
      <c r="V600">
        <f t="shared" si="57"/>
        <v>1.88487715250482</v>
      </c>
      <c r="Y600">
        <v>10531.004019</v>
      </c>
      <c r="Z600">
        <v>10.531004019</v>
      </c>
      <c r="AA600">
        <v>1.59610710807502</v>
      </c>
      <c r="AD600">
        <v>0.0378296</v>
      </c>
      <c r="AE600">
        <v>2.53434580328632</v>
      </c>
      <c r="AF600">
        <f t="shared" si="58"/>
        <v>6.63232710709665</v>
      </c>
      <c r="AI600">
        <v>5.70382</v>
      </c>
      <c r="AJ600">
        <v>16.8086103698925</v>
      </c>
    </row>
    <row r="601" spans="1:36">
      <c r="A601">
        <f t="shared" si="59"/>
        <v>600</v>
      </c>
      <c r="B601" t="s">
        <v>631</v>
      </c>
      <c r="C601">
        <v>42712232</v>
      </c>
      <c r="E601">
        <v>97.586</v>
      </c>
      <c r="F601">
        <v>0.437688110999529</v>
      </c>
      <c r="G601">
        <f t="shared" si="54"/>
        <v>7.94810187409898</v>
      </c>
      <c r="J601">
        <v>37.509622</v>
      </c>
      <c r="K601">
        <v>1.13870067792205</v>
      </c>
      <c r="L601">
        <f t="shared" si="55"/>
        <v>3.05505192256006</v>
      </c>
      <c r="O601">
        <v>31.8207</v>
      </c>
      <c r="P601">
        <v>1.34227820255368</v>
      </c>
      <c r="Q601">
        <f t="shared" si="56"/>
        <v>2.59170542193698</v>
      </c>
      <c r="T601">
        <v>0.02197</v>
      </c>
      <c r="U601">
        <v>1.94411615839782</v>
      </c>
      <c r="V601">
        <f t="shared" si="57"/>
        <v>1.78939395173441</v>
      </c>
      <c r="Y601">
        <v>3545.635476</v>
      </c>
      <c r="Z601">
        <v>3.545635476</v>
      </c>
      <c r="AA601">
        <v>0.981147023954867</v>
      </c>
      <c r="AD601">
        <v>0.0193348</v>
      </c>
      <c r="AE601">
        <v>2.20908579349153</v>
      </c>
      <c r="AF601">
        <f t="shared" si="58"/>
        <v>1.5747644141099</v>
      </c>
      <c r="AI601">
        <v>12.2779</v>
      </c>
      <c r="AJ601">
        <v>3.4787896953062</v>
      </c>
    </row>
    <row r="602" spans="1:36">
      <c r="A602">
        <f t="shared" si="59"/>
        <v>601</v>
      </c>
      <c r="B602" t="s">
        <v>632</v>
      </c>
      <c r="C602">
        <v>527862308</v>
      </c>
      <c r="E602">
        <v>165.912</v>
      </c>
      <c r="F602">
        <v>3.18158004243213</v>
      </c>
      <c r="G602">
        <f t="shared" si="54"/>
        <v>2.07967108726717</v>
      </c>
      <c r="J602">
        <v>100.557103</v>
      </c>
      <c r="K602">
        <v>5.2493786341478</v>
      </c>
      <c r="L602">
        <f t="shared" si="55"/>
        <v>1.26046156835218</v>
      </c>
      <c r="O602">
        <v>138.1807</v>
      </c>
      <c r="P602">
        <v>3.82008708886263</v>
      </c>
      <c r="Q602">
        <f t="shared" si="56"/>
        <v>1.73206523101607</v>
      </c>
      <c r="T602">
        <v>0.081503</v>
      </c>
      <c r="U602">
        <v>6.47659973252518</v>
      </c>
      <c r="V602">
        <f t="shared" si="57"/>
        <v>1.02162250244428</v>
      </c>
      <c r="Y602">
        <v>5145.293473</v>
      </c>
      <c r="Z602">
        <v>5.145293473</v>
      </c>
      <c r="AA602">
        <v>1.28595969516477</v>
      </c>
      <c r="AD602">
        <v>0.18802</v>
      </c>
      <c r="AE602">
        <v>2.80747956600362</v>
      </c>
      <c r="AF602">
        <f t="shared" si="58"/>
        <v>2.3567900925067</v>
      </c>
      <c r="AI602">
        <v>79.778</v>
      </c>
      <c r="AJ602">
        <v>6.61664002607235</v>
      </c>
    </row>
    <row r="603" spans="1:36">
      <c r="A603">
        <f t="shared" si="59"/>
        <v>602</v>
      </c>
      <c r="B603" t="s">
        <v>633</v>
      </c>
      <c r="C603">
        <v>24864000506</v>
      </c>
      <c r="E603">
        <v>0</v>
      </c>
      <c r="F603">
        <v>0</v>
      </c>
      <c r="G603">
        <v>0</v>
      </c>
      <c r="J603" t="s">
        <v>466</v>
      </c>
      <c r="K603">
        <v>0</v>
      </c>
      <c r="L603">
        <v>0</v>
      </c>
      <c r="O603" t="s">
        <v>467</v>
      </c>
      <c r="P603">
        <v>0</v>
      </c>
      <c r="Q603">
        <v>0</v>
      </c>
      <c r="T603" t="s">
        <v>468</v>
      </c>
      <c r="U603">
        <v>0</v>
      </c>
      <c r="V603">
        <v>0</v>
      </c>
      <c r="Y603">
        <v>2724.203645</v>
      </c>
      <c r="Z603">
        <v>2.724203645</v>
      </c>
      <c r="AA603">
        <v>1.82246912070819</v>
      </c>
      <c r="AD603">
        <v>5.08423</v>
      </c>
      <c r="AE603">
        <v>4.89041615072489</v>
      </c>
      <c r="AF603">
        <f t="shared" si="58"/>
        <v>1.01520542802831</v>
      </c>
      <c r="AI603">
        <v>5008.08</v>
      </c>
      <c r="AJ603">
        <v>4.9647770215332</v>
      </c>
    </row>
    <row r="604" spans="1:36">
      <c r="A604">
        <f t="shared" si="59"/>
        <v>603</v>
      </c>
      <c r="B604" t="s">
        <v>634</v>
      </c>
      <c r="C604">
        <v>111677660</v>
      </c>
      <c r="E604">
        <v>5204.386</v>
      </c>
      <c r="F604">
        <v>0.0214583737639752</v>
      </c>
      <c r="G604">
        <f t="shared" si="54"/>
        <v>540.14918386855</v>
      </c>
      <c r="J604">
        <v>25.76958</v>
      </c>
      <c r="K604">
        <v>4.33370120894481</v>
      </c>
      <c r="L604">
        <f t="shared" si="55"/>
        <v>2.67455519356852</v>
      </c>
      <c r="O604">
        <v>32.6216</v>
      </c>
      <c r="P604">
        <v>3.42342680923069</v>
      </c>
      <c r="Q604">
        <f t="shared" si="56"/>
        <v>3.3857078657283</v>
      </c>
      <c r="T604">
        <v>0.02189</v>
      </c>
      <c r="U604">
        <v>5.10176610324349</v>
      </c>
      <c r="V604">
        <f t="shared" si="57"/>
        <v>2.27190405071463</v>
      </c>
      <c r="Y604">
        <v>17429.135389</v>
      </c>
      <c r="Z604">
        <v>17.429135389</v>
      </c>
      <c r="AA604">
        <v>0.665019968980947</v>
      </c>
      <c r="AD604">
        <v>0.0467074</v>
      </c>
      <c r="AE604">
        <v>2.39100570787498</v>
      </c>
      <c r="AF604">
        <f t="shared" si="58"/>
        <v>4.84763505063266</v>
      </c>
      <c r="AI604">
        <v>9.63509</v>
      </c>
      <c r="AJ604">
        <v>11.5907230757575</v>
      </c>
    </row>
    <row r="605" spans="1:36">
      <c r="A605">
        <f t="shared" si="59"/>
        <v>604</v>
      </c>
      <c r="B605" t="s">
        <v>635</v>
      </c>
      <c r="C605">
        <v>1165401468</v>
      </c>
      <c r="E605">
        <v>5961.701</v>
      </c>
      <c r="F605">
        <v>0.19548136815315</v>
      </c>
      <c r="G605">
        <f t="shared" si="54"/>
        <v>21.8601532707538</v>
      </c>
      <c r="J605">
        <v>508.035971</v>
      </c>
      <c r="K605">
        <v>2.29393494658669</v>
      </c>
      <c r="L605">
        <f t="shared" si="55"/>
        <v>1.8628482362863</v>
      </c>
      <c r="O605">
        <v>306.1457</v>
      </c>
      <c r="P605">
        <v>3.80668899808163</v>
      </c>
      <c r="Q605">
        <f t="shared" si="56"/>
        <v>1.12256416837782</v>
      </c>
      <c r="T605">
        <v>0.159669</v>
      </c>
      <c r="U605">
        <v>7.29885868891269</v>
      </c>
      <c r="V605">
        <f t="shared" si="57"/>
        <v>0.585468612496333</v>
      </c>
      <c r="Y605">
        <v>3111.767278</v>
      </c>
      <c r="Z605">
        <v>3.111767278</v>
      </c>
      <c r="AA605">
        <v>1.37325586640625</v>
      </c>
      <c r="AD605">
        <v>0.0344013</v>
      </c>
      <c r="AE605">
        <v>33.8766694281902</v>
      </c>
      <c r="AF605">
        <f t="shared" si="58"/>
        <v>0.126141463772367</v>
      </c>
      <c r="AI605">
        <v>272.72</v>
      </c>
      <c r="AJ605">
        <v>4.27325266940452</v>
      </c>
    </row>
    <row r="606" spans="1:36">
      <c r="A606">
        <f t="shared" si="59"/>
        <v>605</v>
      </c>
      <c r="B606" t="s">
        <v>636</v>
      </c>
      <c r="C606">
        <v>318033908</v>
      </c>
      <c r="E606">
        <v>757.735</v>
      </c>
      <c r="F606">
        <v>0.419716534144523</v>
      </c>
      <c r="G606">
        <f t="shared" si="54"/>
        <v>69.8985286656519</v>
      </c>
      <c r="J606">
        <v>27.58463</v>
      </c>
      <c r="K606">
        <v>11.5293882136538</v>
      </c>
      <c r="L606">
        <f t="shared" si="55"/>
        <v>2.54459019417923</v>
      </c>
      <c r="O606">
        <v>28.8577</v>
      </c>
      <c r="P606">
        <v>11.0207642327698</v>
      </c>
      <c r="Q606">
        <f t="shared" si="56"/>
        <v>2.66202665928692</v>
      </c>
      <c r="T606">
        <v>0.016494</v>
      </c>
      <c r="U606">
        <v>19.2817938644355</v>
      </c>
      <c r="V606">
        <f t="shared" si="57"/>
        <v>1.52151653521517</v>
      </c>
      <c r="Y606">
        <v>25445.972024</v>
      </c>
      <c r="Z606">
        <v>25.445972024</v>
      </c>
      <c r="AA606">
        <v>1.15293564599059</v>
      </c>
      <c r="AD606">
        <v>0.0296841</v>
      </c>
      <c r="AE606">
        <v>10.713948140587</v>
      </c>
      <c r="AF606">
        <f t="shared" si="58"/>
        <v>2.7382593053826</v>
      </c>
      <c r="AI606">
        <v>10.8405</v>
      </c>
      <c r="AJ606">
        <v>29.337568193349</v>
      </c>
    </row>
    <row r="607" spans="1:36">
      <c r="A607">
        <f t="shared" si="59"/>
        <v>606</v>
      </c>
      <c r="B607" t="s">
        <v>637</v>
      </c>
      <c r="C607">
        <v>538342094</v>
      </c>
      <c r="E607">
        <v>135.526</v>
      </c>
      <c r="F607">
        <v>3.97224218231188</v>
      </c>
      <c r="G607">
        <f t="shared" si="54"/>
        <v>20.6314603662714</v>
      </c>
      <c r="J607">
        <v>17.285907</v>
      </c>
      <c r="K607">
        <v>31.143410293715</v>
      </c>
      <c r="L607">
        <f t="shared" si="55"/>
        <v>2.63147665514774</v>
      </c>
      <c r="O607">
        <v>22.3304</v>
      </c>
      <c r="P607">
        <v>24.1080363092466</v>
      </c>
      <c r="Q607">
        <f t="shared" si="56"/>
        <v>3.39941238259069</v>
      </c>
      <c r="T607">
        <v>0.009719</v>
      </c>
      <c r="U607">
        <v>55.3906877250746</v>
      </c>
      <c r="V607">
        <f t="shared" si="57"/>
        <v>1.47954756504133</v>
      </c>
      <c r="Y607">
        <v>48877.193659</v>
      </c>
      <c r="Z607">
        <v>48.877193659</v>
      </c>
      <c r="AA607">
        <v>1.67671568301075</v>
      </c>
      <c r="AD607">
        <v>0.0133824</v>
      </c>
      <c r="AE607">
        <v>40.2276194105691</v>
      </c>
      <c r="AF607">
        <f t="shared" si="58"/>
        <v>2.0372360669214</v>
      </c>
      <c r="AI607">
        <v>6.5689</v>
      </c>
      <c r="AJ607">
        <v>81.9531571495989</v>
      </c>
    </row>
    <row r="608" spans="1:36">
      <c r="A608">
        <f t="shared" si="59"/>
        <v>607</v>
      </c>
      <c r="B608" t="s">
        <v>638</v>
      </c>
      <c r="C608">
        <v>385300368</v>
      </c>
      <c r="E608">
        <v>142.485</v>
      </c>
      <c r="F608">
        <v>2.7041468786188</v>
      </c>
      <c r="G608">
        <f t="shared" si="54"/>
        <v>46.3487943165517</v>
      </c>
      <c r="J608">
        <v>13.40698</v>
      </c>
      <c r="K608">
        <v>28.7387888995135</v>
      </c>
      <c r="L608">
        <f t="shared" si="55"/>
        <v>4.36114228463433</v>
      </c>
      <c r="O608">
        <v>15.7057</v>
      </c>
      <c r="P608">
        <v>24.532518003018</v>
      </c>
      <c r="Q608">
        <f t="shared" si="56"/>
        <v>5.10889047196172</v>
      </c>
      <c r="T608">
        <v>0.00912</v>
      </c>
      <c r="U608">
        <v>42.247847368421</v>
      </c>
      <c r="V608">
        <f t="shared" si="57"/>
        <v>2.96663511363969</v>
      </c>
      <c r="Y608">
        <v>48703.927972</v>
      </c>
      <c r="Z608">
        <v>48.703927972</v>
      </c>
      <c r="AA608">
        <v>2.5733847904609</v>
      </c>
      <c r="AD608">
        <v>0.0116843</v>
      </c>
      <c r="AE608">
        <v>32.9759051034294</v>
      </c>
      <c r="AF608">
        <f t="shared" si="58"/>
        <v>3.80077353709432</v>
      </c>
      <c r="AI608">
        <v>3.07419</v>
      </c>
      <c r="AJ608">
        <v>125.333947478848</v>
      </c>
    </row>
    <row r="609" spans="1:36">
      <c r="A609">
        <f t="shared" si="59"/>
        <v>608</v>
      </c>
      <c r="B609" t="s">
        <v>639</v>
      </c>
      <c r="C609">
        <v>23259770310</v>
      </c>
      <c r="E609">
        <v>0</v>
      </c>
      <c r="F609">
        <v>0</v>
      </c>
      <c r="G609">
        <v>0</v>
      </c>
      <c r="J609" t="s">
        <v>466</v>
      </c>
      <c r="K609">
        <v>0</v>
      </c>
      <c r="L609">
        <v>0</v>
      </c>
      <c r="O609" t="s">
        <v>467</v>
      </c>
      <c r="P609">
        <v>0</v>
      </c>
      <c r="Q609">
        <v>0</v>
      </c>
      <c r="T609" t="s">
        <v>468</v>
      </c>
      <c r="U609">
        <v>0</v>
      </c>
      <c r="V609">
        <v>0</v>
      </c>
      <c r="Y609">
        <v>3024.524558</v>
      </c>
      <c r="Z609">
        <v>3.024524558</v>
      </c>
      <c r="AA609">
        <v>1.63023843377725</v>
      </c>
      <c r="AD609">
        <v>4.34036</v>
      </c>
      <c r="AE609">
        <v>5.35894955948354</v>
      </c>
      <c r="AF609">
        <f t="shared" si="58"/>
        <v>0.920086319832788</v>
      </c>
      <c r="AI609">
        <v>4717.34</v>
      </c>
      <c r="AJ609">
        <v>4.93069617835475</v>
      </c>
    </row>
    <row r="610" spans="1:36">
      <c r="A610">
        <f t="shared" si="59"/>
        <v>609</v>
      </c>
      <c r="B610" t="s">
        <v>640</v>
      </c>
      <c r="C610">
        <v>83192416</v>
      </c>
      <c r="E610">
        <v>158.772</v>
      </c>
      <c r="F610">
        <v>0.523974101226917</v>
      </c>
      <c r="G610">
        <f t="shared" si="54"/>
        <v>8.25978160782007</v>
      </c>
      <c r="J610">
        <v>67.846289</v>
      </c>
      <c r="K610">
        <v>1.22618962991476</v>
      </c>
      <c r="L610">
        <f t="shared" si="55"/>
        <v>3.5295614468612</v>
      </c>
      <c r="O610">
        <v>39.9517</v>
      </c>
      <c r="P610">
        <v>2.0823248072047</v>
      </c>
      <c r="Q610">
        <f t="shared" si="56"/>
        <v>2.07840372900225</v>
      </c>
      <c r="T610">
        <v>0.024808</v>
      </c>
      <c r="U610">
        <v>3.353451144792</v>
      </c>
      <c r="V610">
        <f t="shared" si="57"/>
        <v>1.29058437335803</v>
      </c>
      <c r="Y610">
        <v>4680.345043</v>
      </c>
      <c r="Z610">
        <v>4.680345043</v>
      </c>
      <c r="AA610">
        <v>0.924699269931185</v>
      </c>
      <c r="AD610">
        <v>0.018178</v>
      </c>
      <c r="AE610">
        <v>4.57654395423039</v>
      </c>
      <c r="AF610">
        <f t="shared" si="58"/>
        <v>0.945672474157618</v>
      </c>
      <c r="AI610">
        <v>19.2223</v>
      </c>
      <c r="AJ610">
        <v>4.32791164428814</v>
      </c>
    </row>
    <row r="611" spans="1:36">
      <c r="A611">
        <f t="shared" si="59"/>
        <v>610</v>
      </c>
      <c r="B611" t="s">
        <v>641</v>
      </c>
      <c r="C611">
        <v>353774742</v>
      </c>
      <c r="E611">
        <v>219.337</v>
      </c>
      <c r="F611">
        <v>1.6129277869215</v>
      </c>
      <c r="G611">
        <f t="shared" si="54"/>
        <v>20.658648231172</v>
      </c>
      <c r="J611">
        <v>23.528884</v>
      </c>
      <c r="K611">
        <v>15.0357637871817</v>
      </c>
      <c r="L611">
        <f t="shared" si="55"/>
        <v>2.21611008552161</v>
      </c>
      <c r="O611">
        <v>25.8547</v>
      </c>
      <c r="P611">
        <v>13.6831888206013</v>
      </c>
      <c r="Q611">
        <f t="shared" si="56"/>
        <v>2.43517123158648</v>
      </c>
      <c r="T611">
        <v>0.015935</v>
      </c>
      <c r="U611">
        <v>22.2011133981801</v>
      </c>
      <c r="V611">
        <f t="shared" si="57"/>
        <v>1.50086651847945</v>
      </c>
      <c r="Y611">
        <v>22682.83145</v>
      </c>
      <c r="Z611">
        <v>22.68283145</v>
      </c>
      <c r="AA611">
        <v>1.46899243358324</v>
      </c>
      <c r="AD611">
        <v>0.033573</v>
      </c>
      <c r="AE611">
        <v>10.5374777946564</v>
      </c>
      <c r="AF611">
        <f t="shared" si="58"/>
        <v>3.16213314244811</v>
      </c>
      <c r="AI611">
        <v>10.6172</v>
      </c>
      <c r="AJ611">
        <v>33.320907772294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036</cp:lastModifiedBy>
  <dcterms:created xsi:type="dcterms:W3CDTF">2026-04-02T20:43:00Z</dcterms:created>
  <dcterms:modified xsi:type="dcterms:W3CDTF">2026-07-03T14:31:39Z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48E09189F83F624717F4CD6988D317CF_42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