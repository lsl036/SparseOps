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AMDEPYC" sheetId="1" r:id="rId1"/>
  </sheets>
  <definedNames>
    <definedName name="_xlnm._FilterDatabase" localSheetId="0" hidden="1">AMDEPYC!$A$1:$AA$21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<sst xmlns="http://schemas.openxmlformats.org/spreadsheetml/2006/main" count="42" uniqueCount="42">
  <si>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mtx_ID</t>
  </si>
  <si>
    <t>DATA_name</t>
  </si>
  <si>
    <t>mtx Rows</t>
  </si>
  <si>
    <t>mtx nnz</t>
  </si>
  <si>
    <t>sizeofAcsc</t>
  </si>
  <si>
    <t>GenAandBtime</t>
  </si>
  <si>
    <t>PreprocessAandBtime</t>
  </si>
  <si>
    <t>Floating-pointOperations</t>
  </si>
  <si>
    <t>C.nnz</t>
  </si>
  <si>
    <t>CompressRatio</t>
  </si>
  <si>
    <t>k</t>
  </si>
  <si>
    <t>bands</t>
  </si>
  <si>
    <t>RCM_overhead(GB)</t>
  </si>
  <si>
    <t>Gray_overhead(GB)</t>
  </si>
  <si>
    <t>GP_overhead(GB)</t>
  </si>
  <si>
    <t>HP_overhead(GB)</t>
  </si>
  <si>
    <t>LSH Overhead(GB)</t>
  </si>
  <si>
    <t>Hier Memory (GB)</t>
  </si>
  <si>
    <t>C-LSH_Mem(GB)</t>
  </si>
  <si>
    <t>savemem_LSH</t>
  </si>
  <si>
    <t>savemem_Hier</t>
  </si>
  <si>
    <t>cant</t>
  </si>
  <si>
    <t>pwtk</t>
  </si>
  <si>
    <t>offshore</t>
  </si>
  <si>
    <t>cage12</t>
  </si>
  <si>
    <t>scircuit</t>
  </si>
  <si>
    <t>wiki-Vote</t>
  </si>
  <si>
    <t>poisson3Da</t>
  </si>
  <si>
    <t>pdb1HYS</t>
  </si>
  <si>
    <t>rma10</t>
  </si>
  <si>
    <t>shipsec1</t>
  </si>
  <si>
    <t>consph</t>
  </si>
  <si>
    <t>filter3D</t>
  </si>
  <si>
    <t>mac_econ_fwd500</t>
  </si>
  <si>
    <t>af_shell10</t>
  </si>
  <si>
    <t>hood</t>
  </si>
  <si>
    <t>case39</t>
  </si>
  <si>
    <t>gupta3</t>
  </si>
  <si>
    <t>TSOPF_FS_b300_c2</t>
  </si>
  <si>
    <t>com-LiveJournal</t>
  </si>
  <si>
    <t>wikipedia-20070206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</si>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</sst>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zoomScaleSheetLayoutView="60" topLeftCell="B1" workbookViewId="0">
      <selection activeCell="T28" sqref="T28"/>
    </sheetView>
  </sheetViews>
  <sheetFormatPr defaultColWidth="10.3846153846154" defaultRowHeight="16.8"/>
  <cols>
    <col min="1" max="1" width="10.7692307692308" style="1"/>
    <col min="2" max="2" width="21.6346153846154" style="1" customWidth="1"/>
    <col min="3" max="4" width="10.3846153846154" style="1"/>
    <col min="5" max="5" width="11.7692307692308" style="1"/>
    <col min="6" max="6" width="10.6923076923077" style="1"/>
    <col min="7" max="7" width="21.2884615384615" style="1" customWidth="1"/>
    <col min="8" max="8" width="17.3461538461538" style="1" customWidth="1"/>
    <col min="9" max="9" width="17.4615384615385" style="1"/>
    <col min="10" max="12" width="12.9230769230769" style="1"/>
    <col min="13" max="13" width="10.3846153846154" style="1"/>
    <col min="14" max="14" width="15.0673076923077" style="1" customWidth="1"/>
    <col min="15" max="17" width="10.3846153846154" style="1"/>
    <col min="18" max="18" width="16.3461538461538" style="1" customWidth="1"/>
    <col min="19" max="19" width="10.3846153846154" style="1"/>
    <col min="20" max="20" width="14.7403846153846" style="1" customWidth="1"/>
    <col min="21" max="21" width="11.7692307692308" style="1"/>
    <col min="22" max="22" width="12.9230769230769" style="1"/>
    <col min="23" max="23" width="10.6923076923077" style="1"/>
    <col min="24" max="24" width="12.9230769230769" style="1"/>
    <col min="25" max="25" width="10.6923076923077" style="1"/>
    <col min="26" max="26" width="12.9230769230769" style="1"/>
    <col min="27" max="27" width="10.3846153846154" style="2"/>
    <col min="28" max="28" width="12.9230769230769" style="1"/>
    <col min="29" max="29" width="10.3846153846154" style="1"/>
    <col min="30" max="30" width="12.9230769230769" style="1"/>
    <col min="31" max="16384" width="10.3846153846154" style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P1" s="1" t="s">
        <v>13</v>
      </c>
      <c r="R1" s="3" t="s">
        <v>14</v>
      </c>
      <c r="T1" s="4" t="s">
        <v>15</v>
      </c>
      <c r="V1" s="5" t="s">
        <v>16</v>
      </c>
      <c r="X1" s="6" t="s">
        <v>17</v>
      </c>
      <c r="Z1" s="7" t="s">
        <v>18</v>
      </c>
      <c r="AB1" s="1" t="s">
        <v>19</v>
      </c>
      <c r="AD1" s="1" t="s">
        <v>20</v>
      </c>
    </row>
    <row r="2" spans="1:30">
      <c r="A2" s="1">
        <v>1</v>
      </c>
      <c r="B2" s="1" t="s">
        <v>21</v>
      </c>
      <c r="C2" s="1">
        <v>62451</v>
      </c>
      <c r="D2" s="1">
        <v>4007383</v>
      </c>
      <c r="E2" s="1">
        <v>0.0452514</v>
      </c>
      <c r="F2" s="1">
        <v>2.238659</v>
      </c>
      <c r="G2" s="1">
        <v>0.005858</v>
      </c>
      <c r="H2" s="1">
        <v>538972946</v>
      </c>
      <c r="I2" s="1">
        <v>17440029</v>
      </c>
      <c r="J2" s="1">
        <v>15.4521803260763</v>
      </c>
      <c r="K2" s="1">
        <v>96</v>
      </c>
      <c r="L2" s="1">
        <v>32</v>
      </c>
      <c r="N2" s="1">
        <v>0.0673332214355469</v>
      </c>
      <c r="P2" s="1">
        <v>0.234893798828125</v>
      </c>
      <c r="R2" s="3">
        <v>0.373524</v>
      </c>
      <c r="T2" s="4">
        <v>0.100643</v>
      </c>
      <c r="V2" s="5">
        <v>0.5907891</v>
      </c>
      <c r="X2" s="6">
        <v>0.425812</v>
      </c>
      <c r="Z2" s="7">
        <v>0.514576</v>
      </c>
      <c r="AB2" s="1">
        <f>Z2/V2</f>
        <v>0.870997789228</v>
      </c>
      <c r="AD2" s="1">
        <f>Z2/X2</f>
        <v>1.20845819281749</v>
      </c>
    </row>
    <row r="3" spans="1:30">
      <c r="A3" s="1">
        <v>2</v>
      </c>
      <c r="B3" s="1" t="s">
        <v>22</v>
      </c>
      <c r="C3" s="1">
        <v>217918</v>
      </c>
      <c r="D3" s="1">
        <v>11634424</v>
      </c>
      <c r="E3" s="1">
        <v>0.131649</v>
      </c>
      <c r="F3" s="1">
        <v>6.571827</v>
      </c>
      <c r="G3" s="1">
        <v>0.017074</v>
      </c>
      <c r="H3" s="1">
        <v>1252108804</v>
      </c>
      <c r="I3" s="1">
        <v>32772236</v>
      </c>
      <c r="J3" s="1">
        <v>19.1031946065566</v>
      </c>
      <c r="K3" s="1">
        <v>96</v>
      </c>
      <c r="L3" s="1">
        <v>32</v>
      </c>
      <c r="N3" s="1">
        <v>0.188175201416016</v>
      </c>
      <c r="P3" s="1">
        <v>0.640792846679687</v>
      </c>
      <c r="R3" s="3">
        <v>0.962337</v>
      </c>
      <c r="T3" s="4">
        <v>0.2976</v>
      </c>
      <c r="V3" s="5">
        <v>1.70450364</v>
      </c>
      <c r="X3" s="6">
        <v>1.433371</v>
      </c>
      <c r="Z3" s="7">
        <v>1.440942</v>
      </c>
      <c r="AB3" s="1">
        <f t="shared" ref="AB3:AB21" si="0">Z3/V3</f>
        <v>0.845373378023411</v>
      </c>
      <c r="AD3" s="1">
        <f t="shared" ref="AD3:AD22" si="1">Z3/X3</f>
        <v>1.00528195421841</v>
      </c>
    </row>
    <row r="4" spans="1:30">
      <c r="A4" s="1">
        <v>3</v>
      </c>
      <c r="B4" s="1" t="s">
        <v>23</v>
      </c>
      <c r="C4" s="1">
        <v>259789</v>
      </c>
      <c r="D4" s="1">
        <v>4242673</v>
      </c>
      <c r="E4" s="1">
        <v>0.0493512</v>
      </c>
      <c r="F4" s="1">
        <v>2.506963</v>
      </c>
      <c r="G4" s="1">
        <v>0.00631</v>
      </c>
      <c r="H4" s="1">
        <v>142685030</v>
      </c>
      <c r="I4" s="1">
        <v>23356245</v>
      </c>
      <c r="J4" s="1">
        <v>3.05453701997046</v>
      </c>
      <c r="K4" s="1">
        <v>224</v>
      </c>
      <c r="L4" s="1">
        <v>56</v>
      </c>
      <c r="N4" s="1">
        <v>0.0797309875488281</v>
      </c>
      <c r="P4" s="1">
        <v>0.287654876708984</v>
      </c>
      <c r="R4" s="3">
        <v>0.364082</v>
      </c>
      <c r="T4" s="4">
        <v>0.198551</v>
      </c>
      <c r="V4" s="5">
        <v>1.79083236</v>
      </c>
      <c r="X4" s="6">
        <v>0.517517</v>
      </c>
      <c r="Z4" s="7">
        <v>1.552575</v>
      </c>
      <c r="AB4" s="1">
        <f t="shared" si="0"/>
        <v>0.8669571952564</v>
      </c>
      <c r="AD4" s="1">
        <f t="shared" si="1"/>
        <v>3.00004637528815</v>
      </c>
    </row>
    <row r="5" spans="1:30">
      <c r="A5" s="1">
        <v>4</v>
      </c>
      <c r="B5" s="1" t="s">
        <v>24</v>
      </c>
      <c r="C5" s="1">
        <v>130228</v>
      </c>
      <c r="D5" s="1">
        <v>2032536</v>
      </c>
      <c r="E5" s="1">
        <v>0.0236857</v>
      </c>
      <c r="F5" s="1">
        <v>1.908183</v>
      </c>
      <c r="G5" s="1">
        <v>0.004029</v>
      </c>
      <c r="H5" s="1">
        <v>69221652</v>
      </c>
      <c r="I5" s="1">
        <v>15231874</v>
      </c>
      <c r="J5" s="1">
        <v>2.27226315028604</v>
      </c>
      <c r="K5" s="1">
        <v>64</v>
      </c>
      <c r="L5" s="1">
        <v>16</v>
      </c>
      <c r="N5" s="1">
        <v>0.0694160461425781</v>
      </c>
      <c r="P5" s="1">
        <v>0.0967559814453125</v>
      </c>
      <c r="R5" s="3">
        <v>0.212776</v>
      </c>
      <c r="T5" s="4">
        <v>0.118984</v>
      </c>
      <c r="V5" s="5">
        <v>0.2820504</v>
      </c>
      <c r="X5" s="6">
        <v>0.315334</v>
      </c>
      <c r="Z5" s="7">
        <v>0.27309</v>
      </c>
      <c r="AB5" s="1">
        <f t="shared" si="0"/>
        <v>0.968231209741238</v>
      </c>
      <c r="AD5" s="1">
        <f t="shared" si="1"/>
        <v>0.866034109864461</v>
      </c>
    </row>
    <row r="6" spans="1:30">
      <c r="A6" s="1">
        <v>5</v>
      </c>
      <c r="B6" s="1" t="s">
        <v>25</v>
      </c>
      <c r="C6" s="1">
        <v>170998</v>
      </c>
      <c r="D6" s="1">
        <v>958936</v>
      </c>
      <c r="E6" s="1">
        <v>0.0119911</v>
      </c>
      <c r="F6" s="1">
        <v>0.961475</v>
      </c>
      <c r="G6" s="1">
        <v>0.002137</v>
      </c>
      <c r="H6" s="1">
        <v>17352752</v>
      </c>
      <c r="I6" s="1">
        <v>5222546</v>
      </c>
      <c r="J6" s="1">
        <v>1.66133069962428</v>
      </c>
      <c r="K6" s="1">
        <v>224</v>
      </c>
      <c r="L6" s="1">
        <v>56</v>
      </c>
      <c r="N6" s="1">
        <v>0.0385398864746094</v>
      </c>
      <c r="P6" s="1">
        <v>0.0560836791992188</v>
      </c>
      <c r="R6" s="3">
        <v>0.084316</v>
      </c>
      <c r="T6" s="4">
        <v>0.078995</v>
      </c>
      <c r="V6" s="5">
        <v>1.11941124</v>
      </c>
      <c r="X6" s="6">
        <v>0.131786</v>
      </c>
      <c r="Z6" s="7">
        <v>1.109791</v>
      </c>
      <c r="AB6" s="1">
        <f t="shared" si="0"/>
        <v>0.991405982309057</v>
      </c>
      <c r="AD6" s="1">
        <f t="shared" si="1"/>
        <v>8.42116006252561</v>
      </c>
    </row>
    <row r="7" spans="1:30">
      <c r="A7" s="1">
        <v>6</v>
      </c>
      <c r="B7" s="1" t="s">
        <v>26</v>
      </c>
      <c r="C7" s="1">
        <v>8297</v>
      </c>
      <c r="D7" s="1">
        <v>103689</v>
      </c>
      <c r="E7" s="1">
        <v>0.00122074</v>
      </c>
      <c r="F7" s="1">
        <v>0.0818</v>
      </c>
      <c r="G7" s="1">
        <v>0.000241</v>
      </c>
      <c r="H7" s="1">
        <v>17347694</v>
      </c>
      <c r="I7" s="1">
        <v>2801584</v>
      </c>
      <c r="J7" s="1">
        <v>3.09605101970885</v>
      </c>
      <c r="K7" s="1">
        <v>192</v>
      </c>
      <c r="L7" s="1">
        <v>64</v>
      </c>
      <c r="N7" s="1">
        <v>0.00768280029296875</v>
      </c>
      <c r="P7" s="1">
        <v>0.00947189331054687</v>
      </c>
      <c r="R7" s="3">
        <v>0.021126</v>
      </c>
      <c r="T7" s="4">
        <v>0.008755</v>
      </c>
      <c r="V7" s="5">
        <v>5.09454096</v>
      </c>
      <c r="X7" s="6">
        <v>0.042465</v>
      </c>
      <c r="Z7" s="7">
        <v>0.160549</v>
      </c>
      <c r="AB7" s="1">
        <f t="shared" si="0"/>
        <v>0.0315139285875915</v>
      </c>
      <c r="AD7" s="1">
        <f t="shared" si="1"/>
        <v>3.78073707759331</v>
      </c>
    </row>
    <row r="8" spans="1:30">
      <c r="A8" s="1">
        <v>7</v>
      </c>
      <c r="B8" s="1" t="s">
        <v>27</v>
      </c>
      <c r="C8" s="1">
        <v>13514</v>
      </c>
      <c r="D8" s="1">
        <v>352762</v>
      </c>
      <c r="E8" s="1">
        <v>0.00404321</v>
      </c>
      <c r="F8" s="1">
        <v>0.356394</v>
      </c>
      <c r="G8" s="1">
        <v>0.000567</v>
      </c>
      <c r="H8" s="1">
        <v>23537356</v>
      </c>
      <c r="I8" s="1">
        <v>2957530</v>
      </c>
      <c r="J8" s="1">
        <v>3.97922523186578</v>
      </c>
      <c r="K8" s="1">
        <v>256</v>
      </c>
      <c r="L8" s="1">
        <v>64</v>
      </c>
      <c r="N8" s="1">
        <v>0.0158653259277344</v>
      </c>
      <c r="P8" s="1">
        <v>0.0237159729003906</v>
      </c>
      <c r="R8" s="3">
        <v>0.03772</v>
      </c>
      <c r="T8" s="4">
        <v>0.014896</v>
      </c>
      <c r="V8" s="5">
        <v>0.1104609</v>
      </c>
      <c r="X8" s="6">
        <v>0.059761</v>
      </c>
      <c r="Z8" s="7">
        <v>0.106407</v>
      </c>
      <c r="AB8" s="1">
        <f t="shared" si="0"/>
        <v>0.963300136066246</v>
      </c>
      <c r="AD8" s="1">
        <f t="shared" si="1"/>
        <v>1.78054249426884</v>
      </c>
    </row>
    <row r="9" spans="1:30">
      <c r="A9" s="1">
        <v>8</v>
      </c>
      <c r="B9" s="1" t="s">
        <v>28</v>
      </c>
      <c r="C9" s="1">
        <v>36417</v>
      </c>
      <c r="D9" s="1">
        <v>4344765</v>
      </c>
      <c r="E9" s="1">
        <v>0.048828</v>
      </c>
      <c r="F9" s="1">
        <v>2.489916</v>
      </c>
      <c r="G9" s="1">
        <v>0.006999</v>
      </c>
      <c r="H9" s="1">
        <v>1110645318</v>
      </c>
      <c r="I9" s="1">
        <v>19594581</v>
      </c>
      <c r="J9" s="1">
        <v>28.3406243287366</v>
      </c>
      <c r="K9" s="1">
        <v>224</v>
      </c>
      <c r="L9" s="1">
        <v>56</v>
      </c>
      <c r="N9" s="1">
        <v>0.0713653564453125</v>
      </c>
      <c r="P9" s="1">
        <v>0.289543151855469</v>
      </c>
      <c r="R9" s="3">
        <v>0.413395</v>
      </c>
      <c r="T9" s="4">
        <v>0.094288</v>
      </c>
      <c r="V9" s="5">
        <v>0.7353741</v>
      </c>
      <c r="X9" s="6">
        <v>0.480946</v>
      </c>
      <c r="Z9" s="7">
        <v>0.692253</v>
      </c>
      <c r="AB9" s="1">
        <f t="shared" si="0"/>
        <v>0.941361682441631</v>
      </c>
      <c r="AD9" s="1">
        <f t="shared" si="1"/>
        <v>1.43935701721191</v>
      </c>
    </row>
    <row r="10" spans="1:30">
      <c r="A10" s="1">
        <v>9</v>
      </c>
      <c r="B10" s="1" t="s">
        <v>29</v>
      </c>
      <c r="C10" s="1">
        <v>46835</v>
      </c>
      <c r="D10" s="1">
        <v>2374001</v>
      </c>
      <c r="E10" s="1">
        <v>0.0268806</v>
      </c>
      <c r="F10" s="1">
        <v>2.242504</v>
      </c>
      <c r="G10" s="1">
        <v>0.004532</v>
      </c>
      <c r="H10" s="1">
        <v>312960518</v>
      </c>
      <c r="I10" s="1">
        <v>7900917</v>
      </c>
      <c r="J10" s="1">
        <v>19.8053287991761</v>
      </c>
      <c r="K10" s="1">
        <v>224</v>
      </c>
      <c r="L10" s="1">
        <v>56</v>
      </c>
      <c r="N10" s="1">
        <v>0.0771484375</v>
      </c>
      <c r="P10" s="1">
        <v>0.151248931884766</v>
      </c>
      <c r="R10" s="3">
        <v>0.210281</v>
      </c>
      <c r="T10" s="4">
        <v>0.062935</v>
      </c>
      <c r="V10" s="5">
        <v>0.61053528</v>
      </c>
      <c r="X10" s="6">
        <v>0.227623</v>
      </c>
      <c r="Z10" s="7">
        <v>0.570526</v>
      </c>
      <c r="AB10" s="1">
        <f t="shared" si="0"/>
        <v>0.934468520803581</v>
      </c>
      <c r="AD10" s="1">
        <f t="shared" si="1"/>
        <v>2.50645145701445</v>
      </c>
    </row>
    <row r="11" spans="1:30">
      <c r="A11" s="1">
        <v>10</v>
      </c>
      <c r="B11" s="1" t="s">
        <v>30</v>
      </c>
      <c r="C11" s="1">
        <v>140874</v>
      </c>
      <c r="D11" s="1">
        <v>7813404</v>
      </c>
      <c r="E11" s="1">
        <v>0.0883713</v>
      </c>
      <c r="F11" s="1">
        <v>3.649785</v>
      </c>
      <c r="G11" s="1">
        <v>0.01045</v>
      </c>
      <c r="H11" s="1">
        <v>901278576</v>
      </c>
      <c r="I11" s="1">
        <v>24086412</v>
      </c>
      <c r="J11" s="1">
        <v>18.709274258034</v>
      </c>
      <c r="K11" s="1">
        <v>96</v>
      </c>
      <c r="L11" s="1">
        <v>32</v>
      </c>
      <c r="N11" s="1">
        <v>0.1275634765625</v>
      </c>
      <c r="P11" s="1">
        <v>0.366386413574219</v>
      </c>
      <c r="R11" s="3">
        <v>0.668411</v>
      </c>
      <c r="T11" s="4">
        <v>0.198586</v>
      </c>
      <c r="V11" s="5">
        <v>1.78208178</v>
      </c>
      <c r="X11" s="6">
        <v>0.717018</v>
      </c>
      <c r="Z11" s="7">
        <v>1.728882</v>
      </c>
      <c r="AB11" s="1">
        <f t="shared" si="0"/>
        <v>0.970147396939326</v>
      </c>
      <c r="AD11" s="1">
        <f t="shared" si="1"/>
        <v>2.41121143402258</v>
      </c>
    </row>
    <row r="12" spans="1:30">
      <c r="A12" s="1">
        <v>11</v>
      </c>
      <c r="B12" s="1" t="s">
        <v>31</v>
      </c>
      <c r="C12" s="1">
        <v>83334</v>
      </c>
      <c r="D12" s="1">
        <v>6010480</v>
      </c>
      <c r="E12" s="1">
        <v>0.0677933</v>
      </c>
      <c r="F12" s="1">
        <v>3.20955</v>
      </c>
      <c r="G12" s="1">
        <v>0.008222</v>
      </c>
      <c r="H12" s="1">
        <v>927690060</v>
      </c>
      <c r="I12" s="1">
        <v>26539736</v>
      </c>
      <c r="J12" s="1">
        <v>17.4773792022649</v>
      </c>
      <c r="K12" s="1">
        <v>160</v>
      </c>
      <c r="L12" s="1">
        <v>40</v>
      </c>
      <c r="N12" s="1">
        <v>0.0982780456542969</v>
      </c>
      <c r="P12" s="1">
        <v>0.327442169189453</v>
      </c>
      <c r="R12" s="3">
        <v>0.5611</v>
      </c>
      <c r="T12" s="4">
        <v>0.150242</v>
      </c>
      <c r="V12" s="5">
        <v>0.688857</v>
      </c>
      <c r="X12" s="6">
        <v>0.64085</v>
      </c>
      <c r="Z12" s="7">
        <v>0.62524</v>
      </c>
      <c r="AB12" s="1">
        <f t="shared" si="0"/>
        <v>0.907648466953228</v>
      </c>
      <c r="AD12" s="1">
        <f t="shared" si="1"/>
        <v>0.975641725832878</v>
      </c>
    </row>
    <row r="13" spans="1:30">
      <c r="A13" s="1">
        <v>12</v>
      </c>
      <c r="B13" s="1" t="s">
        <v>32</v>
      </c>
      <c r="C13" s="1">
        <v>106437</v>
      </c>
      <c r="D13" s="1">
        <v>2707179</v>
      </c>
      <c r="E13" s="1">
        <v>0.0310482</v>
      </c>
      <c r="F13" s="1">
        <v>1.634267</v>
      </c>
      <c r="G13" s="1">
        <v>0.005053</v>
      </c>
      <c r="H13" s="1">
        <v>171914370</v>
      </c>
      <c r="I13" s="1">
        <v>20161619</v>
      </c>
      <c r="J13" s="1">
        <v>4.26340687223581</v>
      </c>
      <c r="K13" s="1">
        <v>192</v>
      </c>
      <c r="L13" s="1">
        <v>64</v>
      </c>
      <c r="N13" s="1">
        <v>0.0500335693359375</v>
      </c>
      <c r="P13" s="1">
        <v>0.182876586914062</v>
      </c>
      <c r="R13" s="3">
        <v>0.237019</v>
      </c>
      <c r="T13" s="4">
        <v>0.101383</v>
      </c>
      <c r="V13" s="5">
        <v>0.98652156</v>
      </c>
      <c r="X13" s="6">
        <v>0.385063</v>
      </c>
      <c r="Z13" s="7">
        <v>0.944103</v>
      </c>
      <c r="AB13" s="1">
        <f t="shared" si="0"/>
        <v>0.957001892589149</v>
      </c>
      <c r="AD13" s="1">
        <f t="shared" si="1"/>
        <v>2.45181437842639</v>
      </c>
    </row>
    <row r="14" spans="1:30">
      <c r="A14" s="1">
        <v>13</v>
      </c>
      <c r="B14" s="1" t="s">
        <v>33</v>
      </c>
      <c r="C14" s="1">
        <v>206500</v>
      </c>
      <c r="D14" s="1">
        <v>1273389</v>
      </c>
      <c r="E14" s="1">
        <v>0.0157699</v>
      </c>
      <c r="F14" s="1">
        <v>1.181649</v>
      </c>
      <c r="G14" s="1">
        <v>0.002574</v>
      </c>
      <c r="H14" s="1">
        <v>31104754</v>
      </c>
      <c r="I14" s="1">
        <v>9311996</v>
      </c>
      <c r="J14" s="1">
        <v>1.67014429559463</v>
      </c>
      <c r="K14" s="1">
        <v>192</v>
      </c>
      <c r="L14" s="1">
        <v>32</v>
      </c>
      <c r="N14" s="1">
        <v>0.0488052368164063</v>
      </c>
      <c r="P14" s="1">
        <v>0.0801048278808594</v>
      </c>
      <c r="R14" s="3">
        <v>0.248554</v>
      </c>
      <c r="T14" s="4">
        <v>0.121784</v>
      </c>
      <c r="V14" s="5">
        <v>0.91757364</v>
      </c>
      <c r="X14" s="6">
        <v>0.201973</v>
      </c>
      <c r="Z14" s="7">
        <v>0.896011</v>
      </c>
      <c r="AB14" s="1">
        <f t="shared" si="0"/>
        <v>0.976500371130975</v>
      </c>
      <c r="AD14" s="1">
        <f t="shared" si="1"/>
        <v>4.43629098938967</v>
      </c>
    </row>
    <row r="15" spans="1:30">
      <c r="A15" s="1">
        <v>14</v>
      </c>
      <c r="B15" s="1" t="s">
        <v>34</v>
      </c>
      <c r="C15" s="1">
        <v>1508065</v>
      </c>
      <c r="D15" s="1">
        <v>52672325</v>
      </c>
      <c r="E15" s="1">
        <v>0.599895</v>
      </c>
      <c r="F15" s="1">
        <v>34.292275</v>
      </c>
      <c r="G15" s="1">
        <v>0.113373</v>
      </c>
      <c r="H15" s="1">
        <v>3681833750</v>
      </c>
      <c r="I15" s="1">
        <v>142742975</v>
      </c>
      <c r="J15" s="1">
        <v>12.8967248650941</v>
      </c>
      <c r="K15" s="1">
        <v>192</v>
      </c>
      <c r="L15" s="1">
        <v>64</v>
      </c>
      <c r="N15" s="1">
        <v>0.857215881347656</v>
      </c>
      <c r="P15" s="1">
        <v>2.68218231201172</v>
      </c>
      <c r="R15" s="3">
        <v>4.214027</v>
      </c>
      <c r="T15" s="4">
        <v>1.588142</v>
      </c>
      <c r="V15" s="5">
        <v>15.31857538</v>
      </c>
      <c r="X15" s="6">
        <v>4.62088</v>
      </c>
      <c r="Z15" s="7">
        <v>14.440533</v>
      </c>
      <c r="AB15" s="1">
        <f t="shared" si="0"/>
        <v>0.942681198595897</v>
      </c>
      <c r="AD15" s="1">
        <f t="shared" si="1"/>
        <v>3.12506124374578</v>
      </c>
    </row>
    <row r="16" spans="1:30">
      <c r="A16" s="1">
        <v>15</v>
      </c>
      <c r="B16" s="1" t="s">
        <v>35</v>
      </c>
      <c r="C16" s="1">
        <v>220542</v>
      </c>
      <c r="D16" s="1">
        <v>10768436</v>
      </c>
      <c r="E16" s="1">
        <v>0.12199</v>
      </c>
      <c r="F16" s="1">
        <v>5.651248</v>
      </c>
      <c r="G16" s="1">
        <v>0.014728</v>
      </c>
      <c r="H16" s="1">
        <v>1124056276</v>
      </c>
      <c r="I16" s="1">
        <v>34242180</v>
      </c>
      <c r="J16" s="1">
        <v>16.4133281817922</v>
      </c>
      <c r="K16" s="1">
        <v>192</v>
      </c>
      <c r="L16" s="1">
        <v>64</v>
      </c>
      <c r="N16" s="1">
        <v>0.175235748291016</v>
      </c>
      <c r="P16" s="1">
        <v>0.620738983154297</v>
      </c>
      <c r="R16" s="3">
        <v>0.871307</v>
      </c>
      <c r="T16" s="4">
        <v>0.286663</v>
      </c>
      <c r="V16" s="5">
        <v>3.32105064</v>
      </c>
      <c r="X16" s="6">
        <v>1.60141</v>
      </c>
      <c r="Z16" s="7">
        <v>2.836971</v>
      </c>
      <c r="AB16" s="1">
        <f t="shared" si="0"/>
        <v>0.854239006725896</v>
      </c>
      <c r="AD16" s="1">
        <f t="shared" si="1"/>
        <v>1.77154570035157</v>
      </c>
    </row>
    <row r="17" spans="1:30">
      <c r="A17" s="1">
        <v>16</v>
      </c>
      <c r="B17" s="1" t="s">
        <v>36</v>
      </c>
      <c r="C17" s="1">
        <v>40216</v>
      </c>
      <c r="D17" s="1">
        <v>1042160</v>
      </c>
      <c r="E17" s="1">
        <v>0.0119467</v>
      </c>
      <c r="F17" s="1">
        <v>0.598348</v>
      </c>
      <c r="G17" s="1">
        <v>0.002259</v>
      </c>
      <c r="H17" s="1">
        <v>8097139548</v>
      </c>
      <c r="I17" s="1">
        <v>404705284</v>
      </c>
      <c r="J17" s="1">
        <v>10.0037482436231</v>
      </c>
      <c r="K17" s="1">
        <v>96</v>
      </c>
      <c r="L17" s="1">
        <v>32</v>
      </c>
      <c r="N17" s="1">
        <v>0.0219306945800781</v>
      </c>
      <c r="P17" s="1">
        <v>0.0627288818359375</v>
      </c>
      <c r="R17" s="3">
        <v>0.106789</v>
      </c>
      <c r="T17" s="4">
        <v>0.040337</v>
      </c>
      <c r="V17" s="5">
        <v>0.73633086</v>
      </c>
      <c r="X17" s="6">
        <v>4.631954</v>
      </c>
      <c r="Z17" s="7">
        <v>0.29842</v>
      </c>
      <c r="AB17" s="1">
        <f t="shared" si="0"/>
        <v>0.405279767847839</v>
      </c>
      <c r="AD17" s="1">
        <f t="shared" si="1"/>
        <v>0.0644263738370459</v>
      </c>
    </row>
    <row r="18" spans="1:30">
      <c r="A18" s="1">
        <v>17</v>
      </c>
      <c r="B18" s="1" t="s">
        <v>37</v>
      </c>
      <c r="C18" s="1">
        <v>16783</v>
      </c>
      <c r="D18" s="1">
        <v>9323427</v>
      </c>
      <c r="E18" s="1">
        <v>0.104323</v>
      </c>
      <c r="F18" s="1">
        <v>2.545213</v>
      </c>
      <c r="G18" s="1">
        <v>0.012501</v>
      </c>
      <c r="H18" s="1">
        <v>61431943634</v>
      </c>
      <c r="I18" s="1">
        <v>270864545</v>
      </c>
      <c r="J18" s="1">
        <v>113.399750480448</v>
      </c>
      <c r="K18" s="1">
        <v>64</v>
      </c>
      <c r="L18" s="1">
        <v>16</v>
      </c>
      <c r="N18" s="1">
        <v>0.109840393066406</v>
      </c>
      <c r="P18" s="1">
        <v>0.51910400390625</v>
      </c>
      <c r="R18" s="3">
        <v>0.620068</v>
      </c>
      <c r="T18" s="4">
        <v>0.140514</v>
      </c>
      <c r="V18" s="5">
        <v>2.51358396</v>
      </c>
      <c r="X18" s="6">
        <v>3.571838</v>
      </c>
      <c r="Z18" s="7">
        <v>0.544983</v>
      </c>
      <c r="AB18" s="1">
        <f t="shared" si="0"/>
        <v>0.216815116850125</v>
      </c>
      <c r="AD18" s="1">
        <f t="shared" si="1"/>
        <v>0.152577748486913</v>
      </c>
    </row>
    <row r="19" spans="1:30">
      <c r="A19" s="1">
        <v>18</v>
      </c>
      <c r="B19" s="1" t="s">
        <v>38</v>
      </c>
      <c r="C19" s="1">
        <v>56814</v>
      </c>
      <c r="D19" s="1">
        <v>8767466</v>
      </c>
      <c r="E19" s="1">
        <v>0.0984074</v>
      </c>
      <c r="F19" s="1">
        <v>5.024497</v>
      </c>
      <c r="G19" s="1">
        <v>0.011893</v>
      </c>
      <c r="H19" s="8">
        <v>107894274940</v>
      </c>
      <c r="I19" s="8">
        <v>805683050</v>
      </c>
      <c r="J19" s="1">
        <v>66.9582628925854</v>
      </c>
      <c r="K19" s="1">
        <v>32</v>
      </c>
      <c r="L19" s="1">
        <v>8</v>
      </c>
      <c r="N19" s="1">
        <v>0.13763427734375</v>
      </c>
      <c r="P19" s="1">
        <v>0.575939178466797</v>
      </c>
      <c r="R19" s="3">
        <v>0.824921</v>
      </c>
      <c r="T19" s="4">
        <v>0.188778</v>
      </c>
      <c r="V19" s="5">
        <v>2.18659746</v>
      </c>
      <c r="X19" s="6">
        <v>9.53484</v>
      </c>
      <c r="Z19" s="7">
        <v>0.524551</v>
      </c>
      <c r="AB19" s="1">
        <f t="shared" si="0"/>
        <v>0.239893720538759</v>
      </c>
      <c r="AD19" s="1">
        <f t="shared" si="1"/>
        <v>0.0550141376258018</v>
      </c>
    </row>
    <row r="20" spans="1:30">
      <c r="A20" s="1">
        <v>19</v>
      </c>
      <c r="B20" s="1" t="s">
        <v>39</v>
      </c>
      <c r="C20" s="1">
        <v>3997962</v>
      </c>
      <c r="D20" s="1">
        <v>69362378</v>
      </c>
      <c r="E20" s="1">
        <v>0.804972</v>
      </c>
      <c r="F20" s="1">
        <v>27.44654</v>
      </c>
      <c r="G20" s="1">
        <v>0.191223</v>
      </c>
      <c r="H20" s="8">
        <v>17161797536</v>
      </c>
      <c r="I20" s="8">
        <v>4859092804</v>
      </c>
      <c r="J20" s="1">
        <v>1.76594667237806</v>
      </c>
      <c r="K20" s="1">
        <v>96</v>
      </c>
      <c r="L20" s="1">
        <v>16</v>
      </c>
      <c r="N20" s="1">
        <v>0.89935302734375</v>
      </c>
      <c r="P20" s="1">
        <v>4.03906631469727</v>
      </c>
      <c r="R20" s="3">
        <v>5.769566</v>
      </c>
      <c r="T20" s="4">
        <v>4.235954</v>
      </c>
      <c r="V20" s="5">
        <v>10.13652642</v>
      </c>
      <c r="X20" s="6">
        <v>58.656967</v>
      </c>
      <c r="Z20" s="7">
        <v>9.852055</v>
      </c>
      <c r="AB20" s="1">
        <f t="shared" si="0"/>
        <v>0.971936005667709</v>
      </c>
      <c r="AD20" s="1">
        <f t="shared" si="1"/>
        <v>0.16796052547347</v>
      </c>
    </row>
    <row r="21" s="1" customFormat="1" spans="1:30">
      <c r="A21" s="1">
        <v>20</v>
      </c>
      <c r="B21" s="1" t="s">
        <v>40</v>
      </c>
      <c r="C21" s="1">
        <v>3566907</v>
      </c>
      <c r="D21" s="1">
        <v>45030389</v>
      </c>
      <c r="E21" s="1">
        <v>0.529829</v>
      </c>
      <c r="F21" s="1">
        <v>25.8382</v>
      </c>
      <c r="G21" s="1">
        <v>0.059098</v>
      </c>
      <c r="H21" s="8">
        <v>447425101530</v>
      </c>
      <c r="I21" s="8">
        <v>165704430144</v>
      </c>
      <c r="J21" s="1">
        <v>1.35006982354419</v>
      </c>
      <c r="K21" s="1">
        <v>192</v>
      </c>
      <c r="L21" s="1">
        <v>32</v>
      </c>
      <c r="N21" s="1">
        <v>1.11782073974609</v>
      </c>
      <c r="P21" s="1">
        <v>2.17636489868164</v>
      </c>
      <c r="R21" s="3">
        <v>7.705204</v>
      </c>
      <c r="T21" s="4">
        <v>3.065285</v>
      </c>
      <c r="V21" s="5">
        <v>495.594868</v>
      </c>
      <c r="X21" s="6">
        <v>1853.009658</v>
      </c>
      <c r="Z21" s="7">
        <v>19.853928</v>
      </c>
      <c r="AA21" s="2"/>
      <c r="AB21" s="1">
        <f t="shared" si="0"/>
        <v>0.0400608022438198</v>
      </c>
      <c r="AD21" s="1">
        <f t="shared" si="1"/>
        <v>0.0107144222990337</v>
      </c>
    </row>
    <row r="22" spans="1:30">
      <c r="AA22" s="2" t="s">
        <v>41</v>
      </c>
      <c r="AB22" s="1">
        <f>AVERAGE(AB13:AB21)</f>
        <v>0.622711986910019</v>
      </c>
      <c r="AD22" s="1">
        <f>AVERAGE(AD13:AD21)</f>
        <v>1.35948950218174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AMDEPYC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036</cp:lastModifiedBy>
  <dcterms:created xsi:type="dcterms:W3CDTF">2026-03-28T15:10:00Z</dcterms:created>
  <dcterms:modified xsi:type="dcterms:W3CDTF">2026-07-05T18:53:00Z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8902E3688E8A05E3D5DBC4694B073763_43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