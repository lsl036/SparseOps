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60"/>
  </bookViews>
  <sheets>
    <sheet name="Xeon5120" sheetId="1" r:id="rId1"/>
    <sheet name="Xeon6248" sheetId="2" r:id="rId2"/>
    <sheet name="Sheet3" sheetId="3" r:id="rId3"/>
  </sheets>
  <definedNames>
    <definedName name="_xlnm._FilterDatabase" localSheetId="0" hidden="1">Xeon5120!$A$1:$AA$611</definedName>
    <definedName name="_xlnm._FilterDatabase" localSheetId="1" hidden="1">Xeon6248!$A$1:$AK$611</definedName>
    <definedName name="_xlnm._FilterDatabase" localSheetId="2" hidden="1">Sheet3!$A$1:$AK$633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<sst xmlns="http://schemas.openxmlformats.org/spreadsheetml/2006/main" count="3222" uniqueCount="670">
  <si>
    <t>DATA_name</t>
  </si>
  <si>
    <t>FLOPs</t>
  </si>
  <si>
    <t>denseRatio</t>
  </si>
  <si>
    <t>average_1</t>
  </si>
  <si>
    <t>Speedup_5</t>
  </si>
  <si>
    <t>Hier_GFlops</t>
  </si>
  <si>
    <t>Le_GFlops</t>
  </si>
  <si>
    <t>CSeg_Time</t>
  </si>
  <si>
    <t>CSeg_GFlops</t>
  </si>
  <si>
    <t>average_2</t>
  </si>
  <si>
    <t>Ha-SpGEMM</t>
  </si>
  <si>
    <t>Ha_GFlops</t>
  </si>
  <si>
    <t>average_3</t>
  </si>
  <si>
    <t>GraphBLAS</t>
  </si>
  <si>
    <t>Gra_GFlops</t>
  </si>
  <si>
    <t>Speeup</t>
  </si>
  <si>
    <t>average_4</t>
  </si>
  <si>
    <t>MKL_GFlops</t>
  </si>
  <si>
    <t>average_5</t>
  </si>
  <si>
    <t>kokkos_time</t>
  </si>
  <si>
    <t>kokkos_GFlops</t>
  </si>
  <si>
    <t>average_6</t>
  </si>
  <si>
    <t>cca</t>
  </si>
  <si>
    <t>ccc</t>
  </si>
  <si>
    <t>rajat09</t>
  </si>
  <si>
    <t>luxembourg_osm</t>
  </si>
  <si>
    <t>t60k</t>
  </si>
  <si>
    <t>p2p-Gnutella31</t>
  </si>
  <si>
    <t>aug3dcqp</t>
  </si>
  <si>
    <t>shock-9</t>
  </si>
  <si>
    <t>Wordnet3</t>
  </si>
  <si>
    <t>internet</t>
  </si>
  <si>
    <t>rajat10</t>
  </si>
  <si>
    <t>ford1</t>
  </si>
  <si>
    <t>barth5_id_867</t>
  </si>
  <si>
    <t>de2010</t>
  </si>
  <si>
    <t>mark3jac040sc</t>
  </si>
  <si>
    <t>mark3jac040</t>
  </si>
  <si>
    <t>bfly</t>
  </si>
  <si>
    <t>juba40k</t>
  </si>
  <si>
    <t>bauru5727</t>
  </si>
  <si>
    <t>cz10228</t>
  </si>
  <si>
    <t>Zhao1</t>
  </si>
  <si>
    <t>Zhao2</t>
  </si>
  <si>
    <t>ri2010</t>
  </si>
  <si>
    <t>bodyy4</t>
  </si>
  <si>
    <t>bodyy5</t>
  </si>
  <si>
    <t>hi2010</t>
  </si>
  <si>
    <t>usroads-48</t>
  </si>
  <si>
    <t>usroads</t>
  </si>
  <si>
    <t>bodyy6</t>
  </si>
  <si>
    <t>shermanACb</t>
  </si>
  <si>
    <t>wing</t>
  </si>
  <si>
    <t>ACTIVSg70K</t>
  </si>
  <si>
    <t>obstclae</t>
  </si>
  <si>
    <t>torsion1</t>
  </si>
  <si>
    <t>jnlbrng1</t>
  </si>
  <si>
    <t>minsurfo</t>
  </si>
  <si>
    <t>rail_20209</t>
  </si>
  <si>
    <t>vt2010</t>
  </si>
  <si>
    <t>shuttle_eddy_id_881</t>
  </si>
  <si>
    <t>shuttle_eddy_id_763</t>
  </si>
  <si>
    <t>cvxqp3</t>
  </si>
  <si>
    <t>ACTIVSg10K</t>
  </si>
  <si>
    <t>bratu3d</t>
  </si>
  <si>
    <t>jan99jac060sc</t>
  </si>
  <si>
    <t>jan99jac060</t>
  </si>
  <si>
    <t>mark3jac060sc</t>
  </si>
  <si>
    <t>mark3jac060</t>
  </si>
  <si>
    <t>CurlCurl_0</t>
  </si>
  <si>
    <t>epb2</t>
  </si>
  <si>
    <t>wang3</t>
  </si>
  <si>
    <t>wang4</t>
  </si>
  <si>
    <t>hvdc1</t>
  </si>
  <si>
    <t>delaunay_n15</t>
  </si>
  <si>
    <t>mario001</t>
  </si>
  <si>
    <t>shallow_water2</t>
  </si>
  <si>
    <t>shallow_water1</t>
  </si>
  <si>
    <t>foldoc</t>
  </si>
  <si>
    <t>vsp_barth5_1Ksep_50in_5Kout</t>
  </si>
  <si>
    <t>onetone2</t>
  </si>
  <si>
    <t>dixmaanl</t>
  </si>
  <si>
    <t>g7jac040</t>
  </si>
  <si>
    <t>g7jac040sc</t>
  </si>
  <si>
    <t>shyy161</t>
  </si>
  <si>
    <t>mark3jac080sc</t>
  </si>
  <si>
    <t>mark3jac080</t>
  </si>
  <si>
    <t>jan99jac080sc</t>
  </si>
  <si>
    <t>jan99jac080</t>
  </si>
  <si>
    <t>cz20468</t>
  </si>
  <si>
    <t>stokes64</t>
  </si>
  <si>
    <t>stokes64s</t>
  </si>
  <si>
    <t>nh2010</t>
  </si>
  <si>
    <t>dictionary28</t>
  </si>
  <si>
    <t>spmsrtls</t>
  </si>
  <si>
    <t>Ill_Stokes</t>
  </si>
  <si>
    <t>JapaneseVowelsSmall_10NN</t>
  </si>
  <si>
    <t>indianpines_10NN</t>
  </si>
  <si>
    <t>mark3jac100</t>
  </si>
  <si>
    <t>mark3jac100sc</t>
  </si>
  <si>
    <t>jan99jac100</t>
  </si>
  <si>
    <t>jan99jac100sc</t>
  </si>
  <si>
    <t>aft01</t>
  </si>
  <si>
    <t>onera_dual</t>
  </si>
  <si>
    <t>ABACUS_shell_ud</t>
  </si>
  <si>
    <t>OPF_3754</t>
  </si>
  <si>
    <t>lung2</t>
  </si>
  <si>
    <t>cage10</t>
  </si>
  <si>
    <t>wing_nodal</t>
  </si>
  <si>
    <t>pds10</t>
  </si>
  <si>
    <t>ct2010</t>
  </si>
  <si>
    <t>tandem_dual</t>
  </si>
  <si>
    <t>mhd4800a</t>
  </si>
  <si>
    <t>mnist_test_norm_10NN</t>
  </si>
  <si>
    <t>mark3jac120sc</t>
  </si>
  <si>
    <t>mark3jac120</t>
  </si>
  <si>
    <t>me2010</t>
  </si>
  <si>
    <t>bcircuit</t>
  </si>
  <si>
    <t>crystm01</t>
  </si>
  <si>
    <t>cont-201</t>
  </si>
  <si>
    <t>sd2010</t>
  </si>
  <si>
    <t>jan99jac120sc</t>
  </si>
  <si>
    <t>jan99jac120</t>
  </si>
  <si>
    <t>delaunay_n16</t>
  </si>
  <si>
    <t>epb3</t>
  </si>
  <si>
    <t>nasa4704_id_365</t>
  </si>
  <si>
    <t>nasa4704_id_760</t>
  </si>
  <si>
    <t>ak2010</t>
  </si>
  <si>
    <t>bcsstk18</t>
  </si>
  <si>
    <t>g7jac050sc</t>
  </si>
  <si>
    <t>patents_main</t>
  </si>
  <si>
    <t>fe_body</t>
  </si>
  <si>
    <t>cvxbqp1</t>
  </si>
  <si>
    <t>ncvxbqp1</t>
  </si>
  <si>
    <t>har_10NN</t>
  </si>
  <si>
    <t>onetone1</t>
  </si>
  <si>
    <t>mark3jac140</t>
  </si>
  <si>
    <t>mark3jac140sc</t>
  </si>
  <si>
    <t>raefsky5</t>
  </si>
  <si>
    <t>t2dah</t>
  </si>
  <si>
    <t>t2dah_e</t>
  </si>
  <si>
    <t>t2dah_a</t>
  </si>
  <si>
    <t>pwt_id_762</t>
  </si>
  <si>
    <t>pwt_id_1273</t>
  </si>
  <si>
    <t>pwt_id_880</t>
  </si>
  <si>
    <t>worms20_10NN</t>
  </si>
  <si>
    <t>kmnist_norm_10NN</t>
  </si>
  <si>
    <t>ex35</t>
  </si>
  <si>
    <t>Fashion_MNIST_norm_10NN</t>
  </si>
  <si>
    <t>copter1</t>
  </si>
  <si>
    <t>nv2010</t>
  </si>
  <si>
    <t>wy2010</t>
  </si>
  <si>
    <t>shar_te2-b3</t>
  </si>
  <si>
    <t>m133-b3</t>
  </si>
  <si>
    <t>ford2</t>
  </si>
  <si>
    <t>cz40948</t>
  </si>
  <si>
    <t>chem_master1</t>
  </si>
  <si>
    <t>ecl32</t>
  </si>
  <si>
    <t>ncvxqp5</t>
  </si>
  <si>
    <t>lhr07</t>
  </si>
  <si>
    <t>lhr07c</t>
  </si>
  <si>
    <t>rgg_n_2_15_s0</t>
  </si>
  <si>
    <t>Linux_call_graph</t>
  </si>
  <si>
    <t>ted_B_unscaled</t>
  </si>
  <si>
    <t>ted_B</t>
  </si>
  <si>
    <t>skirt_id_882</t>
  </si>
  <si>
    <t>skirt_id_764</t>
  </si>
  <si>
    <t>G2_circuit</t>
  </si>
  <si>
    <t>apache1</t>
  </si>
  <si>
    <t>tandem_vtx</t>
  </si>
  <si>
    <t>vsp_data_and_seymourl</t>
  </si>
  <si>
    <t>bcsstk15</t>
  </si>
  <si>
    <t>raefsky6</t>
  </si>
  <si>
    <t>g7jac060sc</t>
  </si>
  <si>
    <t>g7jac060</t>
  </si>
  <si>
    <t>nd2010</t>
  </si>
  <si>
    <t>finance256</t>
  </si>
  <si>
    <t>vsp_p0291_seymourl_iiasa</t>
  </si>
  <si>
    <t>thermal1</t>
  </si>
  <si>
    <t>chipcool1</t>
  </si>
  <si>
    <t>chipcool0</t>
  </si>
  <si>
    <t>ca-CondMat</t>
  </si>
  <si>
    <t>OPF_6000</t>
  </si>
  <si>
    <t>rail_79841</t>
  </si>
  <si>
    <t>c-41</t>
  </si>
  <si>
    <t>ncvxqp3</t>
  </si>
  <si>
    <t>Dubcova1</t>
  </si>
  <si>
    <t>ut2010</t>
  </si>
  <si>
    <t>wiki-Vote</t>
  </si>
  <si>
    <t>fe_ocean</t>
  </si>
  <si>
    <t>Muu</t>
  </si>
  <si>
    <t>mt2010</t>
  </si>
  <si>
    <t>coater2</t>
  </si>
  <si>
    <t>airfoil_2d</t>
  </si>
  <si>
    <t>bcsstk25</t>
  </si>
  <si>
    <t>LeGresley_87936</t>
  </si>
  <si>
    <t>delaunay_n17</t>
  </si>
  <si>
    <t>md2010</t>
  </si>
  <si>
    <t>thermomech_TK</t>
  </si>
  <si>
    <t>thermomech_TC</t>
  </si>
  <si>
    <t>ch7-8-b5</t>
  </si>
  <si>
    <t>lhr10c</t>
  </si>
  <si>
    <t>lhr10</t>
  </si>
  <si>
    <t>lhr11c</t>
  </si>
  <si>
    <t>lhr11</t>
  </si>
  <si>
    <t>wv2010</t>
  </si>
  <si>
    <t>k1_san</t>
  </si>
  <si>
    <t>igbt3</t>
  </si>
  <si>
    <t>ncvxqp7</t>
  </si>
  <si>
    <t>cond-mat-2003</t>
  </si>
  <si>
    <t>ss1</t>
  </si>
  <si>
    <t>cavity16</t>
  </si>
  <si>
    <t>cavity26</t>
  </si>
  <si>
    <t>cavity24</t>
  </si>
  <si>
    <t>cavity18</t>
  </si>
  <si>
    <t>cavity20</t>
  </si>
  <si>
    <t>cavity22</t>
  </si>
  <si>
    <t>cavity19</t>
  </si>
  <si>
    <t>cavity21</t>
  </si>
  <si>
    <t>cavity23</t>
  </si>
  <si>
    <t>cavity17</t>
  </si>
  <si>
    <t>cavity25</t>
  </si>
  <si>
    <t>nj2010</t>
  </si>
  <si>
    <t>ma2010</t>
  </si>
  <si>
    <t>ky2010</t>
  </si>
  <si>
    <t>cont-300</t>
  </si>
  <si>
    <t>language</t>
  </si>
  <si>
    <t>ne2010</t>
  </si>
  <si>
    <t>ms2010</t>
  </si>
  <si>
    <t>id2010</t>
  </si>
  <si>
    <t>c-49</t>
  </si>
  <si>
    <t>gridgena</t>
  </si>
  <si>
    <t>piston</t>
  </si>
  <si>
    <t>ia2010</t>
  </si>
  <si>
    <t>ar2010</t>
  </si>
  <si>
    <t>amazon0302</t>
  </si>
  <si>
    <t>sc2010</t>
  </si>
  <si>
    <t>nm2010</t>
  </si>
  <si>
    <t>wa2010</t>
  </si>
  <si>
    <t>cit-HepPh</t>
  </si>
  <si>
    <t>OPF_10000</t>
  </si>
  <si>
    <t>stokes128</t>
  </si>
  <si>
    <t>ks2010</t>
  </si>
  <si>
    <t>g7jac080sc</t>
  </si>
  <si>
    <t>g7jac080</t>
  </si>
  <si>
    <t>c-48</t>
  </si>
  <si>
    <t>lhr14c</t>
  </si>
  <si>
    <t>lhr14</t>
  </si>
  <si>
    <t>co2010</t>
  </si>
  <si>
    <t>helm3d01</t>
  </si>
  <si>
    <t>olesnik0</t>
  </si>
  <si>
    <t>Goodwin_023</t>
  </si>
  <si>
    <t>la2010</t>
  </si>
  <si>
    <t>ASIC_100ks</t>
  </si>
  <si>
    <t>or2010</t>
  </si>
  <si>
    <t>HEP-th</t>
  </si>
  <si>
    <t>TEM27623</t>
  </si>
  <si>
    <t>2D_27628_bjtcai</t>
  </si>
  <si>
    <t>benzene</t>
  </si>
  <si>
    <t>ex19</t>
  </si>
  <si>
    <t>HEP-th-new</t>
  </si>
  <si>
    <t>cit-HepTh</t>
  </si>
  <si>
    <t>wi2010</t>
  </si>
  <si>
    <t>mac_econ_fwd500</t>
  </si>
  <si>
    <t>bcsstk24</t>
  </si>
  <si>
    <t>pfinan512</t>
  </si>
  <si>
    <t>finan512</t>
  </si>
  <si>
    <t>bayer01</t>
  </si>
  <si>
    <t>wathen100</t>
  </si>
  <si>
    <t>mn2010</t>
  </si>
  <si>
    <t>crystm02</t>
  </si>
  <si>
    <t>in2010</t>
  </si>
  <si>
    <t>windtunnel_evap2d</t>
  </si>
  <si>
    <t>rgg_n_2_16_s0</t>
  </si>
  <si>
    <t>c-52</t>
  </si>
  <si>
    <t>lock3491</t>
  </si>
  <si>
    <t>tn2010</t>
  </si>
  <si>
    <t>nmos3</t>
  </si>
  <si>
    <t>ok2010</t>
  </si>
  <si>
    <t>g3rmt3m3</t>
  </si>
  <si>
    <t>s3rmt3m3</t>
  </si>
  <si>
    <t>lhr17</t>
  </si>
  <si>
    <t>lhr17c</t>
  </si>
  <si>
    <t>al2010</t>
  </si>
  <si>
    <t>gyro_m</t>
  </si>
  <si>
    <t>scircuit</t>
  </si>
  <si>
    <t>cage11</t>
  </si>
  <si>
    <t>s3rmt3m1</t>
  </si>
  <si>
    <t>s1rmt3m1</t>
  </si>
  <si>
    <t>s2rmt3m1</t>
  </si>
  <si>
    <t>bcsstm36</t>
  </si>
  <si>
    <t>hcircuit</t>
  </si>
  <si>
    <t>az2010</t>
  </si>
  <si>
    <t>man_5976</t>
  </si>
  <si>
    <t>torso2</t>
  </si>
  <si>
    <t>wathen120</t>
  </si>
  <si>
    <t>c-51</t>
  </si>
  <si>
    <t>ga2010</t>
  </si>
  <si>
    <t>NotreDame_www</t>
  </si>
  <si>
    <t>cond-mat-2005</t>
  </si>
  <si>
    <t>inlet</t>
  </si>
  <si>
    <t>nc2010</t>
  </si>
  <si>
    <t>g7jac100</t>
  </si>
  <si>
    <t>g7jac100sc</t>
  </si>
  <si>
    <t>mi2010</t>
  </si>
  <si>
    <t>delaunay_n18</t>
  </si>
  <si>
    <t>af23560</t>
  </si>
  <si>
    <t>thermomech_dM</t>
  </si>
  <si>
    <t>brack2</t>
  </si>
  <si>
    <t>va2010</t>
  </si>
  <si>
    <t>smallworld</t>
  </si>
  <si>
    <t>Andrews</t>
  </si>
  <si>
    <t>ny2010</t>
  </si>
  <si>
    <t>EAT_SR</t>
  </si>
  <si>
    <t>EAT_RS</t>
  </si>
  <si>
    <t>viscoplastic2</t>
  </si>
  <si>
    <t>FEM_3D_thermal1</t>
  </si>
  <si>
    <t>astro-ph</t>
  </si>
  <si>
    <t>mo2010</t>
  </si>
  <si>
    <t>c-60</t>
  </si>
  <si>
    <t>wiki-RfA</t>
  </si>
  <si>
    <t>G_n_pin_pout</t>
  </si>
  <si>
    <t>lpl1</t>
  </si>
  <si>
    <t>oh2010</t>
  </si>
  <si>
    <t>bcsstk28</t>
  </si>
  <si>
    <t>SiH4</t>
  </si>
  <si>
    <t>copter2_id_1256</t>
  </si>
  <si>
    <t>copter2_id_1230</t>
  </si>
  <si>
    <t>poisson3Da</t>
  </si>
  <si>
    <t>vsp_c-60_data_cti_cs4</t>
  </si>
  <si>
    <t>Goodwin_030</t>
  </si>
  <si>
    <t>Lin</t>
  </si>
  <si>
    <t>hvdc2</t>
  </si>
  <si>
    <t>fe_tooth</t>
  </si>
  <si>
    <t>k49_norm_10NN</t>
  </si>
  <si>
    <t>vibrobox</t>
  </si>
  <si>
    <t>garon2</t>
  </si>
  <si>
    <t>g7jac120</t>
  </si>
  <si>
    <t>g7jac120sc</t>
  </si>
  <si>
    <t>sinc12</t>
  </si>
  <si>
    <t>nasa2910_id_364</t>
  </si>
  <si>
    <t>nasa2910_id_759</t>
  </si>
  <si>
    <t>SiNa</t>
  </si>
  <si>
    <t>t3dl</t>
  </si>
  <si>
    <t>t3dl_a</t>
  </si>
  <si>
    <t>k3plates</t>
  </si>
  <si>
    <t>EX5</t>
  </si>
  <si>
    <t>EX6</t>
  </si>
  <si>
    <t>c-50</t>
  </si>
  <si>
    <t>graham1</t>
  </si>
  <si>
    <t>crystm03</t>
  </si>
  <si>
    <t>c-61</t>
  </si>
  <si>
    <t>s3rmq4m1</t>
  </si>
  <si>
    <t>s1rmq4m1</t>
  </si>
  <si>
    <t>s2rmq4m1</t>
  </si>
  <si>
    <t>3D_28984_Tetra</t>
  </si>
  <si>
    <t>denormal</t>
  </si>
  <si>
    <t>struct4</t>
  </si>
  <si>
    <t>t520</t>
  </si>
  <si>
    <t>goodwin</t>
  </si>
  <si>
    <t>Trefethen_20000b</t>
  </si>
  <si>
    <t>Trefethen_20000</t>
  </si>
  <si>
    <t>g7jac140sc</t>
  </si>
  <si>
    <t>g7jac140</t>
  </si>
  <si>
    <t>d_pretok</t>
  </si>
  <si>
    <t>turon_m</t>
  </si>
  <si>
    <t>lhr34</t>
  </si>
  <si>
    <t>lhr34c</t>
  </si>
  <si>
    <t>e40r0100</t>
  </si>
  <si>
    <t>enron</t>
  </si>
  <si>
    <t>nemeth04</t>
  </si>
  <si>
    <t>nemeth05</t>
  </si>
  <si>
    <t>nemeth06</t>
  </si>
  <si>
    <t>nemeth02</t>
  </si>
  <si>
    <t>nemeth03</t>
  </si>
  <si>
    <t>nemeth07</t>
  </si>
  <si>
    <t>nemeth08</t>
  </si>
  <si>
    <t>nemeth09</t>
  </si>
  <si>
    <t>nemeth10</t>
  </si>
  <si>
    <t>rgg_n_2_17_s0</t>
  </si>
  <si>
    <t>Baumann</t>
  </si>
  <si>
    <t>c-39</t>
  </si>
  <si>
    <t>ted_A</t>
  </si>
  <si>
    <t>ted_A_unscaled</t>
  </si>
  <si>
    <t>nemeth11</t>
  </si>
  <si>
    <t>Dubcova2</t>
  </si>
  <si>
    <t>bcsstk16</t>
  </si>
  <si>
    <t>c-42</t>
  </si>
  <si>
    <t>2D_54019_highK</t>
  </si>
  <si>
    <t>bcsstk38</t>
  </si>
  <si>
    <t>Kuu</t>
  </si>
  <si>
    <t>fe_rotor</t>
  </si>
  <si>
    <t>crashbasis</t>
  </si>
  <si>
    <t>majorbasis</t>
  </si>
  <si>
    <t>g7jac160</t>
  </si>
  <si>
    <t>g7jac160sc</t>
  </si>
  <si>
    <t>bcsstk17</t>
  </si>
  <si>
    <t>c-65</t>
  </si>
  <si>
    <t>ASIC_680ks</t>
  </si>
  <si>
    <t>598a</t>
  </si>
  <si>
    <t>dawson5</t>
  </si>
  <si>
    <t>com-Amazon</t>
  </si>
  <si>
    <t>nemeth12</t>
  </si>
  <si>
    <t>soc-sign-Slashdot081106</t>
  </si>
  <si>
    <t>crystk01</t>
  </si>
  <si>
    <t>Goodwin_040</t>
  </si>
  <si>
    <t>soc-sign-Slashdot090216</t>
  </si>
  <si>
    <t>g7jac180</t>
  </si>
  <si>
    <t>g7jac180sc</t>
  </si>
  <si>
    <t>soc-sign-Slashdot090221</t>
  </si>
  <si>
    <t>twotone</t>
  </si>
  <si>
    <t>mycielskian11</t>
  </si>
  <si>
    <t>CAG_mat1916</t>
  </si>
  <si>
    <t>nemeth13</t>
  </si>
  <si>
    <t>c-63</t>
  </si>
  <si>
    <t>c-55</t>
  </si>
  <si>
    <t>rajat22</t>
  </si>
  <si>
    <t>g7jac200</t>
  </si>
  <si>
    <t>g7jac200sc</t>
  </si>
  <si>
    <t>ca-AstroPh</t>
  </si>
  <si>
    <t>fxm4_6_id_1381</t>
  </si>
  <si>
    <t>c-47</t>
  </si>
  <si>
    <t>ckt11752_dc_1</t>
  </si>
  <si>
    <t>ckt11752_tr_0</t>
  </si>
  <si>
    <t>nemeth14</t>
  </si>
  <si>
    <t>struct3</t>
  </si>
  <si>
    <t>net25</t>
  </si>
  <si>
    <t>vsp_sctap1-2b_and_seymourl</t>
  </si>
  <si>
    <t>dblp-2010</t>
  </si>
  <si>
    <t>rajat26</t>
  </si>
  <si>
    <t>loc-Brightkite</t>
  </si>
  <si>
    <t>2cubes_sphere</t>
  </si>
  <si>
    <t>c-46</t>
  </si>
  <si>
    <t>c-68</t>
  </si>
  <si>
    <t>raefsky1</t>
  </si>
  <si>
    <t>raefsky2</t>
  </si>
  <si>
    <t>3D_51448_3D</t>
  </si>
  <si>
    <t>ibm_matrix_2</t>
  </si>
  <si>
    <t>c-59</t>
  </si>
  <si>
    <t>xenon1</t>
  </si>
  <si>
    <t>as-caida</t>
  </si>
  <si>
    <t>ASIC_320ks</t>
  </si>
  <si>
    <t>ca-HepPh</t>
  </si>
  <si>
    <t>bcsstk29</t>
  </si>
  <si>
    <t>nemeth15</t>
  </si>
  <si>
    <t>vsp_c-30_data_data</t>
  </si>
  <si>
    <t>sinc15</t>
  </si>
  <si>
    <t>cegb2802</t>
  </si>
  <si>
    <t>imagesensor</t>
  </si>
  <si>
    <t>ex40</t>
  </si>
  <si>
    <t>vsp_bump2_e18_aa01_model1_crew1</t>
  </si>
  <si>
    <t>lhr71</t>
  </si>
  <si>
    <t>lhr71c</t>
  </si>
  <si>
    <t>rajat15</t>
  </si>
  <si>
    <t>preferentialAttachment</t>
  </si>
  <si>
    <t>cbuckle</t>
  </si>
  <si>
    <t>Pres_Poisson</t>
  </si>
  <si>
    <t>Na5</t>
  </si>
  <si>
    <t>nemeth16</t>
  </si>
  <si>
    <t>sx-mathoverflow</t>
  </si>
  <si>
    <t>ex3sta1_id_1379</t>
  </si>
  <si>
    <t>coAuthorsCiteseer</t>
  </si>
  <si>
    <t>tube2</t>
  </si>
  <si>
    <t>tube1</t>
  </si>
  <si>
    <t>viscorocks</t>
  </si>
  <si>
    <t>cyl6</t>
  </si>
  <si>
    <t>c-69</t>
  </si>
  <si>
    <t>soc-Epinions1</t>
  </si>
  <si>
    <t>cegb2919</t>
  </si>
  <si>
    <t>Goodwin_054</t>
  </si>
  <si>
    <t>vsp_finan512_scagr7-2c_rlfddd</t>
  </si>
  <si>
    <t>c-56</t>
  </si>
  <si>
    <t>coAuthorsDBLP</t>
  </si>
  <si>
    <t>c-70</t>
  </si>
  <si>
    <t>nemeth17</t>
  </si>
  <si>
    <t>bcsstk33</t>
  </si>
  <si>
    <t>qa8fk</t>
  </si>
  <si>
    <t>qa8fm</t>
  </si>
  <si>
    <t>rajat23</t>
  </si>
  <si>
    <t>gas_sensor</t>
  </si>
  <si>
    <t>vsp_vibrobox_scagr7-2c_rlfddd</t>
  </si>
  <si>
    <t>std1_Jac2_db</t>
  </si>
  <si>
    <t>caidaRouterLevel</t>
  </si>
  <si>
    <t>vsp_mod2_pgp2_slptsk</t>
  </si>
  <si>
    <t>Si5H12</t>
  </si>
  <si>
    <t>c-72</t>
  </si>
  <si>
    <t>bcsstk31</t>
  </si>
  <si>
    <t>venkat50</t>
  </si>
  <si>
    <t>venkat25</t>
  </si>
  <si>
    <t>venkat01</t>
  </si>
  <si>
    <t>cfd1</t>
  </si>
  <si>
    <t>rim</t>
  </si>
  <si>
    <t>matrix_9</t>
  </si>
  <si>
    <t>c-54</t>
  </si>
  <si>
    <t>email-EuAll</t>
  </si>
  <si>
    <t>nemeth18</t>
  </si>
  <si>
    <t>email-Enron</t>
  </si>
  <si>
    <t>crplat2</t>
  </si>
  <si>
    <t>pkustk01</t>
  </si>
  <si>
    <t>std1_Jac3_db</t>
  </si>
  <si>
    <t>sparsine</t>
  </si>
  <si>
    <t>mosfet2</t>
  </si>
  <si>
    <t>bcsstk37</t>
  </si>
  <si>
    <t>power9</t>
  </si>
  <si>
    <t>nemeth01</t>
  </si>
  <si>
    <t>c-62</t>
  </si>
  <si>
    <t>c-62ghs</t>
  </si>
  <si>
    <t>lowThrust_4</t>
  </si>
  <si>
    <t>c-43</t>
  </si>
  <si>
    <t>bcsstk36</t>
  </si>
  <si>
    <t>msc23052</t>
  </si>
  <si>
    <t>sinc18</t>
  </si>
  <si>
    <t>pf2177_id_1394</t>
  </si>
  <si>
    <t>web-NotreDame</t>
  </si>
  <si>
    <t>Reuters911</t>
  </si>
  <si>
    <t>olafu</t>
  </si>
  <si>
    <t>Zd_Jac6_db</t>
  </si>
  <si>
    <t>Zd_Jac2_db</t>
  </si>
  <si>
    <t>av41092</t>
  </si>
  <si>
    <t>pcrystk02</t>
  </si>
  <si>
    <t>crystk02</t>
  </si>
  <si>
    <t>pkustk02</t>
  </si>
  <si>
    <t>nemeth19</t>
  </si>
  <si>
    <t>Goodwin_071</t>
  </si>
  <si>
    <t>c-66</t>
  </si>
  <si>
    <t>c-66b</t>
  </si>
  <si>
    <t>c-71</t>
  </si>
  <si>
    <t>bcsstk35</t>
  </si>
  <si>
    <t>Zd_Jac3_db</t>
  </si>
  <si>
    <t>sme3Da</t>
  </si>
  <si>
    <t>ex11</t>
  </si>
  <si>
    <t>gyro</t>
  </si>
  <si>
    <t>gyro_k</t>
  </si>
  <si>
    <t>c-58</t>
  </si>
  <si>
    <t>vsp_befref_fxm_2_4_air02</t>
  </si>
  <si>
    <t>net50</t>
  </si>
  <si>
    <t>pkustk09</t>
  </si>
  <si>
    <t>lowThrust_5</t>
  </si>
  <si>
    <t>std1_Jac2</t>
  </si>
  <si>
    <t>circuit_4</t>
  </si>
  <si>
    <t>matrix-new_3</t>
  </si>
  <si>
    <t>lowThrust_6</t>
  </si>
  <si>
    <t>nv1</t>
  </si>
  <si>
    <t>GT01R</t>
  </si>
  <si>
    <t>lowThrust_7</t>
  </si>
  <si>
    <t>raefsky4</t>
  </si>
  <si>
    <t>soc-sign-epinions</t>
  </si>
  <si>
    <t>bbmat</t>
  </si>
  <si>
    <t>sx-askubuntu</t>
  </si>
  <si>
    <t>lowThrust_8</t>
  </si>
  <si>
    <t>c-45</t>
  </si>
  <si>
    <t>pli</t>
  </si>
  <si>
    <t>li</t>
  </si>
  <si>
    <t>bloweybl</t>
  </si>
  <si>
    <t>nemeth20</t>
  </si>
  <si>
    <t>bloweya</t>
  </si>
  <si>
    <t>lowThrust_9</t>
  </si>
  <si>
    <t>lowThrust_10</t>
  </si>
  <si>
    <t>lowThrust_11</t>
  </si>
  <si>
    <t>raefsky3</t>
  </si>
  <si>
    <t>lowThrust_12</t>
  </si>
  <si>
    <t>lowThrust_13</t>
  </si>
  <si>
    <t>soc-Slashdot0811</t>
  </si>
  <si>
    <t>Si10H16</t>
  </si>
  <si>
    <t>std1_Jac3</t>
  </si>
  <si>
    <t>Zd_Jac2</t>
  </si>
  <si>
    <t>soc-Slashdot0902</t>
  </si>
  <si>
    <t>c-67b</t>
  </si>
  <si>
    <t>c-67</t>
  </si>
  <si>
    <t>mycielskian12</t>
  </si>
  <si>
    <t>Zd_Jac6</t>
  </si>
  <si>
    <t>pcrystk03</t>
  </si>
  <si>
    <t>crystk03</t>
  </si>
  <si>
    <t>nemeth21</t>
  </si>
  <si>
    <t>net75</t>
  </si>
  <si>
    <t>invextr1_new</t>
  </si>
  <si>
    <t>Zd_Jac3</t>
  </si>
  <si>
    <t>case9</t>
  </si>
  <si>
    <t>SiO</t>
  </si>
  <si>
    <t>msc10848</t>
  </si>
  <si>
    <t>a5esindl</t>
  </si>
  <si>
    <t>mixtank_new</t>
  </si>
  <si>
    <t>ns3Da</t>
  </si>
  <si>
    <t>sx-superuser</t>
  </si>
  <si>
    <t>a2nnsnsl</t>
  </si>
  <si>
    <t>c-53</t>
  </si>
  <si>
    <t>hangGlider_4</t>
  </si>
  <si>
    <t>trdheim</t>
  </si>
  <si>
    <t>nemeth22</t>
  </si>
  <si>
    <t>windtunnel_evap3d</t>
  </si>
  <si>
    <t>a0nsdsil</t>
  </si>
  <si>
    <t>hangGlider_5</t>
  </si>
  <si>
    <t>heart2</t>
  </si>
  <si>
    <t>heart3</t>
  </si>
  <si>
    <t>psmigr_2</t>
  </si>
  <si>
    <t>psmigr_3</t>
  </si>
  <si>
    <t>psmigr_1</t>
  </si>
  <si>
    <t>HTC_336_9129</t>
  </si>
  <si>
    <t>nemeth23</t>
  </si>
  <si>
    <t>nemeth24</t>
  </si>
  <si>
    <t>nemeth25</t>
  </si>
  <si>
    <t>nemeth26</t>
  </si>
  <si>
    <t>appu</t>
  </si>
  <si>
    <t>fp</t>
  </si>
  <si>
    <t>opt1</t>
  </si>
  <si>
    <t>HTC_336_4438</t>
  </si>
  <si>
    <t>power197k</t>
  </si>
  <si>
    <t>TSC_OPF_300</t>
  </si>
  <si>
    <t>mult_dcop_03</t>
  </si>
  <si>
    <t>mult_dcop_01</t>
  </si>
  <si>
    <t>mult_dcop_02</t>
  </si>
  <si>
    <t>loc-Gowalla</t>
  </si>
  <si>
    <t>heart1</t>
  </si>
  <si>
    <t>mycielskian13</t>
  </si>
  <si>
    <t>vsp_model1_crew1_cr42_south31</t>
  </si>
  <si>
    <t>vsp_south31_slptsk</t>
  </si>
  <si>
    <t>rajat18</t>
  </si>
  <si>
    <t>rajat17</t>
  </si>
  <si>
    <t>rajat16</t>
  </si>
  <si>
    <t>rajat20</t>
  </si>
  <si>
    <t>rajat25</t>
  </si>
  <si>
    <t>rajat28</t>
  </si>
  <si>
    <t>transient</t>
  </si>
  <si>
    <t>FAIL</t>
  </si>
  <si>
    <t>Raj1</t>
  </si>
  <si>
    <t>rajat24</t>
  </si>
  <si>
    <t>ERROR</t>
  </si>
  <si>
    <t>rajat21</t>
  </si>
  <si>
    <t>trans5</t>
  </si>
  <si>
    <t>trans4</t>
  </si>
  <si>
    <t>dc1</t>
  </si>
  <si>
    <t>dc2</t>
  </si>
  <si>
    <t>dc3</t>
  </si>
  <si>
    <t>ASIC_100k</t>
  </si>
  <si>
    <t>Time</t>
  </si>
  <si>
    <t>MFLOPS</t>
  </si>
  <si>
    <t>mtxname</t>
  </si>
  <si>
    <t>LeSpGEMM_VLength_time (ms)</t>
  </si>
  <si>
    <t>speeup_1</t>
  </si>
  <si>
    <t>CSeg_time</t>
  </si>
  <si>
    <t>speeup_2</t>
  </si>
  <si>
    <t>HaSpGEMM_time</t>
  </si>
  <si>
    <t>speeup_3</t>
  </si>
  <si>
    <t>Graph_Time_sec</t>
  </si>
  <si>
    <t>speeup_4</t>
  </si>
  <si>
    <t>speedup_5</t>
  </si>
  <si>
    <t>kokkos_time(ms)</t>
  </si>
  <si>
    <t>speedup_6</t>
  </si>
  <si>
    <t>TSOPF_RS_b39_c30</t>
  </si>
  <si>
    <t>TSOPF_RS_b39_c19</t>
  </si>
  <si>
    <t>TSOPF_RS_b300_c1</t>
  </si>
  <si>
    <t>TSOPF_RS_b39_c7</t>
  </si>
  <si>
    <t>TSOPF_RS_b162_c4</t>
  </si>
  <si>
    <t>TSOPF_RS_b162_c3</t>
  </si>
  <si>
    <t>TSOPF_RS_b162_c1</t>
  </si>
  <si>
    <t>c-64</t>
  </si>
  <si>
    <t>c-64b</t>
  </si>
  <si>
    <t>c-57</t>
  </si>
  <si>
    <t>c-73b</t>
  </si>
  <si>
    <t>c-73</t>
  </si>
  <si>
    <t>TSOPF_FS_b162_c3</t>
  </si>
  <si>
    <t>TSOPF_FS_b39_c19</t>
  </si>
  <si>
    <t>case39</t>
  </si>
  <si>
    <t>TSOPF_FS_b9_c6</t>
  </si>
  <si>
    <t>brainpc2</t>
  </si>
  <si>
    <t>TSOPF_FS_b162_c1</t>
  </si>
  <si>
    <t>TSOPF_FS_b39_c7</t>
  </si>
  <si>
    <t>bundle1</t>
  </si>
  <si>
    <t>boyd1</t>
  </si>
  <si>
    <t>blockqp1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</si>
</sst>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%"/>
    <numFmt numFmtId="177" formatCode="0.00_ "/>
    <numFmt numFmtId="178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 applyFill="1" applyAlignment="1">
      <alignment horizontal="left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177" fontId="0" fillId="2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Le_GFlops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15875" cmpd="sng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strRef>
              <c:f>Sheet3!$I$2:$I$633</c:f>
              <c:strCache>
                <c:ptCount val="632"/>
                <c:pt idx="0">
                  <c:v>windtunnel_evap2d</c:v>
                </c:pt>
                <c:pt idx="1">
                  <c:v>CurlCurl_0</c:v>
                </c:pt>
                <c:pt idx="2">
                  <c:v>cvxqp3</c:v>
                </c:pt>
                <c:pt idx="3">
                  <c:v>foldoc</c:v>
                </c:pt>
                <c:pt idx="4">
                  <c:v>aug3dcqp</c:v>
                </c:pt>
                <c:pt idx="5">
                  <c:v>igbt3</c:v>
                </c:pt>
                <c:pt idx="6">
                  <c:v>JapaneseVowelsSmall_10NN</c:v>
                </c:pt>
                <c:pt idx="7">
                  <c:v>ACTIVSg10K</c:v>
                </c:pt>
                <c:pt idx="8">
                  <c:v>stokes64s</c:v>
                </c:pt>
                <c:pt idx="9">
                  <c:v>stokes64</c:v>
                </c:pt>
                <c:pt idx="10">
                  <c:v>OPF_3754</c:v>
                </c:pt>
                <c:pt idx="11">
                  <c:v>mnist_test_norm_10NN</c:v>
                </c:pt>
                <c:pt idx="12">
                  <c:v>ccc</c:v>
                </c:pt>
                <c:pt idx="13">
                  <c:v>wing_nodal</c:v>
                </c:pt>
                <c:pt idx="14">
                  <c:v>Fashion_MNIST_norm_10NN</c:v>
                </c:pt>
                <c:pt idx="15">
                  <c:v>Zhao2</c:v>
                </c:pt>
                <c:pt idx="16">
                  <c:v>Zhao1</c:v>
                </c:pt>
                <c:pt idx="17">
                  <c:v>wang3</c:v>
                </c:pt>
                <c:pt idx="18">
                  <c:v>wang4</c:v>
                </c:pt>
                <c:pt idx="19">
                  <c:v>Ill_Stokes</c:v>
                </c:pt>
                <c:pt idx="20">
                  <c:v>bfly</c:v>
                </c:pt>
                <c:pt idx="21">
                  <c:v>jnlbrng1</c:v>
                </c:pt>
                <c:pt idx="22">
                  <c:v>chem_master1</c:v>
                </c:pt>
                <c:pt idx="23">
                  <c:v>vsp_barth5_1Ksep_50in_5Kout</c:v>
                </c:pt>
                <c:pt idx="24">
                  <c:v>mario001</c:v>
                </c:pt>
                <c:pt idx="25">
                  <c:v>copter1</c:v>
                </c:pt>
                <c:pt idx="26">
                  <c:v>nh2010</c:v>
                </c:pt>
                <c:pt idx="27">
                  <c:v>nmos3</c:v>
                </c:pt>
                <c:pt idx="28">
                  <c:v>wing</c:v>
                </c:pt>
                <c:pt idx="29">
                  <c:v>Dubcova1</c:v>
                </c:pt>
                <c:pt idx="30">
                  <c:v>tandem_vtx</c:v>
                </c:pt>
                <c:pt idx="31">
                  <c:v>chipcool1</c:v>
                </c:pt>
                <c:pt idx="32">
                  <c:v>chipcool0</c:v>
                </c:pt>
                <c:pt idx="33">
                  <c:v>dixmaanl</c:v>
                </c:pt>
                <c:pt idx="34">
                  <c:v>crystm02</c:v>
                </c:pt>
                <c:pt idx="35">
                  <c:v>EAT_SR</c:v>
                </c:pt>
                <c:pt idx="36">
                  <c:v>ct2010</c:v>
                </c:pt>
                <c:pt idx="37">
                  <c:v>cvxbqp1</c:v>
                </c:pt>
                <c:pt idx="38">
                  <c:v>ncvxbqp1</c:v>
                </c:pt>
                <c:pt idx="39">
                  <c:v>poisson3Da</c:v>
                </c:pt>
                <c:pt idx="40">
                  <c:v>garon2</c:v>
                </c:pt>
                <c:pt idx="41">
                  <c:v>viscoplastic2</c:v>
                </c:pt>
                <c:pt idx="42">
                  <c:v>ted_A</c:v>
                </c:pt>
                <c:pt idx="43">
                  <c:v>ted_A_unscaled</c:v>
                </c:pt>
                <c:pt idx="44">
                  <c:v>ncvxqp5</c:v>
                </c:pt>
                <c:pt idx="45">
                  <c:v>OPF_10000</c:v>
                </c:pt>
                <c:pt idx="46">
                  <c:v>helm3d01</c:v>
                </c:pt>
                <c:pt idx="47">
                  <c:v>cont-201</c:v>
                </c:pt>
                <c:pt idx="48">
                  <c:v>epb3</c:v>
                </c:pt>
                <c:pt idx="49">
                  <c:v>wathen100</c:v>
                </c:pt>
                <c:pt idx="50">
                  <c:v>ncvxqp3</c:v>
                </c:pt>
                <c:pt idx="51">
                  <c:v>t3dl_a</c:v>
                </c:pt>
                <c:pt idx="52">
                  <c:v>t3dl</c:v>
                </c:pt>
                <c:pt idx="53">
                  <c:v>gridgena</c:v>
                </c:pt>
                <c:pt idx="54">
                  <c:v>apache1</c:v>
                </c:pt>
                <c:pt idx="55">
                  <c:v>Trefethen_20000b</c:v>
                </c:pt>
                <c:pt idx="56">
                  <c:v>Trefethen_20000</c:v>
                </c:pt>
                <c:pt idx="57">
                  <c:v>stokes128</c:v>
                </c:pt>
                <c:pt idx="58">
                  <c:v>cage11</c:v>
                </c:pt>
                <c:pt idx="59">
                  <c:v>k1_san</c:v>
                </c:pt>
                <c:pt idx="60">
                  <c:v>wathen120</c:v>
                </c:pt>
                <c:pt idx="61">
                  <c:v>ncvxqp7</c:v>
                </c:pt>
                <c:pt idx="62">
                  <c:v>crystm03</c:v>
                </c:pt>
                <c:pt idx="63">
                  <c:v>wv2010</c:v>
                </c:pt>
                <c:pt idx="64">
                  <c:v>rgg_n_2_16_s0</c:v>
                </c:pt>
                <c:pt idx="65">
                  <c:v>thermomech_TC</c:v>
                </c:pt>
                <c:pt idx="66">
                  <c:v>thermomech_TK</c:v>
                </c:pt>
                <c:pt idx="67">
                  <c:v>brack2</c:v>
                </c:pt>
                <c:pt idx="68">
                  <c:v>olesnik0</c:v>
                </c:pt>
                <c:pt idx="69">
                  <c:v>Baumann</c:v>
                </c:pt>
                <c:pt idx="70">
                  <c:v>copter2_id_1230</c:v>
                </c:pt>
                <c:pt idx="71">
                  <c:v>copter2_id_1256</c:v>
                </c:pt>
                <c:pt idx="72">
                  <c:v>Andrews</c:v>
                </c:pt>
                <c:pt idx="73">
                  <c:v>m133-b3</c:v>
                </c:pt>
                <c:pt idx="74">
                  <c:v>shar_te2-b3</c:v>
                </c:pt>
                <c:pt idx="75">
                  <c:v>windtunnel_evap3d</c:v>
                </c:pt>
                <c:pt idx="76">
                  <c:v>fe_ocean</c:v>
                </c:pt>
                <c:pt idx="77">
                  <c:v>ch7-8-b5</c:v>
                </c:pt>
                <c:pt idx="78">
                  <c:v>sme3Da</c:v>
                </c:pt>
                <c:pt idx="79">
                  <c:v>fe_tooth</c:v>
                </c:pt>
                <c:pt idx="80">
                  <c:v>cont-300</c:v>
                </c:pt>
                <c:pt idx="81">
                  <c:v>smallworld</c:v>
                </c:pt>
                <c:pt idx="82">
                  <c:v>G_n_pin_pout</c:v>
                </c:pt>
                <c:pt idx="83">
                  <c:v>Dubcova2</c:v>
                </c:pt>
                <c:pt idx="84">
                  <c:v>msc23052</c:v>
                </c:pt>
                <c:pt idx="85">
                  <c:v>denormal</c:v>
                </c:pt>
                <c:pt idx="86">
                  <c:v>struct3</c:v>
                </c:pt>
                <c:pt idx="87">
                  <c:v>matrix_9</c:v>
                </c:pt>
                <c:pt idx="88">
                  <c:v>SiO</c:v>
                </c:pt>
                <c:pt idx="89">
                  <c:v>fe_rotor</c:v>
                </c:pt>
                <c:pt idx="90">
                  <c:v>thermomech_dM</c:v>
                </c:pt>
                <c:pt idx="91">
                  <c:v>rgg_n_2_17_s0</c:v>
                </c:pt>
                <c:pt idx="92">
                  <c:v>598a</c:v>
                </c:pt>
                <c:pt idx="93">
                  <c:v>raefsky3</c:v>
                </c:pt>
                <c:pt idx="94">
                  <c:v>sparsine</c:v>
                </c:pt>
                <c:pt idx="95">
                  <c:v>nv1</c:v>
                </c:pt>
                <c:pt idx="96">
                  <c:v>d_pretok</c:v>
                </c:pt>
                <c:pt idx="97">
                  <c:v>ns3Da</c:v>
                </c:pt>
                <c:pt idx="98">
                  <c:v>turon_m</c:v>
                </c:pt>
                <c:pt idx="99">
                  <c:v>gas_sensor</c:v>
                </c:pt>
                <c:pt idx="100">
                  <c:v>majorbasis</c:v>
                </c:pt>
                <c:pt idx="101">
                  <c:v>crashbasis</c:v>
                </c:pt>
                <c:pt idx="102">
                  <c:v>Lin</c:v>
                </c:pt>
                <c:pt idx="103">
                  <c:v>invextr1_new</c:v>
                </c:pt>
                <c:pt idx="104">
                  <c:v>power9</c:v>
                </c:pt>
                <c:pt idx="105">
                  <c:v>mixtank_new</c:v>
                </c:pt>
                <c:pt idx="106">
                  <c:v>language</c:v>
                </c:pt>
                <c:pt idx="107">
                  <c:v>c-72</c:v>
                </c:pt>
                <c:pt idx="108">
                  <c:v>al2010</c:v>
                </c:pt>
                <c:pt idx="109">
                  <c:v>az2010</c:v>
                </c:pt>
                <c:pt idx="110">
                  <c:v>k49_norm_10NN</c:v>
                </c:pt>
                <c:pt idx="111">
                  <c:v>c-71</c:v>
                </c:pt>
                <c:pt idx="112">
                  <c:v>c-70</c:v>
                </c:pt>
                <c:pt idx="113">
                  <c:v>ks2010</c:v>
                </c:pt>
                <c:pt idx="114">
                  <c:v>nm2010</c:v>
                </c:pt>
                <c:pt idx="115">
                  <c:v>c-69</c:v>
                </c:pt>
                <c:pt idx="116">
                  <c:v>c-68</c:v>
                </c:pt>
                <c:pt idx="117">
                  <c:v>HTC_336_9129</c:v>
                </c:pt>
                <c:pt idx="118">
                  <c:v>c-67</c:v>
                </c:pt>
                <c:pt idx="119">
                  <c:v>c-67b</c:v>
                </c:pt>
                <c:pt idx="120">
                  <c:v>com-Amazon</c:v>
                </c:pt>
                <c:pt idx="121">
                  <c:v>c-59</c:v>
                </c:pt>
                <c:pt idx="122">
                  <c:v>ms2010</c:v>
                </c:pt>
                <c:pt idx="123">
                  <c:v>c-63</c:v>
                </c:pt>
                <c:pt idx="124">
                  <c:v>HTC_336_4438</c:v>
                </c:pt>
                <c:pt idx="125">
                  <c:v>ibm_matrix_2</c:v>
                </c:pt>
                <c:pt idx="126">
                  <c:v>or2010</c:v>
                </c:pt>
                <c:pt idx="127">
                  <c:v>ok2010</c:v>
                </c:pt>
                <c:pt idx="128">
                  <c:v>c-65</c:v>
                </c:pt>
                <c:pt idx="129">
                  <c:v>c-56</c:v>
                </c:pt>
                <c:pt idx="130">
                  <c:v>c-61</c:v>
                </c:pt>
                <c:pt idx="131">
                  <c:v>wy2010</c:v>
                </c:pt>
                <c:pt idx="132">
                  <c:v>3D_51448_3D</c:v>
                </c:pt>
                <c:pt idx="133">
                  <c:v>nv2010</c:v>
                </c:pt>
                <c:pt idx="134">
                  <c:v>c-55</c:v>
                </c:pt>
                <c:pt idx="135">
                  <c:v>c-49</c:v>
                </c:pt>
                <c:pt idx="136">
                  <c:v>delaunay_n18</c:v>
                </c:pt>
                <c:pt idx="137">
                  <c:v>c-60</c:v>
                </c:pt>
                <c:pt idx="138">
                  <c:v>id2010</c:v>
                </c:pt>
                <c:pt idx="139">
                  <c:v>ar2010</c:v>
                </c:pt>
                <c:pt idx="140">
                  <c:v>c-52</c:v>
                </c:pt>
                <c:pt idx="141">
                  <c:v>c-51</c:v>
                </c:pt>
                <c:pt idx="142">
                  <c:v>preferentialAttachment</c:v>
                </c:pt>
                <c:pt idx="143">
                  <c:v>c-48</c:v>
                </c:pt>
                <c:pt idx="144">
                  <c:v>a2nnsnsl</c:v>
                </c:pt>
                <c:pt idx="145">
                  <c:v>ny2010</c:v>
                </c:pt>
                <c:pt idx="146">
                  <c:v>nj2010</c:v>
                </c:pt>
                <c:pt idx="147">
                  <c:v>sc2010</c:v>
                </c:pt>
                <c:pt idx="148">
                  <c:v>benzene</c:v>
                </c:pt>
                <c:pt idx="149">
                  <c:v>oh2010</c:v>
                </c:pt>
                <c:pt idx="150">
                  <c:v>wa2010</c:v>
                </c:pt>
                <c:pt idx="151">
                  <c:v>md2010</c:v>
                </c:pt>
                <c:pt idx="152">
                  <c:v>me2010</c:v>
                </c:pt>
                <c:pt idx="153">
                  <c:v>a0nsdsil</c:v>
                </c:pt>
                <c:pt idx="154">
                  <c:v>ma2010</c:v>
                </c:pt>
                <c:pt idx="155">
                  <c:v>delaunay_n15</c:v>
                </c:pt>
                <c:pt idx="156">
                  <c:v>ia2010</c:v>
                </c:pt>
                <c:pt idx="157">
                  <c:v>3D_28984_Tetra</c:v>
                </c:pt>
                <c:pt idx="158">
                  <c:v>ut2010</c:v>
                </c:pt>
                <c:pt idx="159">
                  <c:v>onetone1</c:v>
                </c:pt>
                <c:pt idx="160">
                  <c:v>shock-9</c:v>
                </c:pt>
                <c:pt idx="161">
                  <c:v>lpl1</c:v>
                </c:pt>
                <c:pt idx="162">
                  <c:v>de2010</c:v>
                </c:pt>
                <c:pt idx="163">
                  <c:v>nd2010</c:v>
                </c:pt>
                <c:pt idx="164">
                  <c:v>mo2010</c:v>
                </c:pt>
                <c:pt idx="165">
                  <c:v>c-54</c:v>
                </c:pt>
                <c:pt idx="166">
                  <c:v>vsp_sctap1-2b_and_seymourl</c:v>
                </c:pt>
                <c:pt idx="167">
                  <c:v>kmnist_norm_10NN</c:v>
                </c:pt>
                <c:pt idx="168">
                  <c:v>minsurfo</c:v>
                </c:pt>
                <c:pt idx="169">
                  <c:v>onetone2</c:v>
                </c:pt>
                <c:pt idx="170">
                  <c:v>c-62ghs</c:v>
                </c:pt>
                <c:pt idx="171">
                  <c:v>c-62</c:v>
                </c:pt>
                <c:pt idx="172">
                  <c:v>tn2010</c:v>
                </c:pt>
                <c:pt idx="173">
                  <c:v>OPF_6000</c:v>
                </c:pt>
                <c:pt idx="174">
                  <c:v>in2010</c:v>
                </c:pt>
                <c:pt idx="175">
                  <c:v>imagesensor</c:v>
                </c:pt>
                <c:pt idx="176">
                  <c:v>obstclae</c:v>
                </c:pt>
                <c:pt idx="177">
                  <c:v>G2_circuit</c:v>
                </c:pt>
                <c:pt idx="178">
                  <c:v>ga2010</c:v>
                </c:pt>
                <c:pt idx="179">
                  <c:v>ri2010</c:v>
                </c:pt>
                <c:pt idx="180">
                  <c:v>mt2010</c:v>
                </c:pt>
                <c:pt idx="181">
                  <c:v>delaunay_n16</c:v>
                </c:pt>
                <c:pt idx="182">
                  <c:v>nc2010</c:v>
                </c:pt>
                <c:pt idx="183">
                  <c:v>mn2010</c:v>
                </c:pt>
                <c:pt idx="184">
                  <c:v>wi2010</c:v>
                </c:pt>
                <c:pt idx="185">
                  <c:v>vsp_mod2_pgp2_slptsk</c:v>
                </c:pt>
                <c:pt idx="186">
                  <c:v>vt2010</c:v>
                </c:pt>
                <c:pt idx="187">
                  <c:v>co2010</c:v>
                </c:pt>
                <c:pt idx="188">
                  <c:v>torsion1</c:v>
                </c:pt>
                <c:pt idx="189">
                  <c:v>rgg_n_2_15_s0</c:v>
                </c:pt>
                <c:pt idx="190">
                  <c:v>mosfet2</c:v>
                </c:pt>
                <c:pt idx="191">
                  <c:v>msc10848</c:v>
                </c:pt>
                <c:pt idx="192">
                  <c:v>delaunay_n17</c:v>
                </c:pt>
                <c:pt idx="193">
                  <c:v>amazon0302</c:v>
                </c:pt>
                <c:pt idx="194">
                  <c:v>mi2010</c:v>
                </c:pt>
                <c:pt idx="195">
                  <c:v>la2010</c:v>
                </c:pt>
                <c:pt idx="196">
                  <c:v>bcircuit</c:v>
                </c:pt>
                <c:pt idx="197">
                  <c:v>c-41</c:v>
                </c:pt>
                <c:pt idx="198">
                  <c:v>TSOPF_RS_b39_c30</c:v>
                </c:pt>
                <c:pt idx="199">
                  <c:v>vsp_bump2_e18_aa01_model1_crew1</c:v>
                </c:pt>
                <c:pt idx="200">
                  <c:v>vsp_vibrobox_scagr7-2c_rlfddd</c:v>
                </c:pt>
                <c:pt idx="201">
                  <c:v>qa8fm</c:v>
                </c:pt>
                <c:pt idx="202">
                  <c:v>qa8fk</c:v>
                </c:pt>
                <c:pt idx="203">
                  <c:v>ne2010</c:v>
                </c:pt>
                <c:pt idx="204">
                  <c:v>hi2010</c:v>
                </c:pt>
                <c:pt idx="205">
                  <c:v>va2010</c:v>
                </c:pt>
                <c:pt idx="206">
                  <c:v>TSOPF_RS_b39_c19</c:v>
                </c:pt>
                <c:pt idx="207">
                  <c:v>c-50</c:v>
                </c:pt>
                <c:pt idx="208">
                  <c:v>rajat15</c:v>
                </c:pt>
                <c:pt idx="209">
                  <c:v>sd2010</c:v>
                </c:pt>
                <c:pt idx="210">
                  <c:v>shyy161</c:v>
                </c:pt>
                <c:pt idx="211">
                  <c:v>c-66</c:v>
                </c:pt>
                <c:pt idx="212">
                  <c:v>c-66b</c:v>
                </c:pt>
                <c:pt idx="213">
                  <c:v>2D_54019_highK</c:v>
                </c:pt>
                <c:pt idx="214">
                  <c:v>ky2010</c:v>
                </c:pt>
                <c:pt idx="215">
                  <c:v>TSOPF_RS_b300_c1</c:v>
                </c:pt>
                <c:pt idx="216">
                  <c:v>cage10</c:v>
                </c:pt>
                <c:pt idx="217">
                  <c:v>pds10</c:v>
                </c:pt>
                <c:pt idx="218">
                  <c:v>Muu</c:v>
                </c:pt>
                <c:pt idx="219">
                  <c:v>TSOPF_RS_b39_c7</c:v>
                </c:pt>
                <c:pt idx="220">
                  <c:v>vsp_c-60_data_cti_cs4</c:v>
                </c:pt>
                <c:pt idx="221">
                  <c:v>lhr14</c:v>
                </c:pt>
                <c:pt idx="222">
                  <c:v>TSOPF_RS_b162_c4</c:v>
                </c:pt>
                <c:pt idx="223">
                  <c:v>Si5H12</c:v>
                </c:pt>
                <c:pt idx="224">
                  <c:v>lhr34c</c:v>
                </c:pt>
                <c:pt idx="225">
                  <c:v>mac_econ_fwd500</c:v>
                </c:pt>
                <c:pt idx="226">
                  <c:v>loc-Gowalla</c:v>
                </c:pt>
                <c:pt idx="227">
                  <c:v>lhr34</c:v>
                </c:pt>
                <c:pt idx="228">
                  <c:v>lhr71</c:v>
                </c:pt>
                <c:pt idx="229">
                  <c:v>lhr17c</c:v>
                </c:pt>
                <c:pt idx="230">
                  <c:v>lhr17</c:v>
                </c:pt>
                <c:pt idx="231">
                  <c:v>lhr71c</c:v>
                </c:pt>
                <c:pt idx="232">
                  <c:v>lhr11c</c:v>
                </c:pt>
                <c:pt idx="233">
                  <c:v>lhr10c</c:v>
                </c:pt>
                <c:pt idx="234">
                  <c:v>caidaRouterLevel</c:v>
                </c:pt>
                <c:pt idx="235">
                  <c:v>GT01R</c:v>
                </c:pt>
                <c:pt idx="236">
                  <c:v>lhr14c</c:v>
                </c:pt>
                <c:pt idx="237">
                  <c:v>vibrobox</c:v>
                </c:pt>
                <c:pt idx="238">
                  <c:v>har_10NN</c:v>
                </c:pt>
                <c:pt idx="239">
                  <c:v>coAuthorsDBLP</c:v>
                </c:pt>
                <c:pt idx="240">
                  <c:v>lhr11</c:v>
                </c:pt>
                <c:pt idx="241">
                  <c:v>vsp_data_and_seymourl</c:v>
                </c:pt>
                <c:pt idx="242">
                  <c:v>epb2</c:v>
                </c:pt>
                <c:pt idx="243">
                  <c:v>coAuthorsCiteseer</c:v>
                </c:pt>
                <c:pt idx="244">
                  <c:v>lhr10</c:v>
                </c:pt>
                <c:pt idx="245">
                  <c:v>av41092</c:v>
                </c:pt>
                <c:pt idx="246">
                  <c:v>lhr07c</c:v>
                </c:pt>
                <c:pt idx="247">
                  <c:v>scircuit</c:v>
                </c:pt>
                <c:pt idx="248">
                  <c:v>bodyy4</c:v>
                </c:pt>
                <c:pt idx="249">
                  <c:v>ex3sta1_id_1379</c:v>
                </c:pt>
                <c:pt idx="250">
                  <c:v>c-39</c:v>
                </c:pt>
                <c:pt idx="251">
                  <c:v>p2p-Gnutella31</c:v>
                </c:pt>
                <c:pt idx="252">
                  <c:v>c-58</c:v>
                </c:pt>
                <c:pt idx="253">
                  <c:v>bratu3d</c:v>
                </c:pt>
                <c:pt idx="254">
                  <c:v>TSOPF_RS_b162_c3</c:v>
                </c:pt>
                <c:pt idx="255">
                  <c:v>TEM27623</c:v>
                </c:pt>
                <c:pt idx="256">
                  <c:v>lhr07</c:v>
                </c:pt>
                <c:pt idx="257">
                  <c:v>onera_dual</c:v>
                </c:pt>
                <c:pt idx="258">
                  <c:v>ak2010</c:v>
                </c:pt>
                <c:pt idx="259">
                  <c:v>vsp_p0291_seymourl_iiasa</c:v>
                </c:pt>
                <c:pt idx="260">
                  <c:v>ckt11752_dc_1</c:v>
                </c:pt>
                <c:pt idx="261">
                  <c:v>usroads-48</c:v>
                </c:pt>
                <c:pt idx="262">
                  <c:v>2cubes_sphere</c:v>
                </c:pt>
                <c:pt idx="263">
                  <c:v>bodyy5</c:v>
                </c:pt>
                <c:pt idx="264">
                  <c:v>indianpines_10NN</c:v>
                </c:pt>
                <c:pt idx="265">
                  <c:v>vsp_finan512_scagr7-2c_rlfddd</c:v>
                </c:pt>
                <c:pt idx="266">
                  <c:v>bodyy6</c:v>
                </c:pt>
                <c:pt idx="267">
                  <c:v>ckt11752_tr_0</c:v>
                </c:pt>
                <c:pt idx="268">
                  <c:v>shermanACb</c:v>
                </c:pt>
                <c:pt idx="269">
                  <c:v>torso2</c:v>
                </c:pt>
                <c:pt idx="270">
                  <c:v>EAT_RS</c:v>
                </c:pt>
                <c:pt idx="271">
                  <c:v>email-EuAll</c:v>
                </c:pt>
                <c:pt idx="272">
                  <c:v>usroads</c:v>
                </c:pt>
                <c:pt idx="273">
                  <c:v>cit-HepPh</c:v>
                </c:pt>
                <c:pt idx="274">
                  <c:v>2D_27628_bjtcai</c:v>
                </c:pt>
                <c:pt idx="275">
                  <c:v>lung2</c:v>
                </c:pt>
                <c:pt idx="276">
                  <c:v>loc-Brightkite</c:v>
                </c:pt>
                <c:pt idx="277">
                  <c:v>thermal1</c:v>
                </c:pt>
                <c:pt idx="278">
                  <c:v>worms20_10NN</c:v>
                </c:pt>
                <c:pt idx="279">
                  <c:v>hvdc1</c:v>
                </c:pt>
                <c:pt idx="280">
                  <c:v>bayer01</c:v>
                </c:pt>
                <c:pt idx="281">
                  <c:v>enron</c:v>
                </c:pt>
                <c:pt idx="282">
                  <c:v>t60k</c:v>
                </c:pt>
                <c:pt idx="283">
                  <c:v>bcsstk31</c:v>
                </c:pt>
                <c:pt idx="284">
                  <c:v>matrix-new_3</c:v>
                </c:pt>
                <c:pt idx="285">
                  <c:v>HEP-th</c:v>
                </c:pt>
                <c:pt idx="286">
                  <c:v>ABACUS_shell_ud</c:v>
                </c:pt>
                <c:pt idx="287">
                  <c:v>ca-CondMat</c:v>
                </c:pt>
                <c:pt idx="288">
                  <c:v>cit-HepTh</c:v>
                </c:pt>
                <c:pt idx="289">
                  <c:v>HEP-th-new</c:v>
                </c:pt>
                <c:pt idx="290">
                  <c:v>c-46</c:v>
                </c:pt>
                <c:pt idx="291">
                  <c:v>TSOPF_RS_b162_c1</c:v>
                </c:pt>
                <c:pt idx="292">
                  <c:v>ACTIVSg70K</c:v>
                </c:pt>
                <c:pt idx="293">
                  <c:v>c-42</c:v>
                </c:pt>
                <c:pt idx="294">
                  <c:v>af23560</c:v>
                </c:pt>
                <c:pt idx="295">
                  <c:v>gyro_m</c:v>
                </c:pt>
                <c:pt idx="296">
                  <c:v>c-53</c:v>
                </c:pt>
                <c:pt idx="297">
                  <c:v>cca</c:v>
                </c:pt>
                <c:pt idx="298">
                  <c:v>crplat2</c:v>
                </c:pt>
                <c:pt idx="299">
                  <c:v>tandem_dual</c:v>
                </c:pt>
                <c:pt idx="300">
                  <c:v>c-64</c:v>
                </c:pt>
                <c:pt idx="301">
                  <c:v>c-64b</c:v>
                </c:pt>
                <c:pt idx="302">
                  <c:v>soc-Epinions1</c:v>
                </c:pt>
                <c:pt idx="303">
                  <c:v>rajat26</c:v>
                </c:pt>
                <c:pt idx="304">
                  <c:v>rail_79841</c:v>
                </c:pt>
                <c:pt idx="305">
                  <c:v>c-47</c:v>
                </c:pt>
                <c:pt idx="306">
                  <c:v>soc-sign-Slashdot090221</c:v>
                </c:pt>
                <c:pt idx="307">
                  <c:v>soc-sign-Slashdot090216</c:v>
                </c:pt>
                <c:pt idx="308">
                  <c:v>ASIC_100ks</c:v>
                </c:pt>
                <c:pt idx="309">
                  <c:v>tube1</c:v>
                </c:pt>
                <c:pt idx="310">
                  <c:v>g7jac200</c:v>
                </c:pt>
                <c:pt idx="311">
                  <c:v>g7jac200sc</c:v>
                </c:pt>
                <c:pt idx="312">
                  <c:v>g7jac180sc</c:v>
                </c:pt>
                <c:pt idx="313">
                  <c:v>g7jac180</c:v>
                </c:pt>
                <c:pt idx="314">
                  <c:v>rail_20209</c:v>
                </c:pt>
                <c:pt idx="315">
                  <c:v>Linux_call_graph</c:v>
                </c:pt>
                <c:pt idx="316">
                  <c:v>g7jac060sc</c:v>
                </c:pt>
                <c:pt idx="317">
                  <c:v>cfd1</c:v>
                </c:pt>
                <c:pt idx="318">
                  <c:v>g7jac120sc</c:v>
                </c:pt>
                <c:pt idx="319">
                  <c:v>g7jac120</c:v>
                </c:pt>
                <c:pt idx="320">
                  <c:v>soc-sign-Slashdot081106</c:v>
                </c:pt>
                <c:pt idx="321">
                  <c:v>g7jac160</c:v>
                </c:pt>
                <c:pt idx="322">
                  <c:v>g7jac160sc</c:v>
                </c:pt>
                <c:pt idx="323">
                  <c:v>g7jac060</c:v>
                </c:pt>
                <c:pt idx="324">
                  <c:v>rajat22</c:v>
                </c:pt>
                <c:pt idx="325">
                  <c:v>g7jac140</c:v>
                </c:pt>
                <c:pt idx="326">
                  <c:v>g7jac140sc</c:v>
                </c:pt>
                <c:pt idx="327">
                  <c:v>g7jac080</c:v>
                </c:pt>
                <c:pt idx="328">
                  <c:v>g7jac080sc</c:v>
                </c:pt>
                <c:pt idx="329">
                  <c:v>g7jac100</c:v>
                </c:pt>
                <c:pt idx="330">
                  <c:v>g7jac100sc</c:v>
                </c:pt>
                <c:pt idx="331">
                  <c:v>mark3jac120</c:v>
                </c:pt>
                <c:pt idx="332">
                  <c:v>g7jac050sc</c:v>
                </c:pt>
                <c:pt idx="333">
                  <c:v>g7jac040</c:v>
                </c:pt>
                <c:pt idx="334">
                  <c:v>g7jac040sc</c:v>
                </c:pt>
                <c:pt idx="335">
                  <c:v>mark3jac140sc</c:v>
                </c:pt>
                <c:pt idx="336">
                  <c:v>rajat23</c:v>
                </c:pt>
                <c:pt idx="337">
                  <c:v>mark3jac120sc</c:v>
                </c:pt>
                <c:pt idx="338">
                  <c:v>mark3jac140</c:v>
                </c:pt>
                <c:pt idx="339">
                  <c:v>ex35</c:v>
                </c:pt>
                <c:pt idx="340">
                  <c:v>mark3jac100sc</c:v>
                </c:pt>
                <c:pt idx="341">
                  <c:v>mark3jac100</c:v>
                </c:pt>
                <c:pt idx="342">
                  <c:v>as-caida</c:v>
                </c:pt>
                <c:pt idx="343">
                  <c:v>hcircuit</c:v>
                </c:pt>
                <c:pt idx="344">
                  <c:v>c-43</c:v>
                </c:pt>
                <c:pt idx="345">
                  <c:v>web-NotreDame</c:v>
                </c:pt>
                <c:pt idx="346">
                  <c:v>ford1</c:v>
                </c:pt>
                <c:pt idx="347">
                  <c:v>mark3jac060sc</c:v>
                </c:pt>
                <c:pt idx="348">
                  <c:v>mark3jac060</c:v>
                </c:pt>
                <c:pt idx="349">
                  <c:v>NotreDame_www</c:v>
                </c:pt>
                <c:pt idx="350">
                  <c:v>soc-sign-epinions</c:v>
                </c:pt>
                <c:pt idx="351">
                  <c:v>bcsstk29</c:v>
                </c:pt>
                <c:pt idx="352">
                  <c:v>cond-mat-2003</c:v>
                </c:pt>
                <c:pt idx="353">
                  <c:v>vsp_c-30_data_data</c:v>
                </c:pt>
                <c:pt idx="354">
                  <c:v>skirt_id_764</c:v>
                </c:pt>
                <c:pt idx="355">
                  <c:v>skirt_id_882</c:v>
                </c:pt>
                <c:pt idx="356">
                  <c:v>mark3jac080sc</c:v>
                </c:pt>
                <c:pt idx="357">
                  <c:v>mark3jac080</c:v>
                </c:pt>
                <c:pt idx="358">
                  <c:v>c-57</c:v>
                </c:pt>
                <c:pt idx="359">
                  <c:v>bcsstm36</c:v>
                </c:pt>
                <c:pt idx="360">
                  <c:v>mark3jac040sc</c:v>
                </c:pt>
                <c:pt idx="361">
                  <c:v>mark3jac040</c:v>
                </c:pt>
                <c:pt idx="362">
                  <c:v>ASIC_320ks</c:v>
                </c:pt>
                <c:pt idx="363">
                  <c:v>patents_main</c:v>
                </c:pt>
                <c:pt idx="364">
                  <c:v>ca-AstroPh</c:v>
                </c:pt>
                <c:pt idx="365">
                  <c:v>ford2</c:v>
                </c:pt>
                <c:pt idx="366">
                  <c:v>std1_Jac2</c:v>
                </c:pt>
                <c:pt idx="367">
                  <c:v>soc-Slashdot0902</c:v>
                </c:pt>
                <c:pt idx="368">
                  <c:v>soc-Slashdot0811</c:v>
                </c:pt>
                <c:pt idx="369">
                  <c:v>c-45</c:v>
                </c:pt>
                <c:pt idx="370">
                  <c:v>rajat10</c:v>
                </c:pt>
                <c:pt idx="371">
                  <c:v>Raj1</c:v>
                </c:pt>
                <c:pt idx="372">
                  <c:v>LeGresley_87936</c:v>
                </c:pt>
                <c:pt idx="373">
                  <c:v>astro-ph</c:v>
                </c:pt>
                <c:pt idx="374">
                  <c:v>std1_Jac3</c:v>
                </c:pt>
                <c:pt idx="375">
                  <c:v>Zd_Jac6</c:v>
                </c:pt>
                <c:pt idx="376">
                  <c:v>Zd_Jac2</c:v>
                </c:pt>
                <c:pt idx="377">
                  <c:v>ca-HepPh</c:v>
                </c:pt>
                <c:pt idx="378">
                  <c:v>wiki-Vote</c:v>
                </c:pt>
                <c:pt idx="379">
                  <c:v>wiki-RfA</c:v>
                </c:pt>
                <c:pt idx="380">
                  <c:v>ASIC_680ks</c:v>
                </c:pt>
                <c:pt idx="381">
                  <c:v>bloweybl</c:v>
                </c:pt>
                <c:pt idx="382">
                  <c:v>c-73b</c:v>
                </c:pt>
                <c:pt idx="383">
                  <c:v>c-73</c:v>
                </c:pt>
                <c:pt idx="384">
                  <c:v>Zd_Jac3</c:v>
                </c:pt>
                <c:pt idx="385">
                  <c:v>hvdc2</c:v>
                </c:pt>
                <c:pt idx="386">
                  <c:v>venkat01</c:v>
                </c:pt>
                <c:pt idx="387">
                  <c:v>Goodwin_071</c:v>
                </c:pt>
                <c:pt idx="388">
                  <c:v>venkat25</c:v>
                </c:pt>
                <c:pt idx="389">
                  <c:v>venkat50</c:v>
                </c:pt>
                <c:pt idx="390">
                  <c:v>jan99jac120</c:v>
                </c:pt>
                <c:pt idx="391">
                  <c:v>jan99jac120sc</c:v>
                </c:pt>
                <c:pt idx="392">
                  <c:v>cond-mat-2005</c:v>
                </c:pt>
                <c:pt idx="393">
                  <c:v>xenon1</c:v>
                </c:pt>
                <c:pt idx="394">
                  <c:v>EX5</c:v>
                </c:pt>
                <c:pt idx="395">
                  <c:v>TSOPF_FS_b162_c3</c:v>
                </c:pt>
                <c:pt idx="396">
                  <c:v>tube2</c:v>
                </c:pt>
                <c:pt idx="397">
                  <c:v>pwt_id_1273</c:v>
                </c:pt>
                <c:pt idx="398">
                  <c:v>pkustk01</c:v>
                </c:pt>
                <c:pt idx="399">
                  <c:v>pwt_id_880</c:v>
                </c:pt>
                <c:pt idx="400">
                  <c:v>pwt_id_762</c:v>
                </c:pt>
                <c:pt idx="401">
                  <c:v>finance256</c:v>
                </c:pt>
                <c:pt idx="402">
                  <c:v>pfinan512</c:v>
                </c:pt>
                <c:pt idx="403">
                  <c:v>Si10H16</c:v>
                </c:pt>
                <c:pt idx="404">
                  <c:v>TSOPF_FS_b39_c19</c:v>
                </c:pt>
                <c:pt idx="405">
                  <c:v>finan512</c:v>
                </c:pt>
                <c:pt idx="406">
                  <c:v>case39</c:v>
                </c:pt>
                <c:pt idx="407">
                  <c:v>jan99jac060sc</c:v>
                </c:pt>
                <c:pt idx="408">
                  <c:v>jan99jac060</c:v>
                </c:pt>
                <c:pt idx="409">
                  <c:v>power197k</c:v>
                </c:pt>
                <c:pt idx="410">
                  <c:v>case9</c:v>
                </c:pt>
                <c:pt idx="411">
                  <c:v>TSOPF_FS_b9_c6</c:v>
                </c:pt>
                <c:pt idx="412">
                  <c:v>rajat09</c:v>
                </c:pt>
                <c:pt idx="413">
                  <c:v>Goodwin_054</c:v>
                </c:pt>
                <c:pt idx="414">
                  <c:v>jan99jac080sc</c:v>
                </c:pt>
                <c:pt idx="415">
                  <c:v>lowThrust_8</c:v>
                </c:pt>
                <c:pt idx="416">
                  <c:v>jan99jac080</c:v>
                </c:pt>
                <c:pt idx="417">
                  <c:v>SiH4</c:v>
                </c:pt>
                <c:pt idx="418">
                  <c:v>brainpc2</c:v>
                </c:pt>
                <c:pt idx="419">
                  <c:v>lowThrust_10</c:v>
                </c:pt>
                <c:pt idx="420">
                  <c:v>lowThrust_9</c:v>
                </c:pt>
                <c:pt idx="421">
                  <c:v>ecl32</c:v>
                </c:pt>
                <c:pt idx="422">
                  <c:v>lowThrust_7</c:v>
                </c:pt>
                <c:pt idx="423">
                  <c:v>email-Enron</c:v>
                </c:pt>
                <c:pt idx="424">
                  <c:v>lowThrust_11</c:v>
                </c:pt>
                <c:pt idx="425">
                  <c:v>lowThrust_4</c:v>
                </c:pt>
                <c:pt idx="426">
                  <c:v>jan99jac100</c:v>
                </c:pt>
                <c:pt idx="427">
                  <c:v>jan99jac100sc</c:v>
                </c:pt>
                <c:pt idx="428">
                  <c:v>lowThrust_5</c:v>
                </c:pt>
                <c:pt idx="429">
                  <c:v>barth5_id_867</c:v>
                </c:pt>
                <c:pt idx="430">
                  <c:v>a5esindl</c:v>
                </c:pt>
                <c:pt idx="431">
                  <c:v>TSOPF_FS_b162_c1</c:v>
                </c:pt>
                <c:pt idx="432">
                  <c:v>vsp_befref_fxm_2_4_air02</c:v>
                </c:pt>
                <c:pt idx="433">
                  <c:v>lowThrust_12</c:v>
                </c:pt>
                <c:pt idx="434">
                  <c:v>sx-superuser</c:v>
                </c:pt>
                <c:pt idx="435">
                  <c:v>fxm4_6_id_1381</c:v>
                </c:pt>
                <c:pt idx="436">
                  <c:v>lowThrust_6</c:v>
                </c:pt>
                <c:pt idx="437">
                  <c:v>lowThrust_13</c:v>
                </c:pt>
                <c:pt idx="438">
                  <c:v>crystm01</c:v>
                </c:pt>
                <c:pt idx="439">
                  <c:v>Goodwin_040</c:v>
                </c:pt>
                <c:pt idx="440">
                  <c:v>sx-askubuntu</c:v>
                </c:pt>
                <c:pt idx="441">
                  <c:v>FEM_3D_thermal1</c:v>
                </c:pt>
                <c:pt idx="442">
                  <c:v>pkustk09</c:v>
                </c:pt>
                <c:pt idx="443">
                  <c:v>internet</c:v>
                </c:pt>
                <c:pt idx="444">
                  <c:v>vsp_model1_crew1_cr42_south31</c:v>
                </c:pt>
                <c:pt idx="445">
                  <c:v>e40r0100</c:v>
                </c:pt>
                <c:pt idx="446">
                  <c:v>bcsstk37</c:v>
                </c:pt>
                <c:pt idx="447">
                  <c:v>fe_body</c:v>
                </c:pt>
                <c:pt idx="448">
                  <c:v>Wordnet3</c:v>
                </c:pt>
                <c:pt idx="449">
                  <c:v>rajat21</c:v>
                </c:pt>
                <c:pt idx="450">
                  <c:v>bcsstk36</c:v>
                </c:pt>
                <c:pt idx="451">
                  <c:v>aft01</c:v>
                </c:pt>
                <c:pt idx="452">
                  <c:v>vsp_south31_slptsk</c:v>
                </c:pt>
                <c:pt idx="453">
                  <c:v>rajat24</c:v>
                </c:pt>
                <c:pt idx="454">
                  <c:v>sx-mathoverflow</c:v>
                </c:pt>
                <c:pt idx="455">
                  <c:v>rajat17</c:v>
                </c:pt>
                <c:pt idx="456">
                  <c:v>Reuters911</c:v>
                </c:pt>
                <c:pt idx="457">
                  <c:v>transient</c:v>
                </c:pt>
                <c:pt idx="458">
                  <c:v>bcsstk18</c:v>
                </c:pt>
                <c:pt idx="459">
                  <c:v>rajat20</c:v>
                </c:pt>
                <c:pt idx="460">
                  <c:v>bcsstk24</c:v>
                </c:pt>
                <c:pt idx="461">
                  <c:v>bloweya</c:v>
                </c:pt>
                <c:pt idx="462">
                  <c:v>TSOPF_FS_b39_c7</c:v>
                </c:pt>
                <c:pt idx="463">
                  <c:v>Pres_Poisson</c:v>
                </c:pt>
                <c:pt idx="464">
                  <c:v>rajat16</c:v>
                </c:pt>
                <c:pt idx="465">
                  <c:v>rajat25</c:v>
                </c:pt>
                <c:pt idx="466">
                  <c:v>rajat28</c:v>
                </c:pt>
                <c:pt idx="467">
                  <c:v>TSC_OPF_300</c:v>
                </c:pt>
                <c:pt idx="468">
                  <c:v>rajat18</c:v>
                </c:pt>
                <c:pt idx="469">
                  <c:v>nasa4704_id_760</c:v>
                </c:pt>
                <c:pt idx="470">
                  <c:v>nasa4704_id_365</c:v>
                </c:pt>
                <c:pt idx="471">
                  <c:v>dictionary28</c:v>
                </c:pt>
                <c:pt idx="472">
                  <c:v>graham1</c:v>
                </c:pt>
                <c:pt idx="473">
                  <c:v>bcsstk25</c:v>
                </c:pt>
                <c:pt idx="474">
                  <c:v>shallow_water2</c:v>
                </c:pt>
                <c:pt idx="475">
                  <c:v>pkustk02</c:v>
                </c:pt>
                <c:pt idx="476">
                  <c:v>net75</c:v>
                </c:pt>
                <c:pt idx="477">
                  <c:v>shuttle_eddy_id_881</c:v>
                </c:pt>
                <c:pt idx="478">
                  <c:v>shallow_water1</c:v>
                </c:pt>
                <c:pt idx="479">
                  <c:v>s3rmt3m3</c:v>
                </c:pt>
                <c:pt idx="480">
                  <c:v>g3rmt3m3</c:v>
                </c:pt>
                <c:pt idx="481">
                  <c:v>twotone</c:v>
                </c:pt>
                <c:pt idx="482">
                  <c:v>bcsstk35</c:v>
                </c:pt>
                <c:pt idx="483">
                  <c:v>ss1</c:v>
                </c:pt>
                <c:pt idx="484">
                  <c:v>dblp-2010</c:v>
                </c:pt>
                <c:pt idx="485">
                  <c:v>juba40k</c:v>
                </c:pt>
                <c:pt idx="486">
                  <c:v>raefsky5</c:v>
                </c:pt>
                <c:pt idx="487">
                  <c:v>bauru5727</c:v>
                </c:pt>
                <c:pt idx="488">
                  <c:v>bbmat</c:v>
                </c:pt>
                <c:pt idx="489">
                  <c:v>bcsstk15</c:v>
                </c:pt>
                <c:pt idx="490">
                  <c:v>shuttle_eddy_id_763</c:v>
                </c:pt>
                <c:pt idx="491">
                  <c:v>gyro</c:v>
                </c:pt>
                <c:pt idx="492">
                  <c:v>gyro_k</c:v>
                </c:pt>
                <c:pt idx="493">
                  <c:v>ex19</c:v>
                </c:pt>
                <c:pt idx="494">
                  <c:v>net50</c:v>
                </c:pt>
                <c:pt idx="495">
                  <c:v>circuit_4</c:v>
                </c:pt>
                <c:pt idx="496">
                  <c:v>man_5976</c:v>
                </c:pt>
                <c:pt idx="497">
                  <c:v>Kuu</c:v>
                </c:pt>
                <c:pt idx="498">
                  <c:v>EX6</c:v>
                </c:pt>
                <c:pt idx="499">
                  <c:v>luxembourg_osm</c:v>
                </c:pt>
                <c:pt idx="500">
                  <c:v>dawson5</c:v>
                </c:pt>
                <c:pt idx="501">
                  <c:v>t2dah_e</c:v>
                </c:pt>
                <c:pt idx="502">
                  <c:v>raefsky4</c:v>
                </c:pt>
                <c:pt idx="503">
                  <c:v>k3plates</c:v>
                </c:pt>
                <c:pt idx="504">
                  <c:v>bcsstk17</c:v>
                </c:pt>
                <c:pt idx="505">
                  <c:v>t2dah</c:v>
                </c:pt>
                <c:pt idx="506">
                  <c:v>t2dah_a</c:v>
                </c:pt>
                <c:pt idx="507">
                  <c:v>bcsstk38</c:v>
                </c:pt>
                <c:pt idx="508">
                  <c:v>pli</c:v>
                </c:pt>
                <c:pt idx="509">
                  <c:v>lock3491</c:v>
                </c:pt>
                <c:pt idx="510">
                  <c:v>Goodwin_030</c:v>
                </c:pt>
                <c:pt idx="511">
                  <c:v>li</c:v>
                </c:pt>
                <c:pt idx="512">
                  <c:v>SiNa</c:v>
                </c:pt>
                <c:pt idx="513">
                  <c:v>crystk03</c:v>
                </c:pt>
                <c:pt idx="514">
                  <c:v>pcrystk03</c:v>
                </c:pt>
                <c:pt idx="515">
                  <c:v>goodwin</c:v>
                </c:pt>
                <c:pt idx="516">
                  <c:v>olafu</c:v>
                </c:pt>
                <c:pt idx="517">
                  <c:v>net25</c:v>
                </c:pt>
                <c:pt idx="518">
                  <c:v>opt1</c:v>
                </c:pt>
                <c:pt idx="519">
                  <c:v>Na5</c:v>
                </c:pt>
                <c:pt idx="520">
                  <c:v>airfoil_2d</c:v>
                </c:pt>
                <c:pt idx="521">
                  <c:v>Zd_Jac6_db</c:v>
                </c:pt>
                <c:pt idx="522">
                  <c:v>sinc12</c:v>
                </c:pt>
                <c:pt idx="523">
                  <c:v>rim</c:v>
                </c:pt>
                <c:pt idx="524">
                  <c:v>Zd_Jac2_db</c:v>
                </c:pt>
                <c:pt idx="525">
                  <c:v>std1_Jac3_db</c:v>
                </c:pt>
                <c:pt idx="526">
                  <c:v>std1_Jac2_db</c:v>
                </c:pt>
                <c:pt idx="527">
                  <c:v>CAG_mat1916</c:v>
                </c:pt>
                <c:pt idx="528">
                  <c:v>Zd_Jac3_db</c:v>
                </c:pt>
                <c:pt idx="529">
                  <c:v>raefsky6</c:v>
                </c:pt>
                <c:pt idx="530">
                  <c:v>sinc15</c:v>
                </c:pt>
                <c:pt idx="531">
                  <c:v>sinc18</c:v>
                </c:pt>
                <c:pt idx="532">
                  <c:v>s1rmt3m1</c:v>
                </c:pt>
                <c:pt idx="533">
                  <c:v>s2rmt3m1</c:v>
                </c:pt>
                <c:pt idx="534">
                  <c:v>s3rmt3m1</c:v>
                </c:pt>
                <c:pt idx="535">
                  <c:v>cz40948</c:v>
                </c:pt>
                <c:pt idx="536">
                  <c:v>bcsstk28</c:v>
                </c:pt>
                <c:pt idx="537">
                  <c:v>ex11</c:v>
                </c:pt>
                <c:pt idx="538">
                  <c:v>coater2</c:v>
                </c:pt>
                <c:pt idx="539">
                  <c:v>cbuckle</c:v>
                </c:pt>
                <c:pt idx="540">
                  <c:v>cyl6</c:v>
                </c:pt>
                <c:pt idx="541">
                  <c:v>trans4</c:v>
                </c:pt>
                <c:pt idx="542">
                  <c:v>dc2</c:v>
                </c:pt>
                <c:pt idx="543">
                  <c:v>viscorocks</c:v>
                </c:pt>
                <c:pt idx="544">
                  <c:v>pcrystk02</c:v>
                </c:pt>
                <c:pt idx="545">
                  <c:v>trans5</c:v>
                </c:pt>
                <c:pt idx="546">
                  <c:v>crystk02</c:v>
                </c:pt>
                <c:pt idx="547">
                  <c:v>hangGlider_5</c:v>
                </c:pt>
                <c:pt idx="548">
                  <c:v>s3rmq4m1</c:v>
                </c:pt>
                <c:pt idx="549">
                  <c:v>dc1</c:v>
                </c:pt>
                <c:pt idx="550">
                  <c:v>s1rmq4m1</c:v>
                </c:pt>
                <c:pt idx="551">
                  <c:v>s2rmq4m1</c:v>
                </c:pt>
                <c:pt idx="552">
                  <c:v>cz20468</c:v>
                </c:pt>
                <c:pt idx="553">
                  <c:v>hangGlider_4</c:v>
                </c:pt>
                <c:pt idx="554">
                  <c:v>nasa2910_id_759</c:v>
                </c:pt>
                <c:pt idx="555">
                  <c:v>cz10228</c:v>
                </c:pt>
                <c:pt idx="556">
                  <c:v>nasa2910_id_364</c:v>
                </c:pt>
                <c:pt idx="557">
                  <c:v>dc3</c:v>
                </c:pt>
                <c:pt idx="558">
                  <c:v>cavity24</c:v>
                </c:pt>
                <c:pt idx="559">
                  <c:v>cavity26</c:v>
                </c:pt>
                <c:pt idx="560">
                  <c:v>cavity20</c:v>
                </c:pt>
                <c:pt idx="561">
                  <c:v>cavity16</c:v>
                </c:pt>
                <c:pt idx="562">
                  <c:v>cavity22</c:v>
                </c:pt>
                <c:pt idx="563">
                  <c:v>cavity18</c:v>
                </c:pt>
                <c:pt idx="564">
                  <c:v>mult_dcop_02</c:v>
                </c:pt>
                <c:pt idx="565">
                  <c:v>mult_dcop_01</c:v>
                </c:pt>
                <c:pt idx="566">
                  <c:v>mult_dcop_03</c:v>
                </c:pt>
                <c:pt idx="567">
                  <c:v>bcsstk33</c:v>
                </c:pt>
                <c:pt idx="568">
                  <c:v>fp</c:v>
                </c:pt>
                <c:pt idx="569">
                  <c:v>bundle1</c:v>
                </c:pt>
                <c:pt idx="570">
                  <c:v>trdheim</c:v>
                </c:pt>
                <c:pt idx="571">
                  <c:v>cegb2802</c:v>
                </c:pt>
                <c:pt idx="572">
                  <c:v>Goodwin_023</c:v>
                </c:pt>
                <c:pt idx="573">
                  <c:v>piston</c:v>
                </c:pt>
                <c:pt idx="574">
                  <c:v>cavity23</c:v>
                </c:pt>
                <c:pt idx="575">
                  <c:v>cavity21</c:v>
                </c:pt>
                <c:pt idx="576">
                  <c:v>cegb2919</c:v>
                </c:pt>
                <c:pt idx="577">
                  <c:v>cavity25</c:v>
                </c:pt>
                <c:pt idx="578">
                  <c:v>struct4</c:v>
                </c:pt>
                <c:pt idx="579">
                  <c:v>cavity17</c:v>
                </c:pt>
                <c:pt idx="580">
                  <c:v>cavity19</c:v>
                </c:pt>
                <c:pt idx="581">
                  <c:v>ex40</c:v>
                </c:pt>
                <c:pt idx="582">
                  <c:v>inlet</c:v>
                </c:pt>
                <c:pt idx="583">
                  <c:v>boyd1</c:v>
                </c:pt>
                <c:pt idx="584">
                  <c:v>ASIC_100k</c:v>
                </c:pt>
                <c:pt idx="585">
                  <c:v>appu</c:v>
                </c:pt>
                <c:pt idx="586">
                  <c:v>mhd4800a</c:v>
                </c:pt>
                <c:pt idx="587">
                  <c:v>mycielskian11</c:v>
                </c:pt>
                <c:pt idx="588">
                  <c:v>ted_B_unscaled</c:v>
                </c:pt>
                <c:pt idx="589">
                  <c:v>ted_B</c:v>
                </c:pt>
                <c:pt idx="590">
                  <c:v>spmsrtls</c:v>
                </c:pt>
                <c:pt idx="591">
                  <c:v>t520</c:v>
                </c:pt>
                <c:pt idx="592">
                  <c:v>bcsstk16</c:v>
                </c:pt>
                <c:pt idx="593">
                  <c:v>raefsky1</c:v>
                </c:pt>
                <c:pt idx="594">
                  <c:v>raefsky2</c:v>
                </c:pt>
                <c:pt idx="595">
                  <c:v>crystk01</c:v>
                </c:pt>
                <c:pt idx="596">
                  <c:v>nemeth02</c:v>
                </c:pt>
                <c:pt idx="597">
                  <c:v>nemeth05</c:v>
                </c:pt>
                <c:pt idx="598">
                  <c:v>nemeth04</c:v>
                </c:pt>
                <c:pt idx="599">
                  <c:v>nemeth03</c:v>
                </c:pt>
                <c:pt idx="600">
                  <c:v>nemeth06</c:v>
                </c:pt>
                <c:pt idx="601">
                  <c:v>nemeth07</c:v>
                </c:pt>
                <c:pt idx="602">
                  <c:v>nemeth08</c:v>
                </c:pt>
                <c:pt idx="603">
                  <c:v>nemeth09</c:v>
                </c:pt>
                <c:pt idx="604">
                  <c:v>nemeth10</c:v>
                </c:pt>
                <c:pt idx="605">
                  <c:v>mycielskian12</c:v>
                </c:pt>
                <c:pt idx="606">
                  <c:v>nemeth11</c:v>
                </c:pt>
                <c:pt idx="607">
                  <c:v>nemeth12</c:v>
                </c:pt>
                <c:pt idx="608">
                  <c:v>nemeth13</c:v>
                </c:pt>
                <c:pt idx="609">
                  <c:v>nemeth14</c:v>
                </c:pt>
                <c:pt idx="610">
                  <c:v>nemeth15</c:v>
                </c:pt>
                <c:pt idx="611">
                  <c:v>psmigr_2</c:v>
                </c:pt>
                <c:pt idx="612">
                  <c:v>psmigr_3</c:v>
                </c:pt>
                <c:pt idx="613">
                  <c:v>psmigr_1</c:v>
                </c:pt>
                <c:pt idx="614">
                  <c:v>nemeth16</c:v>
                </c:pt>
                <c:pt idx="615">
                  <c:v>nemeth17</c:v>
                </c:pt>
                <c:pt idx="616">
                  <c:v>blockqp1</c:v>
                </c:pt>
                <c:pt idx="617">
                  <c:v>heart2</c:v>
                </c:pt>
                <c:pt idx="618">
                  <c:v>heart3</c:v>
                </c:pt>
                <c:pt idx="619">
                  <c:v>nemeth18</c:v>
                </c:pt>
                <c:pt idx="620">
                  <c:v>nemeth01</c:v>
                </c:pt>
                <c:pt idx="621">
                  <c:v>pf2177_id_1394</c:v>
                </c:pt>
                <c:pt idx="622">
                  <c:v>nemeth19</c:v>
                </c:pt>
                <c:pt idx="623">
                  <c:v>nemeth20</c:v>
                </c:pt>
                <c:pt idx="624">
                  <c:v>nemeth21</c:v>
                </c:pt>
                <c:pt idx="625">
                  <c:v>mycielskian13</c:v>
                </c:pt>
                <c:pt idx="626">
                  <c:v>nemeth22</c:v>
                </c:pt>
                <c:pt idx="627">
                  <c:v>heart1</c:v>
                </c:pt>
                <c:pt idx="628">
                  <c:v>nemeth24</c:v>
                </c:pt>
                <c:pt idx="629">
                  <c:v>nemeth23</c:v>
                </c:pt>
                <c:pt idx="630">
                  <c:v>nemeth25</c:v>
                </c:pt>
                <c:pt idx="631">
                  <c:v>nemeth26</c:v>
                </c:pt>
              </c:strCache>
            </c:strRef>
          </c:xVal>
          <c:yVal>
            <c:numRef>
              <c:f>Sheet3!$K$2:$K$633</c:f>
              <c:numCache>
                <c:formatCode>General</c:formatCode>
                <c:ptCount val="632"/>
                <c:pt idx="0">
                  <c:v>6.92882589050614</c:v>
                </c:pt>
                <c:pt idx="1">
                  <c:v>2.80322212449312</c:v>
                </c:pt>
                <c:pt idx="2">
                  <c:v>1.09921224807613</c:v>
                </c:pt>
                <c:pt idx="3">
                  <c:v>1.61059875949817</c:v>
                </c:pt>
                <c:pt idx="4">
                  <c:v>0.945736447635916</c:v>
                </c:pt>
                <c:pt idx="5">
                  <c:v>9.77752293577982</c:v>
                </c:pt>
                <c:pt idx="6">
                  <c:v>2.52134088567062</c:v>
                </c:pt>
                <c:pt idx="7">
                  <c:v>4.39316356379076</c:v>
                </c:pt>
                <c:pt idx="8">
                  <c:v>2.5117973517559</c:v>
                </c:pt>
                <c:pt idx="9">
                  <c:v>2.51004402988509</c:v>
                </c:pt>
                <c:pt idx="10">
                  <c:v>6.83107927461478</c:v>
                </c:pt>
                <c:pt idx="11">
                  <c:v>1.70963966142684</c:v>
                </c:pt>
                <c:pt idx="12">
                  <c:v>1.15135835758197</c:v>
                </c:pt>
                <c:pt idx="13">
                  <c:v>2.88771654798597</c:v>
                </c:pt>
                <c:pt idx="14">
                  <c:v>1.99049132792102</c:v>
                </c:pt>
                <c:pt idx="15">
                  <c:v>1.59426155591541</c:v>
                </c:pt>
                <c:pt idx="16">
                  <c:v>1.67501484864569</c:v>
                </c:pt>
                <c:pt idx="17">
                  <c:v>2.29416987611224</c:v>
                </c:pt>
                <c:pt idx="18">
                  <c:v>2.36599990218614</c:v>
                </c:pt>
                <c:pt idx="19">
                  <c:v>1.86297583214155</c:v>
                </c:pt>
                <c:pt idx="20">
                  <c:v>1.24191775630093</c:v>
                </c:pt>
                <c:pt idx="21">
                  <c:v>2.99152989245886</c:v>
                </c:pt>
                <c:pt idx="22">
                  <c:v>9.07399695929706</c:v>
                </c:pt>
                <c:pt idx="23">
                  <c:v>0.874971413550634</c:v>
                </c:pt>
                <c:pt idx="24">
                  <c:v>2.37096819868037</c:v>
                </c:pt>
                <c:pt idx="25">
                  <c:v>3.79909958711013</c:v>
                </c:pt>
                <c:pt idx="26">
                  <c:v>1.24493542654699</c:v>
                </c:pt>
                <c:pt idx="27">
                  <c:v>9.31953865243969</c:v>
                </c:pt>
                <c:pt idx="28">
                  <c:v>0.696224706844832</c:v>
                </c:pt>
                <c:pt idx="29">
                  <c:v>5.24661284783861</c:v>
                </c:pt>
                <c:pt idx="30">
                  <c:v>1.24206944118882</c:v>
                </c:pt>
                <c:pt idx="31">
                  <c:v>3.33910176701571</c:v>
                </c:pt>
                <c:pt idx="32">
                  <c:v>3.47665785091586</c:v>
                </c:pt>
                <c:pt idx="33">
                  <c:v>4.55893173829594</c:v>
                </c:pt>
                <c:pt idx="34">
                  <c:v>7.68114808529477</c:v>
                </c:pt>
                <c:pt idx="35">
                  <c:v>1.05348465410046</c:v>
                </c:pt>
                <c:pt idx="36">
                  <c:v>1.6115992175302</c:v>
                </c:pt>
                <c:pt idx="37">
                  <c:v>2.29219309628861</c:v>
                </c:pt>
                <c:pt idx="38">
                  <c:v>2.32534622878306</c:v>
                </c:pt>
                <c:pt idx="39">
                  <c:v>4.47242725788891</c:v>
                </c:pt>
                <c:pt idx="40">
                  <c:v>12.0794981045036</c:v>
                </c:pt>
                <c:pt idx="41">
                  <c:v>2.96452728755541</c:v>
                </c:pt>
                <c:pt idx="42">
                  <c:v>6.16237258335956</c:v>
                </c:pt>
                <c:pt idx="43">
                  <c:v>6.05324366596835</c:v>
                </c:pt>
                <c:pt idx="44">
                  <c:v>0.475364676126797</c:v>
                </c:pt>
                <c:pt idx="45">
                  <c:v>5.36607225368526</c:v>
                </c:pt>
                <c:pt idx="46">
                  <c:v>2.34764727858554</c:v>
                </c:pt>
                <c:pt idx="47">
                  <c:v>1.68258971215</c:v>
                </c:pt>
                <c:pt idx="48">
                  <c:v>2.81835</c:v>
                </c:pt>
                <c:pt idx="49">
                  <c:v>8.32454281209443</c:v>
                </c:pt>
                <c:pt idx="50">
                  <c:v>1.11346433349949</c:v>
                </c:pt>
                <c:pt idx="51">
                  <c:v>5.16064114928791</c:v>
                </c:pt>
                <c:pt idx="52">
                  <c:v>5.26483149662068</c:v>
                </c:pt>
                <c:pt idx="53">
                  <c:v>4.12626015723063</c:v>
                </c:pt>
                <c:pt idx="54">
                  <c:v>2.66044616481614</c:v>
                </c:pt>
                <c:pt idx="55">
                  <c:v>1.76281108866005</c:v>
                </c:pt>
                <c:pt idx="56">
                  <c:v>1.75092314864296</c:v>
                </c:pt>
                <c:pt idx="57">
                  <c:v>2.25846468204553</c:v>
                </c:pt>
                <c:pt idx="58">
                  <c:v>1.19931873015008</c:v>
                </c:pt>
                <c:pt idx="59">
                  <c:v>2.16546117303587</c:v>
                </c:pt>
                <c:pt idx="60">
                  <c:v>7.91206766965184</c:v>
                </c:pt>
                <c:pt idx="61">
                  <c:v>1.09938547895369</c:v>
                </c:pt>
                <c:pt idx="62">
                  <c:v>6.23813817208041</c:v>
                </c:pt>
                <c:pt idx="63">
                  <c:v>1.54897056599207</c:v>
                </c:pt>
                <c:pt idx="64">
                  <c:v>5.06827987244419</c:v>
                </c:pt>
                <c:pt idx="65">
                  <c:v>2.1059763435525</c:v>
                </c:pt>
                <c:pt idx="66">
                  <c:v>2.08438496865174</c:v>
                </c:pt>
                <c:pt idx="67">
                  <c:v>2.54556261187011</c:v>
                </c:pt>
                <c:pt idx="68">
                  <c:v>2.2911185499968</c:v>
                </c:pt>
                <c:pt idx="69">
                  <c:v>7.81377728062869</c:v>
                </c:pt>
                <c:pt idx="70">
                  <c:v>2.61685411468025</c:v>
                </c:pt>
                <c:pt idx="71">
                  <c:v>2.77094726746726</c:v>
                </c:pt>
                <c:pt idx="72">
                  <c:v>1.11593857521727</c:v>
                </c:pt>
                <c:pt idx="73">
                  <c:v>0.688698778135878</c:v>
                </c:pt>
                <c:pt idx="74">
                  <c:v>0.70560039474148</c:v>
                </c:pt>
                <c:pt idx="75">
                  <c:v>8.06485609844619</c:v>
                </c:pt>
                <c:pt idx="76">
                  <c:v>1.37155177150723</c:v>
                </c:pt>
                <c:pt idx="77">
                  <c:v>0.887446394102696</c:v>
                </c:pt>
                <c:pt idx="78">
                  <c:v>11.8085784877661</c:v>
                </c:pt>
                <c:pt idx="79">
                  <c:v>2.40853521945548</c:v>
                </c:pt>
                <c:pt idx="80">
                  <c:v>1.52278492832803</c:v>
                </c:pt>
                <c:pt idx="81">
                  <c:v>0.956133909997229</c:v>
                </c:pt>
                <c:pt idx="82">
                  <c:v>0.826984083044983</c:v>
                </c:pt>
                <c:pt idx="83">
                  <c:v>4.3954828421492</c:v>
                </c:pt>
                <c:pt idx="84">
                  <c:v>21.8555129154202</c:v>
                </c:pt>
                <c:pt idx="85">
                  <c:v>4.16411982029459</c:v>
                </c:pt>
                <c:pt idx="86">
                  <c:v>8.53830113089548</c:v>
                </c:pt>
                <c:pt idx="87">
                  <c:v>2.6703249676232</c:v>
                </c:pt>
                <c:pt idx="88">
                  <c:v>5.17952895628835</c:v>
                </c:pt>
                <c:pt idx="89">
                  <c:v>2.1725308421393</c:v>
                </c:pt>
                <c:pt idx="90">
                  <c:v>1.75607373578886</c:v>
                </c:pt>
                <c:pt idx="91">
                  <c:v>4.51278916411001</c:v>
                </c:pt>
                <c:pt idx="92">
                  <c:v>2.19153994580403</c:v>
                </c:pt>
                <c:pt idx="93">
                  <c:v>34.5518300818579</c:v>
                </c:pt>
                <c:pt idx="94">
                  <c:v>1.54664313776959</c:v>
                </c:pt>
                <c:pt idx="95">
                  <c:v>5.20971299595692</c:v>
                </c:pt>
                <c:pt idx="96">
                  <c:v>2.1862344896756</c:v>
                </c:pt>
                <c:pt idx="97">
                  <c:v>10.1916105124775</c:v>
                </c:pt>
                <c:pt idx="98">
                  <c:v>2.14422842293325</c:v>
                </c:pt>
                <c:pt idx="99">
                  <c:v>4.72735303715195</c:v>
                </c:pt>
                <c:pt idx="100">
                  <c:v>4.2689876157924</c:v>
                </c:pt>
                <c:pt idx="101">
                  <c:v>3.98389330895947</c:v>
                </c:pt>
                <c:pt idx="102">
                  <c:v>1.85195350706265</c:v>
                </c:pt>
                <c:pt idx="103">
                  <c:v>8.15232683580091</c:v>
                </c:pt>
                <c:pt idx="104">
                  <c:v>4.25299368587815</c:v>
                </c:pt>
                <c:pt idx="105">
                  <c:v>8.75036772471723</c:v>
                </c:pt>
                <c:pt idx="106">
                  <c:v>0.74281276718932</c:v>
                </c:pt>
                <c:pt idx="107">
                  <c:v>2.13780809152914</c:v>
                </c:pt>
                <c:pt idx="108">
                  <c:v>1.17509243228149</c:v>
                </c:pt>
                <c:pt idx="109">
                  <c:v>1.09820428514651</c:v>
                </c:pt>
                <c:pt idx="110">
                  <c:v>0.992349777623569</c:v>
                </c:pt>
                <c:pt idx="111">
                  <c:v>2.02401712946753</c:v>
                </c:pt>
                <c:pt idx="112">
                  <c:v>2.17226783502197</c:v>
                </c:pt>
                <c:pt idx="113">
                  <c:v>0.979754460486491</c:v>
                </c:pt>
                <c:pt idx="114">
                  <c:v>1.31777119978173</c:v>
                </c:pt>
                <c:pt idx="115">
                  <c:v>2.12334656668137</c:v>
                </c:pt>
                <c:pt idx="116">
                  <c:v>2.40669631207097</c:v>
                </c:pt>
                <c:pt idx="117">
                  <c:v>6.05322907055103</c:v>
                </c:pt>
                <c:pt idx="118">
                  <c:v>6.77093974729484</c:v>
                </c:pt>
                <c:pt idx="119">
                  <c:v>6.34233450848311</c:v>
                </c:pt>
                <c:pt idx="120">
                  <c:v>1.08995087694227</c:v>
                </c:pt>
                <c:pt idx="121">
                  <c:v>2.6606035443038</c:v>
                </c:pt>
                <c:pt idx="122">
                  <c:v>1.33264810815039</c:v>
                </c:pt>
                <c:pt idx="123">
                  <c:v>2.19812085973502</c:v>
                </c:pt>
                <c:pt idx="124">
                  <c:v>6.58732197605454</c:v>
                </c:pt>
                <c:pt idx="125">
                  <c:v>2.49403351809017</c:v>
                </c:pt>
                <c:pt idx="126">
                  <c:v>1.29052339212928</c:v>
                </c:pt>
                <c:pt idx="127">
                  <c:v>1.25670710466469</c:v>
                </c:pt>
                <c:pt idx="128">
                  <c:v>1.99058484592338</c:v>
                </c:pt>
                <c:pt idx="129">
                  <c:v>4.68801111769262</c:v>
                </c:pt>
                <c:pt idx="130">
                  <c:v>2.25057489159965</c:v>
                </c:pt>
                <c:pt idx="131">
                  <c:v>1.43901103108433</c:v>
                </c:pt>
                <c:pt idx="132">
                  <c:v>2.65218293288531</c:v>
                </c:pt>
                <c:pt idx="133">
                  <c:v>1.22217488944968</c:v>
                </c:pt>
                <c:pt idx="134">
                  <c:v>2.38912948203308</c:v>
                </c:pt>
                <c:pt idx="135">
                  <c:v>1.80586598325114</c:v>
                </c:pt>
                <c:pt idx="136">
                  <c:v>1.55283874961797</c:v>
                </c:pt>
                <c:pt idx="137">
                  <c:v>1.88448633559637</c:v>
                </c:pt>
                <c:pt idx="138">
                  <c:v>1.54329708390852</c:v>
                </c:pt>
                <c:pt idx="139">
                  <c:v>1.02910563374227</c:v>
                </c:pt>
                <c:pt idx="140">
                  <c:v>1.91698011305235</c:v>
                </c:pt>
                <c:pt idx="141">
                  <c:v>1.33121365644966</c:v>
                </c:pt>
                <c:pt idx="142">
                  <c:v>0.882563685937881</c:v>
                </c:pt>
                <c:pt idx="143">
                  <c:v>2.12248443754183</c:v>
                </c:pt>
                <c:pt idx="144">
                  <c:v>1.2600752616298</c:v>
                </c:pt>
                <c:pt idx="145">
                  <c:v>1.19761312185303</c:v>
                </c:pt>
                <c:pt idx="146">
                  <c:v>1.24454925806027</c:v>
                </c:pt>
                <c:pt idx="147">
                  <c:v>1.17459674684906</c:v>
                </c:pt>
                <c:pt idx="148">
                  <c:v>1.56367016957778</c:v>
                </c:pt>
                <c:pt idx="149">
                  <c:v>1.14412661231912</c:v>
                </c:pt>
                <c:pt idx="150">
                  <c:v>1.12246346704871</c:v>
                </c:pt>
                <c:pt idx="151">
                  <c:v>1.49653301175761</c:v>
                </c:pt>
                <c:pt idx="152">
                  <c:v>1.52119380698147</c:v>
                </c:pt>
                <c:pt idx="153">
                  <c:v>2.01147093528196</c:v>
                </c:pt>
                <c:pt idx="154">
                  <c:v>1.2470025477529</c:v>
                </c:pt>
                <c:pt idx="155">
                  <c:v>1.68429580192879</c:v>
                </c:pt>
                <c:pt idx="156">
                  <c:v>1.163476907314</c:v>
                </c:pt>
                <c:pt idx="157">
                  <c:v>3.34219678408557</c:v>
                </c:pt>
                <c:pt idx="158">
                  <c:v>1.49835362580115</c:v>
                </c:pt>
                <c:pt idx="159">
                  <c:v>3.18963097758569</c:v>
                </c:pt>
                <c:pt idx="160">
                  <c:v>1.18733618722186</c:v>
                </c:pt>
                <c:pt idx="161">
                  <c:v>2.77531192288636</c:v>
                </c:pt>
                <c:pt idx="162">
                  <c:v>1.63176947184014</c:v>
                </c:pt>
                <c:pt idx="163">
                  <c:v>1.4117627646292</c:v>
                </c:pt>
                <c:pt idx="164">
                  <c:v>1.24304576862557</c:v>
                </c:pt>
                <c:pt idx="165">
                  <c:v>5.35625878511342</c:v>
                </c:pt>
                <c:pt idx="166">
                  <c:v>1.21648610794145</c:v>
                </c:pt>
                <c:pt idx="167">
                  <c:v>1.15594005811125</c:v>
                </c:pt>
                <c:pt idx="168">
                  <c:v>2.83593373233685</c:v>
                </c:pt>
                <c:pt idx="169">
                  <c:v>2.51847687429384</c:v>
                </c:pt>
                <c:pt idx="170">
                  <c:v>2.6104336664147</c:v>
                </c:pt>
                <c:pt idx="171">
                  <c:v>2.60851002192296</c:v>
                </c:pt>
                <c:pt idx="172">
                  <c:v>1.15140867214456</c:v>
                </c:pt>
                <c:pt idx="173">
                  <c:v>6.61252690829653</c:v>
                </c:pt>
                <c:pt idx="174">
                  <c:v>1.31346745323451</c:v>
                </c:pt>
                <c:pt idx="175">
                  <c:v>3.67045427544883</c:v>
                </c:pt>
                <c:pt idx="176">
                  <c:v>2.7333459353074</c:v>
                </c:pt>
                <c:pt idx="177">
                  <c:v>1.28257849522086</c:v>
                </c:pt>
                <c:pt idx="178">
                  <c:v>1.27071599766369</c:v>
                </c:pt>
                <c:pt idx="179">
                  <c:v>1.52404199946155</c:v>
                </c:pt>
                <c:pt idx="180">
                  <c:v>1.45962723450444</c:v>
                </c:pt>
                <c:pt idx="181">
                  <c:v>2.110097522976</c:v>
                </c:pt>
                <c:pt idx="182">
                  <c:v>1.33275468337957</c:v>
                </c:pt>
                <c:pt idx="183">
                  <c:v>1.31738933742238</c:v>
                </c:pt>
                <c:pt idx="184">
                  <c:v>1.00218593384007</c:v>
                </c:pt>
                <c:pt idx="185">
                  <c:v>1.162183823447</c:v>
                </c:pt>
                <c:pt idx="186">
                  <c:v>1.75679632885169</c:v>
                </c:pt>
                <c:pt idx="187">
                  <c:v>1.33562849417357</c:v>
                </c:pt>
                <c:pt idx="188">
                  <c:v>2.92486398534106</c:v>
                </c:pt>
                <c:pt idx="189">
                  <c:v>4.8812322361786</c:v>
                </c:pt>
                <c:pt idx="190">
                  <c:v>5.09561870790604</c:v>
                </c:pt>
                <c:pt idx="191">
                  <c:v>22.2583503592353</c:v>
                </c:pt>
                <c:pt idx="192">
                  <c:v>1.49821167221046</c:v>
                </c:pt>
                <c:pt idx="193">
                  <c:v>1.00815936641886</c:v>
                </c:pt>
                <c:pt idx="194">
                  <c:v>1.24917783044575</c:v>
                </c:pt>
                <c:pt idx="195">
                  <c:v>1.36438228349091</c:v>
                </c:pt>
                <c:pt idx="196">
                  <c:v>2.08493715640926</c:v>
                </c:pt>
                <c:pt idx="197">
                  <c:v>3.02399819627014</c:v>
                </c:pt>
                <c:pt idx="198">
                  <c:v>2405.71861149063</c:v>
                </c:pt>
                <c:pt idx="199">
                  <c:v>0.89911270813075</c:v>
                </c:pt>
                <c:pt idx="200">
                  <c:v>0.789195563049073</c:v>
                </c:pt>
                <c:pt idx="201">
                  <c:v>4.84897685101376</c:v>
                </c:pt>
                <c:pt idx="202">
                  <c:v>4.56722032471373</c:v>
                </c:pt>
                <c:pt idx="203">
                  <c:v>1.20484762230107</c:v>
                </c:pt>
                <c:pt idx="204">
                  <c:v>1.7192218046901</c:v>
                </c:pt>
                <c:pt idx="205">
                  <c:v>1.38997510761487</c:v>
                </c:pt>
                <c:pt idx="206">
                  <c:v>2395.87071764049</c:v>
                </c:pt>
                <c:pt idx="207">
                  <c:v>3.08031650921909</c:v>
                </c:pt>
                <c:pt idx="208">
                  <c:v>2.83754991827725</c:v>
                </c:pt>
                <c:pt idx="209">
                  <c:v>1.58086344381168</c:v>
                </c:pt>
                <c:pt idx="210">
                  <c:v>1.78678118950748</c:v>
                </c:pt>
                <c:pt idx="211">
                  <c:v>2.95445203292232</c:v>
                </c:pt>
                <c:pt idx="212">
                  <c:v>3.18198332730536</c:v>
                </c:pt>
                <c:pt idx="213">
                  <c:v>7.22604376467025</c:v>
                </c:pt>
                <c:pt idx="214">
                  <c:v>1.3596797932207</c:v>
                </c:pt>
                <c:pt idx="215">
                  <c:v>919.022457002457</c:v>
                </c:pt>
                <c:pt idx="216">
                  <c:v>1.65400348758405</c:v>
                </c:pt>
                <c:pt idx="217">
                  <c:v>2.46846662931384</c:v>
                </c:pt>
                <c:pt idx="218">
                  <c:v>8.75906460591855</c:v>
                </c:pt>
                <c:pt idx="219">
                  <c:v>545.743090567285</c:v>
                </c:pt>
                <c:pt idx="220">
                  <c:v>1.70989742288593</c:v>
                </c:pt>
                <c:pt idx="221">
                  <c:v>8.31725973492987</c:v>
                </c:pt>
                <c:pt idx="222">
                  <c:v>828.761552810592</c:v>
                </c:pt>
                <c:pt idx="223">
                  <c:v>3.11885340202333</c:v>
                </c:pt>
                <c:pt idx="224">
                  <c:v>6.47958773399657</c:v>
                </c:pt>
                <c:pt idx="225">
                  <c:v>1.17021493720675</c:v>
                </c:pt>
                <c:pt idx="226">
                  <c:v>1.26512356813465</c:v>
                </c:pt>
                <c:pt idx="227">
                  <c:v>6.9554507320008</c:v>
                </c:pt>
                <c:pt idx="228">
                  <c:v>6.86257063835225</c:v>
                </c:pt>
                <c:pt idx="229">
                  <c:v>7.81167564624829</c:v>
                </c:pt>
                <c:pt idx="230">
                  <c:v>8.34238300730249</c:v>
                </c:pt>
                <c:pt idx="231">
                  <c:v>6.99534315038492</c:v>
                </c:pt>
                <c:pt idx="232">
                  <c:v>7.82210089438863</c:v>
                </c:pt>
                <c:pt idx="233">
                  <c:v>8.34207651166975</c:v>
                </c:pt>
                <c:pt idx="234">
                  <c:v>1.67949341110588</c:v>
                </c:pt>
                <c:pt idx="235">
                  <c:v>61.3514168098534</c:v>
                </c:pt>
                <c:pt idx="236">
                  <c:v>8.32670751160093</c:v>
                </c:pt>
                <c:pt idx="237">
                  <c:v>4.82874436007483</c:v>
                </c:pt>
                <c:pt idx="238">
                  <c:v>1.91593271319959</c:v>
                </c:pt>
                <c:pt idx="239">
                  <c:v>1.31461130890019</c:v>
                </c:pt>
                <c:pt idx="240">
                  <c:v>7.84077340517804</c:v>
                </c:pt>
                <c:pt idx="241">
                  <c:v>1.00531483674505</c:v>
                </c:pt>
                <c:pt idx="242">
                  <c:v>2.79068219169154</c:v>
                </c:pt>
                <c:pt idx="243">
                  <c:v>2.11063441856262</c:v>
                </c:pt>
                <c:pt idx="244">
                  <c:v>3.1801853705072</c:v>
                </c:pt>
                <c:pt idx="245">
                  <c:v>5.12361381688229</c:v>
                </c:pt>
                <c:pt idx="246">
                  <c:v>7.75079937949156</c:v>
                </c:pt>
                <c:pt idx="247">
                  <c:v>1.45567173068696</c:v>
                </c:pt>
                <c:pt idx="248">
                  <c:v>2.84064260240643</c:v>
                </c:pt>
                <c:pt idx="249">
                  <c:v>6.11991172803045</c:v>
                </c:pt>
                <c:pt idx="250">
                  <c:v>6.34583277570489</c:v>
                </c:pt>
                <c:pt idx="251">
                  <c:v>0.763869594522686</c:v>
                </c:pt>
                <c:pt idx="252">
                  <c:v>3.50112893803324</c:v>
                </c:pt>
                <c:pt idx="253">
                  <c:v>2.27217230985338</c:v>
                </c:pt>
                <c:pt idx="254">
                  <c:v>1179.34231623437</c:v>
                </c:pt>
                <c:pt idx="255">
                  <c:v>3.23678843532855</c:v>
                </c:pt>
                <c:pt idx="256">
                  <c:v>7.68126780227735</c:v>
                </c:pt>
                <c:pt idx="257">
                  <c:v>1.48336265293862</c:v>
                </c:pt>
                <c:pt idx="258">
                  <c:v>1.62239226741845</c:v>
                </c:pt>
                <c:pt idx="259">
                  <c:v>0.729615286479744</c:v>
                </c:pt>
                <c:pt idx="260">
                  <c:v>3.31519454183644</c:v>
                </c:pt>
                <c:pt idx="261">
                  <c:v>1.06698994358309</c:v>
                </c:pt>
                <c:pt idx="262">
                  <c:v>2.89872184500364</c:v>
                </c:pt>
                <c:pt idx="263">
                  <c:v>3.15477225510222</c:v>
                </c:pt>
                <c:pt idx="264">
                  <c:v>3.40261068346163</c:v>
                </c:pt>
                <c:pt idx="265">
                  <c:v>1.14097446021835</c:v>
                </c:pt>
                <c:pt idx="266">
                  <c:v>2.96698216516953</c:v>
                </c:pt>
                <c:pt idx="267">
                  <c:v>2.91115147144482</c:v>
                </c:pt>
                <c:pt idx="268">
                  <c:v>1.14119506530329</c:v>
                </c:pt>
                <c:pt idx="269">
                  <c:v>2.66692595436152</c:v>
                </c:pt>
                <c:pt idx="270">
                  <c:v>1.03755574130591</c:v>
                </c:pt>
                <c:pt idx="271">
                  <c:v>1.66860126107562</c:v>
                </c:pt>
                <c:pt idx="272">
                  <c:v>1.05566690962099</c:v>
                </c:pt>
                <c:pt idx="273">
                  <c:v>1.11981776999017</c:v>
                </c:pt>
                <c:pt idx="274">
                  <c:v>8.51213423130516</c:v>
                </c:pt>
                <c:pt idx="275">
                  <c:v>2.85817292006525</c:v>
                </c:pt>
                <c:pt idx="276">
                  <c:v>1.2004085135599</c:v>
                </c:pt>
                <c:pt idx="277">
                  <c:v>2.92182738922785</c:v>
                </c:pt>
                <c:pt idx="278">
                  <c:v>5.26684874589202</c:v>
                </c:pt>
                <c:pt idx="279">
                  <c:v>3.03324799352799</c:v>
                </c:pt>
                <c:pt idx="280">
                  <c:v>8.2892393648619</c:v>
                </c:pt>
                <c:pt idx="281">
                  <c:v>1.45876389583832</c:v>
                </c:pt>
                <c:pt idx="282">
                  <c:v>1.10143045593206</c:v>
                </c:pt>
                <c:pt idx="283">
                  <c:v>11.0323843958711</c:v>
                </c:pt>
                <c:pt idx="284">
                  <c:v>2.43201753988926</c:v>
                </c:pt>
                <c:pt idx="285">
                  <c:v>1.50034026101986</c:v>
                </c:pt>
                <c:pt idx="286">
                  <c:v>4.28908911800051</c:v>
                </c:pt>
                <c:pt idx="287">
                  <c:v>1.14615716771007</c:v>
                </c:pt>
                <c:pt idx="288">
                  <c:v>1.61979792463135</c:v>
                </c:pt>
                <c:pt idx="289">
                  <c:v>1.61991553572609</c:v>
                </c:pt>
                <c:pt idx="290">
                  <c:v>4.79617911229433</c:v>
                </c:pt>
                <c:pt idx="291">
                  <c:v>419.002008060098</c:v>
                </c:pt>
                <c:pt idx="292">
                  <c:v>1.55514225811338</c:v>
                </c:pt>
                <c:pt idx="293">
                  <c:v>5.91504543726088</c:v>
                </c:pt>
                <c:pt idx="294">
                  <c:v>8.09782375360986</c:v>
                </c:pt>
                <c:pt idx="295">
                  <c:v>7.62404487554873</c:v>
                </c:pt>
                <c:pt idx="296">
                  <c:v>8.71011023916293</c:v>
                </c:pt>
                <c:pt idx="297">
                  <c:v>0.461534393055276</c:v>
                </c:pt>
                <c:pt idx="298">
                  <c:v>30.8376903388651</c:v>
                </c:pt>
                <c:pt idx="299">
                  <c:v>1.30896679734934</c:v>
                </c:pt>
                <c:pt idx="300">
                  <c:v>13.6079603832575</c:v>
                </c:pt>
                <c:pt idx="301">
                  <c:v>13.5872161924351</c:v>
                </c:pt>
                <c:pt idx="302">
                  <c:v>1.22193877160631</c:v>
                </c:pt>
                <c:pt idx="303">
                  <c:v>2.69071055376235</c:v>
                </c:pt>
                <c:pt idx="304">
                  <c:v>3.05071281302507</c:v>
                </c:pt>
                <c:pt idx="305">
                  <c:v>5.1645922411663</c:v>
                </c:pt>
                <c:pt idx="306">
                  <c:v>1.05477691040774</c:v>
                </c:pt>
                <c:pt idx="307">
                  <c:v>1.07893464411194</c:v>
                </c:pt>
                <c:pt idx="308">
                  <c:v>1.98949280455876</c:v>
                </c:pt>
                <c:pt idx="309">
                  <c:v>26.6419363992755</c:v>
                </c:pt>
                <c:pt idx="310">
                  <c:v>5.36191045115178</c:v>
                </c:pt>
                <c:pt idx="311">
                  <c:v>5.36455088308176</c:v>
                </c:pt>
                <c:pt idx="312">
                  <c:v>5.48511607708048</c:v>
                </c:pt>
                <c:pt idx="313">
                  <c:v>5.50162470376596</c:v>
                </c:pt>
                <c:pt idx="314">
                  <c:v>3.12005639951056</c:v>
                </c:pt>
                <c:pt idx="315">
                  <c:v>0.673855259722048</c:v>
                </c:pt>
                <c:pt idx="316">
                  <c:v>5.212169910251</c:v>
                </c:pt>
                <c:pt idx="317">
                  <c:v>4.12048084237671</c:v>
                </c:pt>
                <c:pt idx="318">
                  <c:v>5.98043546029525</c:v>
                </c:pt>
                <c:pt idx="319">
                  <c:v>5.87582475174071</c:v>
                </c:pt>
                <c:pt idx="320">
                  <c:v>1.05681965960947</c:v>
                </c:pt>
                <c:pt idx="321">
                  <c:v>5.52963615074125</c:v>
                </c:pt>
                <c:pt idx="322">
                  <c:v>5.4948888895242</c:v>
                </c:pt>
                <c:pt idx="323">
                  <c:v>5.09680512458549</c:v>
                </c:pt>
                <c:pt idx="324">
                  <c:v>2.59292239237038</c:v>
                </c:pt>
                <c:pt idx="325">
                  <c:v>5.4404128446573</c:v>
                </c:pt>
                <c:pt idx="326">
                  <c:v>4.48630518487115</c:v>
                </c:pt>
                <c:pt idx="327">
                  <c:v>6.03278322885845</c:v>
                </c:pt>
                <c:pt idx="328">
                  <c:v>5.82400305616573</c:v>
                </c:pt>
                <c:pt idx="329">
                  <c:v>5.73094940552662</c:v>
                </c:pt>
                <c:pt idx="330">
                  <c:v>5.97516332308442</c:v>
                </c:pt>
                <c:pt idx="331">
                  <c:v>1.52531906614786</c:v>
                </c:pt>
                <c:pt idx="332">
                  <c:v>4.59936598907495</c:v>
                </c:pt>
                <c:pt idx="333">
                  <c:v>3.93124845064951</c:v>
                </c:pt>
                <c:pt idx="334">
                  <c:v>3.9676504953534</c:v>
                </c:pt>
                <c:pt idx="335">
                  <c:v>1.63975423050742</c:v>
                </c:pt>
                <c:pt idx="336">
                  <c:v>2.65726892516131</c:v>
                </c:pt>
                <c:pt idx="337">
                  <c:v>1.66430823117338</c:v>
                </c:pt>
                <c:pt idx="338">
                  <c:v>1.65598540696184</c:v>
                </c:pt>
                <c:pt idx="339">
                  <c:v>5.99589745614641</c:v>
                </c:pt>
                <c:pt idx="340">
                  <c:v>1.71203147885015</c:v>
                </c:pt>
                <c:pt idx="341">
                  <c:v>1.73135666660771</c:v>
                </c:pt>
                <c:pt idx="342">
                  <c:v>1.79861866230628</c:v>
                </c:pt>
                <c:pt idx="343">
                  <c:v>2.30778790199666</c:v>
                </c:pt>
                <c:pt idx="344">
                  <c:v>6.49296783546646</c:v>
                </c:pt>
                <c:pt idx="345">
                  <c:v>5.43005380140556</c:v>
                </c:pt>
                <c:pt idx="346">
                  <c:v>2.30895388115329</c:v>
                </c:pt>
                <c:pt idx="347">
                  <c:v>1.8793997139965</c:v>
                </c:pt>
                <c:pt idx="348">
                  <c:v>1.83414794778314</c:v>
                </c:pt>
                <c:pt idx="349">
                  <c:v>2.41474961413677</c:v>
                </c:pt>
                <c:pt idx="350">
                  <c:v>1.21651420416706</c:v>
                </c:pt>
                <c:pt idx="351">
                  <c:v>23.9216112898849</c:v>
                </c:pt>
                <c:pt idx="352">
                  <c:v>1.36155730711731</c:v>
                </c:pt>
                <c:pt idx="353">
                  <c:v>10.2210061881575</c:v>
                </c:pt>
                <c:pt idx="354">
                  <c:v>5.93194864801942</c:v>
                </c:pt>
                <c:pt idx="355">
                  <c:v>6.81971093182427</c:v>
                </c:pt>
                <c:pt idx="356">
                  <c:v>1.86461024830834</c:v>
                </c:pt>
                <c:pt idx="357">
                  <c:v>1.81677945524569</c:v>
                </c:pt>
                <c:pt idx="358">
                  <c:v>5.57678047150518</c:v>
                </c:pt>
                <c:pt idx="359">
                  <c:v>12.1330807757383</c:v>
                </c:pt>
                <c:pt idx="360">
                  <c:v>1.9499049010229</c:v>
                </c:pt>
                <c:pt idx="361">
                  <c:v>1.93540433740472</c:v>
                </c:pt>
                <c:pt idx="362">
                  <c:v>2.00598530564263</c:v>
                </c:pt>
                <c:pt idx="363">
                  <c:v>0.711173421538688</c:v>
                </c:pt>
                <c:pt idx="364">
                  <c:v>2.03696198748776</c:v>
                </c:pt>
                <c:pt idx="365">
                  <c:v>0.657626262937218</c:v>
                </c:pt>
                <c:pt idx="366">
                  <c:v>8.39283764569231</c:v>
                </c:pt>
                <c:pt idx="367">
                  <c:v>1.12168605631105</c:v>
                </c:pt>
                <c:pt idx="368">
                  <c:v>1.11421344956413</c:v>
                </c:pt>
                <c:pt idx="369">
                  <c:v>10.8776081645345</c:v>
                </c:pt>
                <c:pt idx="370">
                  <c:v>1.89425614893607</c:v>
                </c:pt>
                <c:pt idx="371">
                  <c:v>6.96888152061365</c:v>
                </c:pt>
                <c:pt idx="372">
                  <c:v>3.53919197834094</c:v>
                </c:pt>
                <c:pt idx="373">
                  <c:v>2.77798303641102</c:v>
                </c:pt>
                <c:pt idx="374">
                  <c:v>9.71469958526966</c:v>
                </c:pt>
                <c:pt idx="375">
                  <c:v>7.92738167298887</c:v>
                </c:pt>
                <c:pt idx="376">
                  <c:v>7.30016042577697</c:v>
                </c:pt>
                <c:pt idx="377">
                  <c:v>7.845659598156</c:v>
                </c:pt>
                <c:pt idx="378">
                  <c:v>2.5594709561102</c:v>
                </c:pt>
                <c:pt idx="379">
                  <c:v>1.8506947865869</c:v>
                </c:pt>
                <c:pt idx="380">
                  <c:v>1.4429625047549</c:v>
                </c:pt>
                <c:pt idx="381">
                  <c:v>2.94110665503533</c:v>
                </c:pt>
                <c:pt idx="382">
                  <c:v>2.41254184228605</c:v>
                </c:pt>
                <c:pt idx="383">
                  <c:v>2.39307976793443</c:v>
                </c:pt>
                <c:pt idx="384">
                  <c:v>8.38025180235254</c:v>
                </c:pt>
                <c:pt idx="385">
                  <c:v>3.82704873494014</c:v>
                </c:pt>
                <c:pt idx="386">
                  <c:v>14.1632677472867</c:v>
                </c:pt>
                <c:pt idx="387">
                  <c:v>13.6129388804265</c:v>
                </c:pt>
                <c:pt idx="388">
                  <c:v>13.6076993997887</c:v>
                </c:pt>
                <c:pt idx="389">
                  <c:v>13.4735011428693</c:v>
                </c:pt>
                <c:pt idx="390">
                  <c:v>2.56381987011567</c:v>
                </c:pt>
                <c:pt idx="391">
                  <c:v>2.60324468957057</c:v>
                </c:pt>
                <c:pt idx="392">
                  <c:v>1.61972493300298</c:v>
                </c:pt>
                <c:pt idx="393">
                  <c:v>8.69467524489994</c:v>
                </c:pt>
                <c:pt idx="394">
                  <c:v>1.3528490806481</c:v>
                </c:pt>
                <c:pt idx="395">
                  <c:v>32.0071877129685</c:v>
                </c:pt>
                <c:pt idx="396">
                  <c:v>25.9106499984667</c:v>
                </c:pt>
                <c:pt idx="397">
                  <c:v>3.92156089869925</c:v>
                </c:pt>
                <c:pt idx="398">
                  <c:v>18.7713761900678</c:v>
                </c:pt>
                <c:pt idx="399">
                  <c:v>3.80153358936331</c:v>
                </c:pt>
                <c:pt idx="400">
                  <c:v>3.76505564285943</c:v>
                </c:pt>
                <c:pt idx="401">
                  <c:v>1.8628838045006</c:v>
                </c:pt>
                <c:pt idx="402">
                  <c:v>1.9301054780793</c:v>
                </c:pt>
                <c:pt idx="403">
                  <c:v>6.53868976583408</c:v>
                </c:pt>
                <c:pt idx="404">
                  <c:v>8.17008583878485</c:v>
                </c:pt>
                <c:pt idx="405">
                  <c:v>1.8101714006796</c:v>
                </c:pt>
                <c:pt idx="406">
                  <c:v>13.5429036006744</c:v>
                </c:pt>
                <c:pt idx="407">
                  <c:v>2.18318056570882</c:v>
                </c:pt>
                <c:pt idx="408">
                  <c:v>2.22471491605066</c:v>
                </c:pt>
                <c:pt idx="409">
                  <c:v>9.30538525984776</c:v>
                </c:pt>
                <c:pt idx="410">
                  <c:v>12.8560888567213</c:v>
                </c:pt>
                <c:pt idx="411">
                  <c:v>12.4910840040339</c:v>
                </c:pt>
                <c:pt idx="412">
                  <c:v>1.89033124440466</c:v>
                </c:pt>
                <c:pt idx="413">
                  <c:v>13.9753791484231</c:v>
                </c:pt>
                <c:pt idx="414">
                  <c:v>2.11075424440083</c:v>
                </c:pt>
                <c:pt idx="415">
                  <c:v>6.22325819868514</c:v>
                </c:pt>
                <c:pt idx="416">
                  <c:v>1.4540401258314</c:v>
                </c:pt>
                <c:pt idx="417">
                  <c:v>3.39222409922592</c:v>
                </c:pt>
                <c:pt idx="418">
                  <c:v>6.48348642180127</c:v>
                </c:pt>
                <c:pt idx="419">
                  <c:v>6.07714123023549</c:v>
                </c:pt>
                <c:pt idx="420">
                  <c:v>6.01163987100034</c:v>
                </c:pt>
                <c:pt idx="421">
                  <c:v>1.21831122696721</c:v>
                </c:pt>
                <c:pt idx="422">
                  <c:v>6.16704176600789</c:v>
                </c:pt>
                <c:pt idx="423">
                  <c:v>1.61106403877706</c:v>
                </c:pt>
                <c:pt idx="424">
                  <c:v>5.55363658052955</c:v>
                </c:pt>
                <c:pt idx="425">
                  <c:v>7.76477021736195</c:v>
                </c:pt>
                <c:pt idx="426">
                  <c:v>2.06718892460028</c:v>
                </c:pt>
                <c:pt idx="427">
                  <c:v>1.92412907018642</c:v>
                </c:pt>
                <c:pt idx="428">
                  <c:v>6.82332416786066</c:v>
                </c:pt>
                <c:pt idx="429">
                  <c:v>2.98572437935575</c:v>
                </c:pt>
                <c:pt idx="430">
                  <c:v>2.00769372660031</c:v>
                </c:pt>
                <c:pt idx="431">
                  <c:v>34.0589481904311</c:v>
                </c:pt>
                <c:pt idx="432">
                  <c:v>3.37363752113204</c:v>
                </c:pt>
                <c:pt idx="433">
                  <c:v>5.18942902847497</c:v>
                </c:pt>
                <c:pt idx="434">
                  <c:v>1.10019059756528</c:v>
                </c:pt>
                <c:pt idx="435">
                  <c:v>14.4061526861869</c:v>
                </c:pt>
                <c:pt idx="436">
                  <c:v>6.65679608027525</c:v>
                </c:pt>
                <c:pt idx="437">
                  <c:v>5.48294096797311</c:v>
                </c:pt>
                <c:pt idx="438">
                  <c:v>7.43938908633975</c:v>
                </c:pt>
                <c:pt idx="439">
                  <c:v>15.7117139861786</c:v>
                </c:pt>
                <c:pt idx="440">
                  <c:v>1.1064140176613</c:v>
                </c:pt>
                <c:pt idx="441">
                  <c:v>7.20276037410333</c:v>
                </c:pt>
                <c:pt idx="442">
                  <c:v>24.7343506061926</c:v>
                </c:pt>
                <c:pt idx="443">
                  <c:v>0.709274950592885</c:v>
                </c:pt>
                <c:pt idx="444">
                  <c:v>2.53284580270031</c:v>
                </c:pt>
                <c:pt idx="445">
                  <c:v>12.9199342893587</c:v>
                </c:pt>
                <c:pt idx="446">
                  <c:v>18.5909408096357</c:v>
                </c:pt>
                <c:pt idx="447">
                  <c:v>2.31834314320655</c:v>
                </c:pt>
                <c:pt idx="448">
                  <c:v>1.14411204919233</c:v>
                </c:pt>
                <c:pt idx="449">
                  <c:v>0.0953125738151096</c:v>
                </c:pt>
                <c:pt idx="450">
                  <c:v>22.6213949953821</c:v>
                </c:pt>
                <c:pt idx="451">
                  <c:v>7.35813936762234</c:v>
                </c:pt>
                <c:pt idx="452">
                  <c:v>3.03810965138994</c:v>
                </c:pt>
                <c:pt idx="453">
                  <c:v>0.0781486394745242</c:v>
                </c:pt>
                <c:pt idx="454">
                  <c:v>1.49608102379151</c:v>
                </c:pt>
                <c:pt idx="455">
                  <c:v>1.19705940842965</c:v>
                </c:pt>
                <c:pt idx="456">
                  <c:v>2.07699261283842</c:v>
                </c:pt>
                <c:pt idx="457">
                  <c:v>1.04830257790242</c:v>
                </c:pt>
                <c:pt idx="458">
                  <c:v>4.91592557674177</c:v>
                </c:pt>
                <c:pt idx="459">
                  <c:v>0.958471020295896</c:v>
                </c:pt>
                <c:pt idx="460">
                  <c:v>28.7561021916196</c:v>
                </c:pt>
                <c:pt idx="461">
                  <c:v>2.04921102542821</c:v>
                </c:pt>
                <c:pt idx="462">
                  <c:v>27.4546974301722</c:v>
                </c:pt>
                <c:pt idx="463">
                  <c:v>16.2937447562226</c:v>
                </c:pt>
                <c:pt idx="464">
                  <c:v>0.783015453121349</c:v>
                </c:pt>
                <c:pt idx="465">
                  <c:v>0.898958784103921</c:v>
                </c:pt>
                <c:pt idx="466">
                  <c:v>0.9075317286325</c:v>
                </c:pt>
                <c:pt idx="467">
                  <c:v>26.3927993223809</c:v>
                </c:pt>
                <c:pt idx="468">
                  <c:v>0.895612544591587</c:v>
                </c:pt>
                <c:pt idx="469">
                  <c:v>8.54399902699251</c:v>
                </c:pt>
                <c:pt idx="470">
                  <c:v>6.47268743833318</c:v>
                </c:pt>
                <c:pt idx="471">
                  <c:v>0.770062758588629</c:v>
                </c:pt>
                <c:pt idx="472">
                  <c:v>12.9498357987186</c:v>
                </c:pt>
                <c:pt idx="473">
                  <c:v>6.38093580744188</c:v>
                </c:pt>
                <c:pt idx="474">
                  <c:v>1.74141561763045</c:v>
                </c:pt>
                <c:pt idx="475">
                  <c:v>31.1696503345707</c:v>
                </c:pt>
                <c:pt idx="476">
                  <c:v>2.47453674937577</c:v>
                </c:pt>
                <c:pt idx="477">
                  <c:v>5.61893151630064</c:v>
                </c:pt>
                <c:pt idx="478">
                  <c:v>1.36709916976094</c:v>
                </c:pt>
                <c:pt idx="479">
                  <c:v>25.9654994296201</c:v>
                </c:pt>
                <c:pt idx="480">
                  <c:v>23.6000141837936</c:v>
                </c:pt>
                <c:pt idx="481">
                  <c:v>2.11368018647173</c:v>
                </c:pt>
                <c:pt idx="482">
                  <c:v>21.4549218846351</c:v>
                </c:pt>
                <c:pt idx="483">
                  <c:v>1.0185312129401</c:v>
                </c:pt>
                <c:pt idx="484">
                  <c:v>1.74250157818674</c:v>
                </c:pt>
                <c:pt idx="485">
                  <c:v>1.68509262136638</c:v>
                </c:pt>
                <c:pt idx="486">
                  <c:v>15.1976345668342</c:v>
                </c:pt>
                <c:pt idx="487">
                  <c:v>1.67562393706592</c:v>
                </c:pt>
                <c:pt idx="488">
                  <c:v>11.3276715049656</c:v>
                </c:pt>
                <c:pt idx="489">
                  <c:v>7.12113281064386</c:v>
                </c:pt>
                <c:pt idx="490">
                  <c:v>5.72834655038831</c:v>
                </c:pt>
                <c:pt idx="491">
                  <c:v>18.4416806838076</c:v>
                </c:pt>
                <c:pt idx="492">
                  <c:v>18.3317292373151</c:v>
                </c:pt>
                <c:pt idx="493">
                  <c:v>10.739827596165</c:v>
                </c:pt>
                <c:pt idx="494">
                  <c:v>2.32359757519235</c:v>
                </c:pt>
                <c:pt idx="495">
                  <c:v>1.04559960572059</c:v>
                </c:pt>
                <c:pt idx="496">
                  <c:v>16.1248114762723</c:v>
                </c:pt>
                <c:pt idx="497">
                  <c:v>21.6976650253012</c:v>
                </c:pt>
                <c:pt idx="498">
                  <c:v>1.67508750399168</c:v>
                </c:pt>
                <c:pt idx="499">
                  <c:v>0.994514145612657</c:v>
                </c:pt>
                <c:pt idx="500">
                  <c:v>5.93224328369441</c:v>
                </c:pt>
                <c:pt idx="501">
                  <c:v>6.63533261486312</c:v>
                </c:pt>
                <c:pt idx="502">
                  <c:v>19.3643341928766</c:v>
                </c:pt>
                <c:pt idx="503">
                  <c:v>14.4431547781031</c:v>
                </c:pt>
                <c:pt idx="504">
                  <c:v>15.8370225477759</c:v>
                </c:pt>
                <c:pt idx="505">
                  <c:v>7.02677136551522</c:v>
                </c:pt>
                <c:pt idx="506">
                  <c:v>6.54185728134841</c:v>
                </c:pt>
                <c:pt idx="507">
                  <c:v>19.044704943383</c:v>
                </c:pt>
                <c:pt idx="508">
                  <c:v>7.89757413487854</c:v>
                </c:pt>
                <c:pt idx="509">
                  <c:v>10.1919818689339</c:v>
                </c:pt>
                <c:pt idx="510">
                  <c:v>16.4446210931152</c:v>
                </c:pt>
                <c:pt idx="511">
                  <c:v>7.93671087512041</c:v>
                </c:pt>
                <c:pt idx="512">
                  <c:v>3.94971547584681</c:v>
                </c:pt>
                <c:pt idx="513">
                  <c:v>17.6816645328258</c:v>
                </c:pt>
                <c:pt idx="514">
                  <c:v>15.930949602122</c:v>
                </c:pt>
                <c:pt idx="515">
                  <c:v>17.9409440573759</c:v>
                </c:pt>
                <c:pt idx="516">
                  <c:v>23.2971630732261</c:v>
                </c:pt>
                <c:pt idx="517">
                  <c:v>3.32501958558748</c:v>
                </c:pt>
                <c:pt idx="518">
                  <c:v>23.4780412218268</c:v>
                </c:pt>
                <c:pt idx="519">
                  <c:v>8.18451425380315</c:v>
                </c:pt>
                <c:pt idx="520">
                  <c:v>6.53578791948102</c:v>
                </c:pt>
                <c:pt idx="521">
                  <c:v>29.4848499627626</c:v>
                </c:pt>
                <c:pt idx="522">
                  <c:v>3.08210246976158</c:v>
                </c:pt>
                <c:pt idx="523">
                  <c:v>18.4202281675001</c:v>
                </c:pt>
                <c:pt idx="524">
                  <c:v>25.3039899548837</c:v>
                </c:pt>
                <c:pt idx="525">
                  <c:v>29.1231118657882</c:v>
                </c:pt>
                <c:pt idx="526">
                  <c:v>26.6513989523405</c:v>
                </c:pt>
                <c:pt idx="527">
                  <c:v>24.5920607734522</c:v>
                </c:pt>
                <c:pt idx="528">
                  <c:v>32.2204429632539</c:v>
                </c:pt>
                <c:pt idx="529">
                  <c:v>13.1962249162436</c:v>
                </c:pt>
                <c:pt idx="530">
                  <c:v>3.31565527948665</c:v>
                </c:pt>
                <c:pt idx="531">
                  <c:v>2.52629705365515</c:v>
                </c:pt>
                <c:pt idx="532">
                  <c:v>25.2626304789854</c:v>
                </c:pt>
                <c:pt idx="533">
                  <c:v>24.817634262123</c:v>
                </c:pt>
                <c:pt idx="534">
                  <c:v>24.1767804523985</c:v>
                </c:pt>
                <c:pt idx="535">
                  <c:v>3.8836566993837</c:v>
                </c:pt>
                <c:pt idx="536">
                  <c:v>26.9191360622146</c:v>
                </c:pt>
                <c:pt idx="537">
                  <c:v>18.2335734677041</c:v>
                </c:pt>
                <c:pt idx="538">
                  <c:v>5.10120784781544</c:v>
                </c:pt>
                <c:pt idx="539">
                  <c:v>27.8838560956869</c:v>
                </c:pt>
                <c:pt idx="540">
                  <c:v>32.7106529180142</c:v>
                </c:pt>
                <c:pt idx="541">
                  <c:v>0.120316319639168</c:v>
                </c:pt>
                <c:pt idx="542">
                  <c:v>0.121041456389509</c:v>
                </c:pt>
                <c:pt idx="543">
                  <c:v>13.0366396094993</c:v>
                </c:pt>
                <c:pt idx="544">
                  <c:v>17.7062720145581</c:v>
                </c:pt>
                <c:pt idx="545">
                  <c:v>0.116838097247041</c:v>
                </c:pt>
                <c:pt idx="546">
                  <c:v>16.3314985598148</c:v>
                </c:pt>
                <c:pt idx="547">
                  <c:v>4.59392339064014</c:v>
                </c:pt>
                <c:pt idx="548">
                  <c:v>29.235266437366</c:v>
                </c:pt>
                <c:pt idx="549">
                  <c:v>0.115722781861169</c:v>
                </c:pt>
                <c:pt idx="550">
                  <c:v>30.4267337088025</c:v>
                </c:pt>
                <c:pt idx="551">
                  <c:v>30.104718190787</c:v>
                </c:pt>
                <c:pt idx="552">
                  <c:v>4.21151193716787</c:v>
                </c:pt>
                <c:pt idx="553">
                  <c:v>4.57069661972065</c:v>
                </c:pt>
                <c:pt idx="554">
                  <c:v>17.7001700622658</c:v>
                </c:pt>
                <c:pt idx="555">
                  <c:v>4.05817629439237</c:v>
                </c:pt>
                <c:pt idx="556">
                  <c:v>19.0707167155768</c:v>
                </c:pt>
                <c:pt idx="557">
                  <c:v>0.12066691436712</c:v>
                </c:pt>
                <c:pt idx="558">
                  <c:v>16.320969518913</c:v>
                </c:pt>
                <c:pt idx="559">
                  <c:v>16.4543429356996</c:v>
                </c:pt>
                <c:pt idx="560">
                  <c:v>15.2121474715876</c:v>
                </c:pt>
                <c:pt idx="561">
                  <c:v>16.3333457390884</c:v>
                </c:pt>
                <c:pt idx="562">
                  <c:v>16.2415925860248</c:v>
                </c:pt>
                <c:pt idx="563">
                  <c:v>15.3498635195773</c:v>
                </c:pt>
                <c:pt idx="564">
                  <c:v>8.39250050790887</c:v>
                </c:pt>
                <c:pt idx="565">
                  <c:v>2.64813961261963</c:v>
                </c:pt>
                <c:pt idx="566">
                  <c:v>2.84727860987725</c:v>
                </c:pt>
                <c:pt idx="567">
                  <c:v>18.6512992788144</c:v>
                </c:pt>
                <c:pt idx="568">
                  <c:v>14.9520412128349</c:v>
                </c:pt>
                <c:pt idx="569">
                  <c:v>29.8197831082164</c:v>
                </c:pt>
                <c:pt idx="570">
                  <c:v>33.4793430999427</c:v>
                </c:pt>
                <c:pt idx="571">
                  <c:v>51.0773607925431</c:v>
                </c:pt>
                <c:pt idx="572">
                  <c:v>11.085107766998</c:v>
                </c:pt>
                <c:pt idx="573">
                  <c:v>4.25724030803274</c:v>
                </c:pt>
                <c:pt idx="574">
                  <c:v>16.5460789134284</c:v>
                </c:pt>
                <c:pt idx="575">
                  <c:v>7.0615690954437</c:v>
                </c:pt>
                <c:pt idx="576">
                  <c:v>33.2004324297712</c:v>
                </c:pt>
                <c:pt idx="577">
                  <c:v>15.7922061176174</c:v>
                </c:pt>
                <c:pt idx="578">
                  <c:v>7.93793557424444</c:v>
                </c:pt>
                <c:pt idx="579">
                  <c:v>15.3151121942141</c:v>
                </c:pt>
                <c:pt idx="580">
                  <c:v>15.7777994151907</c:v>
                </c:pt>
                <c:pt idx="581">
                  <c:v>23.7033277130651</c:v>
                </c:pt>
                <c:pt idx="582">
                  <c:v>21.6660126654739</c:v>
                </c:pt>
                <c:pt idx="583">
                  <c:v>0.785859663970806</c:v>
                </c:pt>
                <c:pt idx="584">
                  <c:v>0.27393557840453</c:v>
                </c:pt>
                <c:pt idx="585">
                  <c:v>2.15615935232991</c:v>
                </c:pt>
                <c:pt idx="586">
                  <c:v>13.463480565371</c:v>
                </c:pt>
                <c:pt idx="587">
                  <c:v>22.0682588177654</c:v>
                </c:pt>
                <c:pt idx="588">
                  <c:v>14.4448995928169</c:v>
                </c:pt>
                <c:pt idx="589">
                  <c:v>12.8825216673921</c:v>
                </c:pt>
                <c:pt idx="590">
                  <c:v>13.0813222395127</c:v>
                </c:pt>
                <c:pt idx="591">
                  <c:v>30.0797463958645</c:v>
                </c:pt>
                <c:pt idx="592">
                  <c:v>34.1295781321185</c:v>
                </c:pt>
                <c:pt idx="593">
                  <c:v>32.2247169930042</c:v>
                </c:pt>
                <c:pt idx="594">
                  <c:v>31.6381714028979</c:v>
                </c:pt>
                <c:pt idx="595">
                  <c:v>29.3558946152131</c:v>
                </c:pt>
                <c:pt idx="596">
                  <c:v>35.3927488156146</c:v>
                </c:pt>
                <c:pt idx="597">
                  <c:v>35.6683408454019</c:v>
                </c:pt>
                <c:pt idx="598">
                  <c:v>19.3677156378459</c:v>
                </c:pt>
                <c:pt idx="599">
                  <c:v>37.3821797537307</c:v>
                </c:pt>
                <c:pt idx="600">
                  <c:v>36.0132574541063</c:v>
                </c:pt>
                <c:pt idx="601">
                  <c:v>37.5007334941521</c:v>
                </c:pt>
                <c:pt idx="602">
                  <c:v>37.850665730571</c:v>
                </c:pt>
                <c:pt idx="603">
                  <c:v>37.0594632320423</c:v>
                </c:pt>
                <c:pt idx="604">
                  <c:v>35.3538535188183</c:v>
                </c:pt>
                <c:pt idx="605">
                  <c:v>22.0106146309778</c:v>
                </c:pt>
                <c:pt idx="606">
                  <c:v>36.3679252328903</c:v>
                </c:pt>
                <c:pt idx="607">
                  <c:v>38.9628188090514</c:v>
                </c:pt>
                <c:pt idx="608">
                  <c:v>38.387211011945</c:v>
                </c:pt>
                <c:pt idx="609">
                  <c:v>40.6791858073098</c:v>
                </c:pt>
                <c:pt idx="610">
                  <c:v>38.2960956175299</c:v>
                </c:pt>
                <c:pt idx="611">
                  <c:v>18.7288922977753</c:v>
                </c:pt>
                <c:pt idx="612">
                  <c:v>16.1611843234815</c:v>
                </c:pt>
                <c:pt idx="613">
                  <c:v>16.4262887791188</c:v>
                </c:pt>
                <c:pt idx="614">
                  <c:v>42.5034105792571</c:v>
                </c:pt>
                <c:pt idx="615">
                  <c:v>45.7264213974037</c:v>
                </c:pt>
                <c:pt idx="616">
                  <c:v>5.32070221743381</c:v>
                </c:pt>
                <c:pt idx="617">
                  <c:v>65.2622947349043</c:v>
                </c:pt>
                <c:pt idx="618">
                  <c:v>49.7679797561472</c:v>
                </c:pt>
                <c:pt idx="619">
                  <c:v>48.3964707774697</c:v>
                </c:pt>
                <c:pt idx="620">
                  <c:v>45.9196488913859</c:v>
                </c:pt>
                <c:pt idx="621">
                  <c:v>2.66760205241854</c:v>
                </c:pt>
                <c:pt idx="622">
                  <c:v>50.0633915315741</c:v>
                </c:pt>
                <c:pt idx="623">
                  <c:v>50.2056750480661</c:v>
                </c:pt>
                <c:pt idx="624">
                  <c:v>53.7721191217635</c:v>
                </c:pt>
                <c:pt idx="625">
                  <c:v>22.6003535443716</c:v>
                </c:pt>
                <c:pt idx="626">
                  <c:v>57.5370883988383</c:v>
                </c:pt>
                <c:pt idx="627">
                  <c:v>55.4748204712977</c:v>
                </c:pt>
                <c:pt idx="628">
                  <c:v>59.5940903410757</c:v>
                </c:pt>
                <c:pt idx="629">
                  <c:v>59.7332671924541</c:v>
                </c:pt>
                <c:pt idx="630">
                  <c:v>59.464959143713</c:v>
                </c:pt>
                <c:pt idx="631">
                  <c:v>58.0176453693677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12393"/>
        <c:axId val="658067336"/>
      </c:scatterChart>
      <c:valAx>
        <c:axId val="204212393"/>
        <c:scaling>
          <c:orientation val="minMax"/>
          <c:max val="632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标题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58067336"/>
        <c:crosses val="autoZero"/>
        <c:crossBetween val="midCat"/>
      </c:valAx>
      <c:valAx>
        <c:axId val="658067336"/>
        <c:scaling>
          <c:orientation val="minMax"/>
          <c:max val="60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标题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0421239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f7c57f-9eb3-4c8b-a18b-8cc637d4370f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1"/>
          <c:order val="0"/>
          <c:tx>
            <c:strRef>
              <c:f>Sheet3!$G$1</c:f>
              <c:strCache>
                <c:ptCount val="1"/>
                <c:pt idx="0">
                  <c:v>Hier_GFlops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15875" cmpd="sng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strRef>
              <c:f>Sheet3!$I$2:$I$633</c:f>
              <c:strCache>
                <c:ptCount val="632"/>
                <c:pt idx="0">
                  <c:v>windtunnel_evap2d</c:v>
                </c:pt>
                <c:pt idx="1">
                  <c:v>CurlCurl_0</c:v>
                </c:pt>
                <c:pt idx="2">
                  <c:v>cvxqp3</c:v>
                </c:pt>
                <c:pt idx="3">
                  <c:v>foldoc</c:v>
                </c:pt>
                <c:pt idx="4">
                  <c:v>aug3dcqp</c:v>
                </c:pt>
                <c:pt idx="5">
                  <c:v>igbt3</c:v>
                </c:pt>
                <c:pt idx="6">
                  <c:v>JapaneseVowelsSmall_10NN</c:v>
                </c:pt>
                <c:pt idx="7">
                  <c:v>ACTIVSg10K</c:v>
                </c:pt>
                <c:pt idx="8">
                  <c:v>stokes64s</c:v>
                </c:pt>
                <c:pt idx="9">
                  <c:v>stokes64</c:v>
                </c:pt>
                <c:pt idx="10">
                  <c:v>OPF_3754</c:v>
                </c:pt>
                <c:pt idx="11">
                  <c:v>mnist_test_norm_10NN</c:v>
                </c:pt>
                <c:pt idx="12">
                  <c:v>ccc</c:v>
                </c:pt>
                <c:pt idx="13">
                  <c:v>wing_nodal</c:v>
                </c:pt>
                <c:pt idx="14">
                  <c:v>Fashion_MNIST_norm_10NN</c:v>
                </c:pt>
                <c:pt idx="15">
                  <c:v>Zhao2</c:v>
                </c:pt>
                <c:pt idx="16">
                  <c:v>Zhao1</c:v>
                </c:pt>
                <c:pt idx="17">
                  <c:v>wang3</c:v>
                </c:pt>
                <c:pt idx="18">
                  <c:v>wang4</c:v>
                </c:pt>
                <c:pt idx="19">
                  <c:v>Ill_Stokes</c:v>
                </c:pt>
                <c:pt idx="20">
                  <c:v>bfly</c:v>
                </c:pt>
                <c:pt idx="21">
                  <c:v>jnlbrng1</c:v>
                </c:pt>
                <c:pt idx="22">
                  <c:v>chem_master1</c:v>
                </c:pt>
                <c:pt idx="23">
                  <c:v>vsp_barth5_1Ksep_50in_5Kout</c:v>
                </c:pt>
                <c:pt idx="24">
                  <c:v>mario001</c:v>
                </c:pt>
                <c:pt idx="25">
                  <c:v>copter1</c:v>
                </c:pt>
                <c:pt idx="26">
                  <c:v>nh2010</c:v>
                </c:pt>
                <c:pt idx="27">
                  <c:v>nmos3</c:v>
                </c:pt>
                <c:pt idx="28">
                  <c:v>wing</c:v>
                </c:pt>
                <c:pt idx="29">
                  <c:v>Dubcova1</c:v>
                </c:pt>
                <c:pt idx="30">
                  <c:v>tandem_vtx</c:v>
                </c:pt>
                <c:pt idx="31">
                  <c:v>chipcool1</c:v>
                </c:pt>
                <c:pt idx="32">
                  <c:v>chipcool0</c:v>
                </c:pt>
                <c:pt idx="33">
                  <c:v>dixmaanl</c:v>
                </c:pt>
                <c:pt idx="34">
                  <c:v>crystm02</c:v>
                </c:pt>
                <c:pt idx="35">
                  <c:v>EAT_SR</c:v>
                </c:pt>
                <c:pt idx="36">
                  <c:v>ct2010</c:v>
                </c:pt>
                <c:pt idx="37">
                  <c:v>cvxbqp1</c:v>
                </c:pt>
                <c:pt idx="38">
                  <c:v>ncvxbqp1</c:v>
                </c:pt>
                <c:pt idx="39">
                  <c:v>poisson3Da</c:v>
                </c:pt>
                <c:pt idx="40">
                  <c:v>garon2</c:v>
                </c:pt>
                <c:pt idx="41">
                  <c:v>viscoplastic2</c:v>
                </c:pt>
                <c:pt idx="42">
                  <c:v>ted_A</c:v>
                </c:pt>
                <c:pt idx="43">
                  <c:v>ted_A_unscaled</c:v>
                </c:pt>
                <c:pt idx="44">
                  <c:v>ncvxqp5</c:v>
                </c:pt>
                <c:pt idx="45">
                  <c:v>OPF_10000</c:v>
                </c:pt>
                <c:pt idx="46">
                  <c:v>helm3d01</c:v>
                </c:pt>
                <c:pt idx="47">
                  <c:v>cont-201</c:v>
                </c:pt>
                <c:pt idx="48">
                  <c:v>epb3</c:v>
                </c:pt>
                <c:pt idx="49">
                  <c:v>wathen100</c:v>
                </c:pt>
                <c:pt idx="50">
                  <c:v>ncvxqp3</c:v>
                </c:pt>
                <c:pt idx="51">
                  <c:v>t3dl_a</c:v>
                </c:pt>
                <c:pt idx="52">
                  <c:v>t3dl</c:v>
                </c:pt>
                <c:pt idx="53">
                  <c:v>gridgena</c:v>
                </c:pt>
                <c:pt idx="54">
                  <c:v>apache1</c:v>
                </c:pt>
                <c:pt idx="55">
                  <c:v>Trefethen_20000b</c:v>
                </c:pt>
                <c:pt idx="56">
                  <c:v>Trefethen_20000</c:v>
                </c:pt>
                <c:pt idx="57">
                  <c:v>stokes128</c:v>
                </c:pt>
                <c:pt idx="58">
                  <c:v>cage11</c:v>
                </c:pt>
                <c:pt idx="59">
                  <c:v>k1_san</c:v>
                </c:pt>
                <c:pt idx="60">
                  <c:v>wathen120</c:v>
                </c:pt>
                <c:pt idx="61">
                  <c:v>ncvxqp7</c:v>
                </c:pt>
                <c:pt idx="62">
                  <c:v>crystm03</c:v>
                </c:pt>
                <c:pt idx="63">
                  <c:v>wv2010</c:v>
                </c:pt>
                <c:pt idx="64">
                  <c:v>rgg_n_2_16_s0</c:v>
                </c:pt>
                <c:pt idx="65">
                  <c:v>thermomech_TC</c:v>
                </c:pt>
                <c:pt idx="66">
                  <c:v>thermomech_TK</c:v>
                </c:pt>
                <c:pt idx="67">
                  <c:v>brack2</c:v>
                </c:pt>
                <c:pt idx="68">
                  <c:v>olesnik0</c:v>
                </c:pt>
                <c:pt idx="69">
                  <c:v>Baumann</c:v>
                </c:pt>
                <c:pt idx="70">
                  <c:v>copter2_id_1230</c:v>
                </c:pt>
                <c:pt idx="71">
                  <c:v>copter2_id_1256</c:v>
                </c:pt>
                <c:pt idx="72">
                  <c:v>Andrews</c:v>
                </c:pt>
                <c:pt idx="73">
                  <c:v>m133-b3</c:v>
                </c:pt>
                <c:pt idx="74">
                  <c:v>shar_te2-b3</c:v>
                </c:pt>
                <c:pt idx="75">
                  <c:v>windtunnel_evap3d</c:v>
                </c:pt>
                <c:pt idx="76">
                  <c:v>fe_ocean</c:v>
                </c:pt>
                <c:pt idx="77">
                  <c:v>ch7-8-b5</c:v>
                </c:pt>
                <c:pt idx="78">
                  <c:v>sme3Da</c:v>
                </c:pt>
                <c:pt idx="79">
                  <c:v>fe_tooth</c:v>
                </c:pt>
                <c:pt idx="80">
                  <c:v>cont-300</c:v>
                </c:pt>
                <c:pt idx="81">
                  <c:v>smallworld</c:v>
                </c:pt>
                <c:pt idx="82">
                  <c:v>G_n_pin_pout</c:v>
                </c:pt>
                <c:pt idx="83">
                  <c:v>Dubcova2</c:v>
                </c:pt>
                <c:pt idx="84">
                  <c:v>msc23052</c:v>
                </c:pt>
                <c:pt idx="85">
                  <c:v>denormal</c:v>
                </c:pt>
                <c:pt idx="86">
                  <c:v>struct3</c:v>
                </c:pt>
                <c:pt idx="87">
                  <c:v>matrix_9</c:v>
                </c:pt>
                <c:pt idx="88">
                  <c:v>SiO</c:v>
                </c:pt>
                <c:pt idx="89">
                  <c:v>fe_rotor</c:v>
                </c:pt>
                <c:pt idx="90">
                  <c:v>thermomech_dM</c:v>
                </c:pt>
                <c:pt idx="91">
                  <c:v>rgg_n_2_17_s0</c:v>
                </c:pt>
                <c:pt idx="92">
                  <c:v>598a</c:v>
                </c:pt>
                <c:pt idx="93">
                  <c:v>raefsky3</c:v>
                </c:pt>
                <c:pt idx="94">
                  <c:v>sparsine</c:v>
                </c:pt>
                <c:pt idx="95">
                  <c:v>nv1</c:v>
                </c:pt>
                <c:pt idx="96">
                  <c:v>d_pretok</c:v>
                </c:pt>
                <c:pt idx="97">
                  <c:v>ns3Da</c:v>
                </c:pt>
                <c:pt idx="98">
                  <c:v>turon_m</c:v>
                </c:pt>
                <c:pt idx="99">
                  <c:v>gas_sensor</c:v>
                </c:pt>
                <c:pt idx="100">
                  <c:v>majorbasis</c:v>
                </c:pt>
                <c:pt idx="101">
                  <c:v>crashbasis</c:v>
                </c:pt>
                <c:pt idx="102">
                  <c:v>Lin</c:v>
                </c:pt>
                <c:pt idx="103">
                  <c:v>invextr1_new</c:v>
                </c:pt>
                <c:pt idx="104">
                  <c:v>power9</c:v>
                </c:pt>
                <c:pt idx="105">
                  <c:v>mixtank_new</c:v>
                </c:pt>
                <c:pt idx="106">
                  <c:v>language</c:v>
                </c:pt>
                <c:pt idx="107">
                  <c:v>c-72</c:v>
                </c:pt>
                <c:pt idx="108">
                  <c:v>al2010</c:v>
                </c:pt>
                <c:pt idx="109">
                  <c:v>az2010</c:v>
                </c:pt>
                <c:pt idx="110">
                  <c:v>k49_norm_10NN</c:v>
                </c:pt>
                <c:pt idx="111">
                  <c:v>c-71</c:v>
                </c:pt>
                <c:pt idx="112">
                  <c:v>c-70</c:v>
                </c:pt>
                <c:pt idx="113">
                  <c:v>ks2010</c:v>
                </c:pt>
                <c:pt idx="114">
                  <c:v>nm2010</c:v>
                </c:pt>
                <c:pt idx="115">
                  <c:v>c-69</c:v>
                </c:pt>
                <c:pt idx="116">
                  <c:v>c-68</c:v>
                </c:pt>
                <c:pt idx="117">
                  <c:v>HTC_336_9129</c:v>
                </c:pt>
                <c:pt idx="118">
                  <c:v>c-67</c:v>
                </c:pt>
                <c:pt idx="119">
                  <c:v>c-67b</c:v>
                </c:pt>
                <c:pt idx="120">
                  <c:v>com-Amazon</c:v>
                </c:pt>
                <c:pt idx="121">
                  <c:v>c-59</c:v>
                </c:pt>
                <c:pt idx="122">
                  <c:v>ms2010</c:v>
                </c:pt>
                <c:pt idx="123">
                  <c:v>c-63</c:v>
                </c:pt>
                <c:pt idx="124">
                  <c:v>HTC_336_4438</c:v>
                </c:pt>
                <c:pt idx="125">
                  <c:v>ibm_matrix_2</c:v>
                </c:pt>
                <c:pt idx="126">
                  <c:v>or2010</c:v>
                </c:pt>
                <c:pt idx="127">
                  <c:v>ok2010</c:v>
                </c:pt>
                <c:pt idx="128">
                  <c:v>c-65</c:v>
                </c:pt>
                <c:pt idx="129">
                  <c:v>c-56</c:v>
                </c:pt>
                <c:pt idx="130">
                  <c:v>c-61</c:v>
                </c:pt>
                <c:pt idx="131">
                  <c:v>wy2010</c:v>
                </c:pt>
                <c:pt idx="132">
                  <c:v>3D_51448_3D</c:v>
                </c:pt>
                <c:pt idx="133">
                  <c:v>nv2010</c:v>
                </c:pt>
                <c:pt idx="134">
                  <c:v>c-55</c:v>
                </c:pt>
                <c:pt idx="135">
                  <c:v>c-49</c:v>
                </c:pt>
                <c:pt idx="136">
                  <c:v>delaunay_n18</c:v>
                </c:pt>
                <c:pt idx="137">
                  <c:v>c-60</c:v>
                </c:pt>
                <c:pt idx="138">
                  <c:v>id2010</c:v>
                </c:pt>
                <c:pt idx="139">
                  <c:v>ar2010</c:v>
                </c:pt>
                <c:pt idx="140">
                  <c:v>c-52</c:v>
                </c:pt>
                <c:pt idx="141">
                  <c:v>c-51</c:v>
                </c:pt>
                <c:pt idx="142">
                  <c:v>preferentialAttachment</c:v>
                </c:pt>
                <c:pt idx="143">
                  <c:v>c-48</c:v>
                </c:pt>
                <c:pt idx="144">
                  <c:v>a2nnsnsl</c:v>
                </c:pt>
                <c:pt idx="145">
                  <c:v>ny2010</c:v>
                </c:pt>
                <c:pt idx="146">
                  <c:v>nj2010</c:v>
                </c:pt>
                <c:pt idx="147">
                  <c:v>sc2010</c:v>
                </c:pt>
                <c:pt idx="148">
                  <c:v>benzene</c:v>
                </c:pt>
                <c:pt idx="149">
                  <c:v>oh2010</c:v>
                </c:pt>
                <c:pt idx="150">
                  <c:v>wa2010</c:v>
                </c:pt>
                <c:pt idx="151">
                  <c:v>md2010</c:v>
                </c:pt>
                <c:pt idx="152">
                  <c:v>me2010</c:v>
                </c:pt>
                <c:pt idx="153">
                  <c:v>a0nsdsil</c:v>
                </c:pt>
                <c:pt idx="154">
                  <c:v>ma2010</c:v>
                </c:pt>
                <c:pt idx="155">
                  <c:v>delaunay_n15</c:v>
                </c:pt>
                <c:pt idx="156">
                  <c:v>ia2010</c:v>
                </c:pt>
                <c:pt idx="157">
                  <c:v>3D_28984_Tetra</c:v>
                </c:pt>
                <c:pt idx="158">
                  <c:v>ut2010</c:v>
                </c:pt>
                <c:pt idx="159">
                  <c:v>onetone1</c:v>
                </c:pt>
                <c:pt idx="160">
                  <c:v>shock-9</c:v>
                </c:pt>
                <c:pt idx="161">
                  <c:v>lpl1</c:v>
                </c:pt>
                <c:pt idx="162">
                  <c:v>de2010</c:v>
                </c:pt>
                <c:pt idx="163">
                  <c:v>nd2010</c:v>
                </c:pt>
                <c:pt idx="164">
                  <c:v>mo2010</c:v>
                </c:pt>
                <c:pt idx="165">
                  <c:v>c-54</c:v>
                </c:pt>
                <c:pt idx="166">
                  <c:v>vsp_sctap1-2b_and_seymourl</c:v>
                </c:pt>
                <c:pt idx="167">
                  <c:v>kmnist_norm_10NN</c:v>
                </c:pt>
                <c:pt idx="168">
                  <c:v>minsurfo</c:v>
                </c:pt>
                <c:pt idx="169">
                  <c:v>onetone2</c:v>
                </c:pt>
                <c:pt idx="170">
                  <c:v>c-62ghs</c:v>
                </c:pt>
                <c:pt idx="171">
                  <c:v>c-62</c:v>
                </c:pt>
                <c:pt idx="172">
                  <c:v>tn2010</c:v>
                </c:pt>
                <c:pt idx="173">
                  <c:v>OPF_6000</c:v>
                </c:pt>
                <c:pt idx="174">
                  <c:v>in2010</c:v>
                </c:pt>
                <c:pt idx="175">
                  <c:v>imagesensor</c:v>
                </c:pt>
                <c:pt idx="176">
                  <c:v>obstclae</c:v>
                </c:pt>
                <c:pt idx="177">
                  <c:v>G2_circuit</c:v>
                </c:pt>
                <c:pt idx="178">
                  <c:v>ga2010</c:v>
                </c:pt>
                <c:pt idx="179">
                  <c:v>ri2010</c:v>
                </c:pt>
                <c:pt idx="180">
                  <c:v>mt2010</c:v>
                </c:pt>
                <c:pt idx="181">
                  <c:v>delaunay_n16</c:v>
                </c:pt>
                <c:pt idx="182">
                  <c:v>nc2010</c:v>
                </c:pt>
                <c:pt idx="183">
                  <c:v>mn2010</c:v>
                </c:pt>
                <c:pt idx="184">
                  <c:v>wi2010</c:v>
                </c:pt>
                <c:pt idx="185">
                  <c:v>vsp_mod2_pgp2_slptsk</c:v>
                </c:pt>
                <c:pt idx="186">
                  <c:v>vt2010</c:v>
                </c:pt>
                <c:pt idx="187">
                  <c:v>co2010</c:v>
                </c:pt>
                <c:pt idx="188">
                  <c:v>torsion1</c:v>
                </c:pt>
                <c:pt idx="189">
                  <c:v>rgg_n_2_15_s0</c:v>
                </c:pt>
                <c:pt idx="190">
                  <c:v>mosfet2</c:v>
                </c:pt>
                <c:pt idx="191">
                  <c:v>msc10848</c:v>
                </c:pt>
                <c:pt idx="192">
                  <c:v>delaunay_n17</c:v>
                </c:pt>
                <c:pt idx="193">
                  <c:v>amazon0302</c:v>
                </c:pt>
                <c:pt idx="194">
                  <c:v>mi2010</c:v>
                </c:pt>
                <c:pt idx="195">
                  <c:v>la2010</c:v>
                </c:pt>
                <c:pt idx="196">
                  <c:v>bcircuit</c:v>
                </c:pt>
                <c:pt idx="197">
                  <c:v>c-41</c:v>
                </c:pt>
                <c:pt idx="198">
                  <c:v>TSOPF_RS_b39_c30</c:v>
                </c:pt>
                <c:pt idx="199">
                  <c:v>vsp_bump2_e18_aa01_model1_crew1</c:v>
                </c:pt>
                <c:pt idx="200">
                  <c:v>vsp_vibrobox_scagr7-2c_rlfddd</c:v>
                </c:pt>
                <c:pt idx="201">
                  <c:v>qa8fm</c:v>
                </c:pt>
                <c:pt idx="202">
                  <c:v>qa8fk</c:v>
                </c:pt>
                <c:pt idx="203">
                  <c:v>ne2010</c:v>
                </c:pt>
                <c:pt idx="204">
                  <c:v>hi2010</c:v>
                </c:pt>
                <c:pt idx="205">
                  <c:v>va2010</c:v>
                </c:pt>
                <c:pt idx="206">
                  <c:v>TSOPF_RS_b39_c19</c:v>
                </c:pt>
                <c:pt idx="207">
                  <c:v>c-50</c:v>
                </c:pt>
                <c:pt idx="208">
                  <c:v>rajat15</c:v>
                </c:pt>
                <c:pt idx="209">
                  <c:v>sd2010</c:v>
                </c:pt>
                <c:pt idx="210">
                  <c:v>shyy161</c:v>
                </c:pt>
                <c:pt idx="211">
                  <c:v>c-66</c:v>
                </c:pt>
                <c:pt idx="212">
                  <c:v>c-66b</c:v>
                </c:pt>
                <c:pt idx="213">
                  <c:v>2D_54019_highK</c:v>
                </c:pt>
                <c:pt idx="214">
                  <c:v>ky2010</c:v>
                </c:pt>
                <c:pt idx="215">
                  <c:v>TSOPF_RS_b300_c1</c:v>
                </c:pt>
                <c:pt idx="216">
                  <c:v>cage10</c:v>
                </c:pt>
                <c:pt idx="217">
                  <c:v>pds10</c:v>
                </c:pt>
                <c:pt idx="218">
                  <c:v>Muu</c:v>
                </c:pt>
                <c:pt idx="219">
                  <c:v>TSOPF_RS_b39_c7</c:v>
                </c:pt>
                <c:pt idx="220">
                  <c:v>vsp_c-60_data_cti_cs4</c:v>
                </c:pt>
                <c:pt idx="221">
                  <c:v>lhr14</c:v>
                </c:pt>
                <c:pt idx="222">
                  <c:v>TSOPF_RS_b162_c4</c:v>
                </c:pt>
                <c:pt idx="223">
                  <c:v>Si5H12</c:v>
                </c:pt>
                <c:pt idx="224">
                  <c:v>lhr34c</c:v>
                </c:pt>
                <c:pt idx="225">
                  <c:v>mac_econ_fwd500</c:v>
                </c:pt>
                <c:pt idx="226">
                  <c:v>loc-Gowalla</c:v>
                </c:pt>
                <c:pt idx="227">
                  <c:v>lhr34</c:v>
                </c:pt>
                <c:pt idx="228">
                  <c:v>lhr71</c:v>
                </c:pt>
                <c:pt idx="229">
                  <c:v>lhr17c</c:v>
                </c:pt>
                <c:pt idx="230">
                  <c:v>lhr17</c:v>
                </c:pt>
                <c:pt idx="231">
                  <c:v>lhr71c</c:v>
                </c:pt>
                <c:pt idx="232">
                  <c:v>lhr11c</c:v>
                </c:pt>
                <c:pt idx="233">
                  <c:v>lhr10c</c:v>
                </c:pt>
                <c:pt idx="234">
                  <c:v>caidaRouterLevel</c:v>
                </c:pt>
                <c:pt idx="235">
                  <c:v>GT01R</c:v>
                </c:pt>
                <c:pt idx="236">
                  <c:v>lhr14c</c:v>
                </c:pt>
                <c:pt idx="237">
                  <c:v>vibrobox</c:v>
                </c:pt>
                <c:pt idx="238">
                  <c:v>har_10NN</c:v>
                </c:pt>
                <c:pt idx="239">
                  <c:v>coAuthorsDBLP</c:v>
                </c:pt>
                <c:pt idx="240">
                  <c:v>lhr11</c:v>
                </c:pt>
                <c:pt idx="241">
                  <c:v>vsp_data_and_seymourl</c:v>
                </c:pt>
                <c:pt idx="242">
                  <c:v>epb2</c:v>
                </c:pt>
                <c:pt idx="243">
                  <c:v>coAuthorsCiteseer</c:v>
                </c:pt>
                <c:pt idx="244">
                  <c:v>lhr10</c:v>
                </c:pt>
                <c:pt idx="245">
                  <c:v>av41092</c:v>
                </c:pt>
                <c:pt idx="246">
                  <c:v>lhr07c</c:v>
                </c:pt>
                <c:pt idx="247">
                  <c:v>scircuit</c:v>
                </c:pt>
                <c:pt idx="248">
                  <c:v>bodyy4</c:v>
                </c:pt>
                <c:pt idx="249">
                  <c:v>ex3sta1_id_1379</c:v>
                </c:pt>
                <c:pt idx="250">
                  <c:v>c-39</c:v>
                </c:pt>
                <c:pt idx="251">
                  <c:v>p2p-Gnutella31</c:v>
                </c:pt>
                <c:pt idx="252">
                  <c:v>c-58</c:v>
                </c:pt>
                <c:pt idx="253">
                  <c:v>bratu3d</c:v>
                </c:pt>
                <c:pt idx="254">
                  <c:v>TSOPF_RS_b162_c3</c:v>
                </c:pt>
                <c:pt idx="255">
                  <c:v>TEM27623</c:v>
                </c:pt>
                <c:pt idx="256">
                  <c:v>lhr07</c:v>
                </c:pt>
                <c:pt idx="257">
                  <c:v>onera_dual</c:v>
                </c:pt>
                <c:pt idx="258">
                  <c:v>ak2010</c:v>
                </c:pt>
                <c:pt idx="259">
                  <c:v>vsp_p0291_seymourl_iiasa</c:v>
                </c:pt>
                <c:pt idx="260">
                  <c:v>ckt11752_dc_1</c:v>
                </c:pt>
                <c:pt idx="261">
                  <c:v>usroads-48</c:v>
                </c:pt>
                <c:pt idx="262">
                  <c:v>2cubes_sphere</c:v>
                </c:pt>
                <c:pt idx="263">
                  <c:v>bodyy5</c:v>
                </c:pt>
                <c:pt idx="264">
                  <c:v>indianpines_10NN</c:v>
                </c:pt>
                <c:pt idx="265">
                  <c:v>vsp_finan512_scagr7-2c_rlfddd</c:v>
                </c:pt>
                <c:pt idx="266">
                  <c:v>bodyy6</c:v>
                </c:pt>
                <c:pt idx="267">
                  <c:v>ckt11752_tr_0</c:v>
                </c:pt>
                <c:pt idx="268">
                  <c:v>shermanACb</c:v>
                </c:pt>
                <c:pt idx="269">
                  <c:v>torso2</c:v>
                </c:pt>
                <c:pt idx="270">
                  <c:v>EAT_RS</c:v>
                </c:pt>
                <c:pt idx="271">
                  <c:v>email-EuAll</c:v>
                </c:pt>
                <c:pt idx="272">
                  <c:v>usroads</c:v>
                </c:pt>
                <c:pt idx="273">
                  <c:v>cit-HepPh</c:v>
                </c:pt>
                <c:pt idx="274">
                  <c:v>2D_27628_bjtcai</c:v>
                </c:pt>
                <c:pt idx="275">
                  <c:v>lung2</c:v>
                </c:pt>
                <c:pt idx="276">
                  <c:v>loc-Brightkite</c:v>
                </c:pt>
                <c:pt idx="277">
                  <c:v>thermal1</c:v>
                </c:pt>
                <c:pt idx="278">
                  <c:v>worms20_10NN</c:v>
                </c:pt>
                <c:pt idx="279">
                  <c:v>hvdc1</c:v>
                </c:pt>
                <c:pt idx="280">
                  <c:v>bayer01</c:v>
                </c:pt>
                <c:pt idx="281">
                  <c:v>enron</c:v>
                </c:pt>
                <c:pt idx="282">
                  <c:v>t60k</c:v>
                </c:pt>
                <c:pt idx="283">
                  <c:v>bcsstk31</c:v>
                </c:pt>
                <c:pt idx="284">
                  <c:v>matrix-new_3</c:v>
                </c:pt>
                <c:pt idx="285">
                  <c:v>HEP-th</c:v>
                </c:pt>
                <c:pt idx="286">
                  <c:v>ABACUS_shell_ud</c:v>
                </c:pt>
                <c:pt idx="287">
                  <c:v>ca-CondMat</c:v>
                </c:pt>
                <c:pt idx="288">
                  <c:v>cit-HepTh</c:v>
                </c:pt>
                <c:pt idx="289">
                  <c:v>HEP-th-new</c:v>
                </c:pt>
                <c:pt idx="290">
                  <c:v>c-46</c:v>
                </c:pt>
                <c:pt idx="291">
                  <c:v>TSOPF_RS_b162_c1</c:v>
                </c:pt>
                <c:pt idx="292">
                  <c:v>ACTIVSg70K</c:v>
                </c:pt>
                <c:pt idx="293">
                  <c:v>c-42</c:v>
                </c:pt>
                <c:pt idx="294">
                  <c:v>af23560</c:v>
                </c:pt>
                <c:pt idx="295">
                  <c:v>gyro_m</c:v>
                </c:pt>
                <c:pt idx="296">
                  <c:v>c-53</c:v>
                </c:pt>
                <c:pt idx="297">
                  <c:v>cca</c:v>
                </c:pt>
                <c:pt idx="298">
                  <c:v>crplat2</c:v>
                </c:pt>
                <c:pt idx="299">
                  <c:v>tandem_dual</c:v>
                </c:pt>
                <c:pt idx="300">
                  <c:v>c-64</c:v>
                </c:pt>
                <c:pt idx="301">
                  <c:v>c-64b</c:v>
                </c:pt>
                <c:pt idx="302">
                  <c:v>soc-Epinions1</c:v>
                </c:pt>
                <c:pt idx="303">
                  <c:v>rajat26</c:v>
                </c:pt>
                <c:pt idx="304">
                  <c:v>rail_79841</c:v>
                </c:pt>
                <c:pt idx="305">
                  <c:v>c-47</c:v>
                </c:pt>
                <c:pt idx="306">
                  <c:v>soc-sign-Slashdot090221</c:v>
                </c:pt>
                <c:pt idx="307">
                  <c:v>soc-sign-Slashdot090216</c:v>
                </c:pt>
                <c:pt idx="308">
                  <c:v>ASIC_100ks</c:v>
                </c:pt>
                <c:pt idx="309">
                  <c:v>tube1</c:v>
                </c:pt>
                <c:pt idx="310">
                  <c:v>g7jac200</c:v>
                </c:pt>
                <c:pt idx="311">
                  <c:v>g7jac200sc</c:v>
                </c:pt>
                <c:pt idx="312">
                  <c:v>g7jac180sc</c:v>
                </c:pt>
                <c:pt idx="313">
                  <c:v>g7jac180</c:v>
                </c:pt>
                <c:pt idx="314">
                  <c:v>rail_20209</c:v>
                </c:pt>
                <c:pt idx="315">
                  <c:v>Linux_call_graph</c:v>
                </c:pt>
                <c:pt idx="316">
                  <c:v>g7jac060sc</c:v>
                </c:pt>
                <c:pt idx="317">
                  <c:v>cfd1</c:v>
                </c:pt>
                <c:pt idx="318">
                  <c:v>g7jac120sc</c:v>
                </c:pt>
                <c:pt idx="319">
                  <c:v>g7jac120</c:v>
                </c:pt>
                <c:pt idx="320">
                  <c:v>soc-sign-Slashdot081106</c:v>
                </c:pt>
                <c:pt idx="321">
                  <c:v>g7jac160</c:v>
                </c:pt>
                <c:pt idx="322">
                  <c:v>g7jac160sc</c:v>
                </c:pt>
                <c:pt idx="323">
                  <c:v>g7jac060</c:v>
                </c:pt>
                <c:pt idx="324">
                  <c:v>rajat22</c:v>
                </c:pt>
                <c:pt idx="325">
                  <c:v>g7jac140</c:v>
                </c:pt>
                <c:pt idx="326">
                  <c:v>g7jac140sc</c:v>
                </c:pt>
                <c:pt idx="327">
                  <c:v>g7jac080</c:v>
                </c:pt>
                <c:pt idx="328">
                  <c:v>g7jac080sc</c:v>
                </c:pt>
                <c:pt idx="329">
                  <c:v>g7jac100</c:v>
                </c:pt>
                <c:pt idx="330">
                  <c:v>g7jac100sc</c:v>
                </c:pt>
                <c:pt idx="331">
                  <c:v>mark3jac120</c:v>
                </c:pt>
                <c:pt idx="332">
                  <c:v>g7jac050sc</c:v>
                </c:pt>
                <c:pt idx="333">
                  <c:v>g7jac040</c:v>
                </c:pt>
                <c:pt idx="334">
                  <c:v>g7jac040sc</c:v>
                </c:pt>
                <c:pt idx="335">
                  <c:v>mark3jac140sc</c:v>
                </c:pt>
                <c:pt idx="336">
                  <c:v>rajat23</c:v>
                </c:pt>
                <c:pt idx="337">
                  <c:v>mark3jac120sc</c:v>
                </c:pt>
                <c:pt idx="338">
                  <c:v>mark3jac140</c:v>
                </c:pt>
                <c:pt idx="339">
                  <c:v>ex35</c:v>
                </c:pt>
                <c:pt idx="340">
                  <c:v>mark3jac100sc</c:v>
                </c:pt>
                <c:pt idx="341">
                  <c:v>mark3jac100</c:v>
                </c:pt>
                <c:pt idx="342">
                  <c:v>as-caida</c:v>
                </c:pt>
                <c:pt idx="343">
                  <c:v>hcircuit</c:v>
                </c:pt>
                <c:pt idx="344">
                  <c:v>c-43</c:v>
                </c:pt>
                <c:pt idx="345">
                  <c:v>web-NotreDame</c:v>
                </c:pt>
                <c:pt idx="346">
                  <c:v>ford1</c:v>
                </c:pt>
                <c:pt idx="347">
                  <c:v>mark3jac060sc</c:v>
                </c:pt>
                <c:pt idx="348">
                  <c:v>mark3jac060</c:v>
                </c:pt>
                <c:pt idx="349">
                  <c:v>NotreDame_www</c:v>
                </c:pt>
                <c:pt idx="350">
                  <c:v>soc-sign-epinions</c:v>
                </c:pt>
                <c:pt idx="351">
                  <c:v>bcsstk29</c:v>
                </c:pt>
                <c:pt idx="352">
                  <c:v>cond-mat-2003</c:v>
                </c:pt>
                <c:pt idx="353">
                  <c:v>vsp_c-30_data_data</c:v>
                </c:pt>
                <c:pt idx="354">
                  <c:v>skirt_id_764</c:v>
                </c:pt>
                <c:pt idx="355">
                  <c:v>skirt_id_882</c:v>
                </c:pt>
                <c:pt idx="356">
                  <c:v>mark3jac080sc</c:v>
                </c:pt>
                <c:pt idx="357">
                  <c:v>mark3jac080</c:v>
                </c:pt>
                <c:pt idx="358">
                  <c:v>c-57</c:v>
                </c:pt>
                <c:pt idx="359">
                  <c:v>bcsstm36</c:v>
                </c:pt>
                <c:pt idx="360">
                  <c:v>mark3jac040sc</c:v>
                </c:pt>
                <c:pt idx="361">
                  <c:v>mark3jac040</c:v>
                </c:pt>
                <c:pt idx="362">
                  <c:v>ASIC_320ks</c:v>
                </c:pt>
                <c:pt idx="363">
                  <c:v>patents_main</c:v>
                </c:pt>
                <c:pt idx="364">
                  <c:v>ca-AstroPh</c:v>
                </c:pt>
                <c:pt idx="365">
                  <c:v>ford2</c:v>
                </c:pt>
                <c:pt idx="366">
                  <c:v>std1_Jac2</c:v>
                </c:pt>
                <c:pt idx="367">
                  <c:v>soc-Slashdot0902</c:v>
                </c:pt>
                <c:pt idx="368">
                  <c:v>soc-Slashdot0811</c:v>
                </c:pt>
                <c:pt idx="369">
                  <c:v>c-45</c:v>
                </c:pt>
                <c:pt idx="370">
                  <c:v>rajat10</c:v>
                </c:pt>
                <c:pt idx="371">
                  <c:v>Raj1</c:v>
                </c:pt>
                <c:pt idx="372">
                  <c:v>LeGresley_87936</c:v>
                </c:pt>
                <c:pt idx="373">
                  <c:v>astro-ph</c:v>
                </c:pt>
                <c:pt idx="374">
                  <c:v>std1_Jac3</c:v>
                </c:pt>
                <c:pt idx="375">
                  <c:v>Zd_Jac6</c:v>
                </c:pt>
                <c:pt idx="376">
                  <c:v>Zd_Jac2</c:v>
                </c:pt>
                <c:pt idx="377">
                  <c:v>ca-HepPh</c:v>
                </c:pt>
                <c:pt idx="378">
                  <c:v>wiki-Vote</c:v>
                </c:pt>
                <c:pt idx="379">
                  <c:v>wiki-RfA</c:v>
                </c:pt>
                <c:pt idx="380">
                  <c:v>ASIC_680ks</c:v>
                </c:pt>
                <c:pt idx="381">
                  <c:v>bloweybl</c:v>
                </c:pt>
                <c:pt idx="382">
                  <c:v>c-73b</c:v>
                </c:pt>
                <c:pt idx="383">
                  <c:v>c-73</c:v>
                </c:pt>
                <c:pt idx="384">
                  <c:v>Zd_Jac3</c:v>
                </c:pt>
                <c:pt idx="385">
                  <c:v>hvdc2</c:v>
                </c:pt>
                <c:pt idx="386">
                  <c:v>venkat01</c:v>
                </c:pt>
                <c:pt idx="387">
                  <c:v>Goodwin_071</c:v>
                </c:pt>
                <c:pt idx="388">
                  <c:v>venkat25</c:v>
                </c:pt>
                <c:pt idx="389">
                  <c:v>venkat50</c:v>
                </c:pt>
                <c:pt idx="390">
                  <c:v>jan99jac120</c:v>
                </c:pt>
                <c:pt idx="391">
                  <c:v>jan99jac120sc</c:v>
                </c:pt>
                <c:pt idx="392">
                  <c:v>cond-mat-2005</c:v>
                </c:pt>
                <c:pt idx="393">
                  <c:v>xenon1</c:v>
                </c:pt>
                <c:pt idx="394">
                  <c:v>EX5</c:v>
                </c:pt>
                <c:pt idx="395">
                  <c:v>TSOPF_FS_b162_c3</c:v>
                </c:pt>
                <c:pt idx="396">
                  <c:v>tube2</c:v>
                </c:pt>
                <c:pt idx="397">
                  <c:v>pwt_id_1273</c:v>
                </c:pt>
                <c:pt idx="398">
                  <c:v>pkustk01</c:v>
                </c:pt>
                <c:pt idx="399">
                  <c:v>pwt_id_880</c:v>
                </c:pt>
                <c:pt idx="400">
                  <c:v>pwt_id_762</c:v>
                </c:pt>
                <c:pt idx="401">
                  <c:v>finance256</c:v>
                </c:pt>
                <c:pt idx="402">
                  <c:v>pfinan512</c:v>
                </c:pt>
                <c:pt idx="403">
                  <c:v>Si10H16</c:v>
                </c:pt>
                <c:pt idx="404">
                  <c:v>TSOPF_FS_b39_c19</c:v>
                </c:pt>
                <c:pt idx="405">
                  <c:v>finan512</c:v>
                </c:pt>
                <c:pt idx="406">
                  <c:v>case39</c:v>
                </c:pt>
                <c:pt idx="407">
                  <c:v>jan99jac060sc</c:v>
                </c:pt>
                <c:pt idx="408">
                  <c:v>jan99jac060</c:v>
                </c:pt>
                <c:pt idx="409">
                  <c:v>power197k</c:v>
                </c:pt>
                <c:pt idx="410">
                  <c:v>case9</c:v>
                </c:pt>
                <c:pt idx="411">
                  <c:v>TSOPF_FS_b9_c6</c:v>
                </c:pt>
                <c:pt idx="412">
                  <c:v>rajat09</c:v>
                </c:pt>
                <c:pt idx="413">
                  <c:v>Goodwin_054</c:v>
                </c:pt>
                <c:pt idx="414">
                  <c:v>jan99jac080sc</c:v>
                </c:pt>
                <c:pt idx="415">
                  <c:v>lowThrust_8</c:v>
                </c:pt>
                <c:pt idx="416">
                  <c:v>jan99jac080</c:v>
                </c:pt>
                <c:pt idx="417">
                  <c:v>SiH4</c:v>
                </c:pt>
                <c:pt idx="418">
                  <c:v>brainpc2</c:v>
                </c:pt>
                <c:pt idx="419">
                  <c:v>lowThrust_10</c:v>
                </c:pt>
                <c:pt idx="420">
                  <c:v>lowThrust_9</c:v>
                </c:pt>
                <c:pt idx="421">
                  <c:v>ecl32</c:v>
                </c:pt>
                <c:pt idx="422">
                  <c:v>lowThrust_7</c:v>
                </c:pt>
                <c:pt idx="423">
                  <c:v>email-Enron</c:v>
                </c:pt>
                <c:pt idx="424">
                  <c:v>lowThrust_11</c:v>
                </c:pt>
                <c:pt idx="425">
                  <c:v>lowThrust_4</c:v>
                </c:pt>
                <c:pt idx="426">
                  <c:v>jan99jac100</c:v>
                </c:pt>
                <c:pt idx="427">
                  <c:v>jan99jac100sc</c:v>
                </c:pt>
                <c:pt idx="428">
                  <c:v>lowThrust_5</c:v>
                </c:pt>
                <c:pt idx="429">
                  <c:v>barth5_id_867</c:v>
                </c:pt>
                <c:pt idx="430">
                  <c:v>a5esindl</c:v>
                </c:pt>
                <c:pt idx="431">
                  <c:v>TSOPF_FS_b162_c1</c:v>
                </c:pt>
                <c:pt idx="432">
                  <c:v>vsp_befref_fxm_2_4_air02</c:v>
                </c:pt>
                <c:pt idx="433">
                  <c:v>lowThrust_12</c:v>
                </c:pt>
                <c:pt idx="434">
                  <c:v>sx-superuser</c:v>
                </c:pt>
                <c:pt idx="435">
                  <c:v>fxm4_6_id_1381</c:v>
                </c:pt>
                <c:pt idx="436">
                  <c:v>lowThrust_6</c:v>
                </c:pt>
                <c:pt idx="437">
                  <c:v>lowThrust_13</c:v>
                </c:pt>
                <c:pt idx="438">
                  <c:v>crystm01</c:v>
                </c:pt>
                <c:pt idx="439">
                  <c:v>Goodwin_040</c:v>
                </c:pt>
                <c:pt idx="440">
                  <c:v>sx-askubuntu</c:v>
                </c:pt>
                <c:pt idx="441">
                  <c:v>FEM_3D_thermal1</c:v>
                </c:pt>
                <c:pt idx="442">
                  <c:v>pkustk09</c:v>
                </c:pt>
                <c:pt idx="443">
                  <c:v>internet</c:v>
                </c:pt>
                <c:pt idx="444">
                  <c:v>vsp_model1_crew1_cr42_south31</c:v>
                </c:pt>
                <c:pt idx="445">
                  <c:v>e40r0100</c:v>
                </c:pt>
                <c:pt idx="446">
                  <c:v>bcsstk37</c:v>
                </c:pt>
                <c:pt idx="447">
                  <c:v>fe_body</c:v>
                </c:pt>
                <c:pt idx="448">
                  <c:v>Wordnet3</c:v>
                </c:pt>
                <c:pt idx="449">
                  <c:v>rajat21</c:v>
                </c:pt>
                <c:pt idx="450">
                  <c:v>bcsstk36</c:v>
                </c:pt>
                <c:pt idx="451">
                  <c:v>aft01</c:v>
                </c:pt>
                <c:pt idx="452">
                  <c:v>vsp_south31_slptsk</c:v>
                </c:pt>
                <c:pt idx="453">
                  <c:v>rajat24</c:v>
                </c:pt>
                <c:pt idx="454">
                  <c:v>sx-mathoverflow</c:v>
                </c:pt>
                <c:pt idx="455">
                  <c:v>rajat17</c:v>
                </c:pt>
                <c:pt idx="456">
                  <c:v>Reuters911</c:v>
                </c:pt>
                <c:pt idx="457">
                  <c:v>transient</c:v>
                </c:pt>
                <c:pt idx="458">
                  <c:v>bcsstk18</c:v>
                </c:pt>
                <c:pt idx="459">
                  <c:v>rajat20</c:v>
                </c:pt>
                <c:pt idx="460">
                  <c:v>bcsstk24</c:v>
                </c:pt>
                <c:pt idx="461">
                  <c:v>bloweya</c:v>
                </c:pt>
                <c:pt idx="462">
                  <c:v>TSOPF_FS_b39_c7</c:v>
                </c:pt>
                <c:pt idx="463">
                  <c:v>Pres_Poisson</c:v>
                </c:pt>
                <c:pt idx="464">
                  <c:v>rajat16</c:v>
                </c:pt>
                <c:pt idx="465">
                  <c:v>rajat25</c:v>
                </c:pt>
                <c:pt idx="466">
                  <c:v>rajat28</c:v>
                </c:pt>
                <c:pt idx="467">
                  <c:v>TSC_OPF_300</c:v>
                </c:pt>
                <c:pt idx="468">
                  <c:v>rajat18</c:v>
                </c:pt>
                <c:pt idx="469">
                  <c:v>nasa4704_id_760</c:v>
                </c:pt>
                <c:pt idx="470">
                  <c:v>nasa4704_id_365</c:v>
                </c:pt>
                <c:pt idx="471">
                  <c:v>dictionary28</c:v>
                </c:pt>
                <c:pt idx="472">
                  <c:v>graham1</c:v>
                </c:pt>
                <c:pt idx="473">
                  <c:v>bcsstk25</c:v>
                </c:pt>
                <c:pt idx="474">
                  <c:v>shallow_water2</c:v>
                </c:pt>
                <c:pt idx="475">
                  <c:v>pkustk02</c:v>
                </c:pt>
                <c:pt idx="476">
                  <c:v>net75</c:v>
                </c:pt>
                <c:pt idx="477">
                  <c:v>shuttle_eddy_id_881</c:v>
                </c:pt>
                <c:pt idx="478">
                  <c:v>shallow_water1</c:v>
                </c:pt>
                <c:pt idx="479">
                  <c:v>s3rmt3m3</c:v>
                </c:pt>
                <c:pt idx="480">
                  <c:v>g3rmt3m3</c:v>
                </c:pt>
                <c:pt idx="481">
                  <c:v>twotone</c:v>
                </c:pt>
                <c:pt idx="482">
                  <c:v>bcsstk35</c:v>
                </c:pt>
                <c:pt idx="483">
                  <c:v>ss1</c:v>
                </c:pt>
                <c:pt idx="484">
                  <c:v>dblp-2010</c:v>
                </c:pt>
                <c:pt idx="485">
                  <c:v>juba40k</c:v>
                </c:pt>
                <c:pt idx="486">
                  <c:v>raefsky5</c:v>
                </c:pt>
                <c:pt idx="487">
                  <c:v>bauru5727</c:v>
                </c:pt>
                <c:pt idx="488">
                  <c:v>bbmat</c:v>
                </c:pt>
                <c:pt idx="489">
                  <c:v>bcsstk15</c:v>
                </c:pt>
                <c:pt idx="490">
                  <c:v>shuttle_eddy_id_763</c:v>
                </c:pt>
                <c:pt idx="491">
                  <c:v>gyro</c:v>
                </c:pt>
                <c:pt idx="492">
                  <c:v>gyro_k</c:v>
                </c:pt>
                <c:pt idx="493">
                  <c:v>ex19</c:v>
                </c:pt>
                <c:pt idx="494">
                  <c:v>net50</c:v>
                </c:pt>
                <c:pt idx="495">
                  <c:v>circuit_4</c:v>
                </c:pt>
                <c:pt idx="496">
                  <c:v>man_5976</c:v>
                </c:pt>
                <c:pt idx="497">
                  <c:v>Kuu</c:v>
                </c:pt>
                <c:pt idx="498">
                  <c:v>EX6</c:v>
                </c:pt>
                <c:pt idx="499">
                  <c:v>luxembourg_osm</c:v>
                </c:pt>
                <c:pt idx="500">
                  <c:v>dawson5</c:v>
                </c:pt>
                <c:pt idx="501">
                  <c:v>t2dah_e</c:v>
                </c:pt>
                <c:pt idx="502">
                  <c:v>raefsky4</c:v>
                </c:pt>
                <c:pt idx="503">
                  <c:v>k3plates</c:v>
                </c:pt>
                <c:pt idx="504">
                  <c:v>bcsstk17</c:v>
                </c:pt>
                <c:pt idx="505">
                  <c:v>t2dah</c:v>
                </c:pt>
                <c:pt idx="506">
                  <c:v>t2dah_a</c:v>
                </c:pt>
                <c:pt idx="507">
                  <c:v>bcsstk38</c:v>
                </c:pt>
                <c:pt idx="508">
                  <c:v>pli</c:v>
                </c:pt>
                <c:pt idx="509">
                  <c:v>lock3491</c:v>
                </c:pt>
                <c:pt idx="510">
                  <c:v>Goodwin_030</c:v>
                </c:pt>
                <c:pt idx="511">
                  <c:v>li</c:v>
                </c:pt>
                <c:pt idx="512">
                  <c:v>SiNa</c:v>
                </c:pt>
                <c:pt idx="513">
                  <c:v>crystk03</c:v>
                </c:pt>
                <c:pt idx="514">
                  <c:v>pcrystk03</c:v>
                </c:pt>
                <c:pt idx="515">
                  <c:v>goodwin</c:v>
                </c:pt>
                <c:pt idx="516">
                  <c:v>olafu</c:v>
                </c:pt>
                <c:pt idx="517">
                  <c:v>net25</c:v>
                </c:pt>
                <c:pt idx="518">
                  <c:v>opt1</c:v>
                </c:pt>
                <c:pt idx="519">
                  <c:v>Na5</c:v>
                </c:pt>
                <c:pt idx="520">
                  <c:v>airfoil_2d</c:v>
                </c:pt>
                <c:pt idx="521">
                  <c:v>Zd_Jac6_db</c:v>
                </c:pt>
                <c:pt idx="522">
                  <c:v>sinc12</c:v>
                </c:pt>
                <c:pt idx="523">
                  <c:v>rim</c:v>
                </c:pt>
                <c:pt idx="524">
                  <c:v>Zd_Jac2_db</c:v>
                </c:pt>
                <c:pt idx="525">
                  <c:v>std1_Jac3_db</c:v>
                </c:pt>
                <c:pt idx="526">
                  <c:v>std1_Jac2_db</c:v>
                </c:pt>
                <c:pt idx="527">
                  <c:v>CAG_mat1916</c:v>
                </c:pt>
                <c:pt idx="528">
                  <c:v>Zd_Jac3_db</c:v>
                </c:pt>
                <c:pt idx="529">
                  <c:v>raefsky6</c:v>
                </c:pt>
                <c:pt idx="530">
                  <c:v>sinc15</c:v>
                </c:pt>
                <c:pt idx="531">
                  <c:v>sinc18</c:v>
                </c:pt>
                <c:pt idx="532">
                  <c:v>s1rmt3m1</c:v>
                </c:pt>
                <c:pt idx="533">
                  <c:v>s2rmt3m1</c:v>
                </c:pt>
                <c:pt idx="534">
                  <c:v>s3rmt3m1</c:v>
                </c:pt>
                <c:pt idx="535">
                  <c:v>cz40948</c:v>
                </c:pt>
                <c:pt idx="536">
                  <c:v>bcsstk28</c:v>
                </c:pt>
                <c:pt idx="537">
                  <c:v>ex11</c:v>
                </c:pt>
                <c:pt idx="538">
                  <c:v>coater2</c:v>
                </c:pt>
                <c:pt idx="539">
                  <c:v>cbuckle</c:v>
                </c:pt>
                <c:pt idx="540">
                  <c:v>cyl6</c:v>
                </c:pt>
                <c:pt idx="541">
                  <c:v>trans4</c:v>
                </c:pt>
                <c:pt idx="542">
                  <c:v>dc2</c:v>
                </c:pt>
                <c:pt idx="543">
                  <c:v>viscorocks</c:v>
                </c:pt>
                <c:pt idx="544">
                  <c:v>pcrystk02</c:v>
                </c:pt>
                <c:pt idx="545">
                  <c:v>trans5</c:v>
                </c:pt>
                <c:pt idx="546">
                  <c:v>crystk02</c:v>
                </c:pt>
                <c:pt idx="547">
                  <c:v>hangGlider_5</c:v>
                </c:pt>
                <c:pt idx="548">
                  <c:v>s3rmq4m1</c:v>
                </c:pt>
                <c:pt idx="549">
                  <c:v>dc1</c:v>
                </c:pt>
                <c:pt idx="550">
                  <c:v>s1rmq4m1</c:v>
                </c:pt>
                <c:pt idx="551">
                  <c:v>s2rmq4m1</c:v>
                </c:pt>
                <c:pt idx="552">
                  <c:v>cz20468</c:v>
                </c:pt>
                <c:pt idx="553">
                  <c:v>hangGlider_4</c:v>
                </c:pt>
                <c:pt idx="554">
                  <c:v>nasa2910_id_759</c:v>
                </c:pt>
                <c:pt idx="555">
                  <c:v>cz10228</c:v>
                </c:pt>
                <c:pt idx="556">
                  <c:v>nasa2910_id_364</c:v>
                </c:pt>
                <c:pt idx="557">
                  <c:v>dc3</c:v>
                </c:pt>
                <c:pt idx="558">
                  <c:v>cavity24</c:v>
                </c:pt>
                <c:pt idx="559">
                  <c:v>cavity26</c:v>
                </c:pt>
                <c:pt idx="560">
                  <c:v>cavity20</c:v>
                </c:pt>
                <c:pt idx="561">
                  <c:v>cavity16</c:v>
                </c:pt>
                <c:pt idx="562">
                  <c:v>cavity22</c:v>
                </c:pt>
                <c:pt idx="563">
                  <c:v>cavity18</c:v>
                </c:pt>
                <c:pt idx="564">
                  <c:v>mult_dcop_02</c:v>
                </c:pt>
                <c:pt idx="565">
                  <c:v>mult_dcop_01</c:v>
                </c:pt>
                <c:pt idx="566">
                  <c:v>mult_dcop_03</c:v>
                </c:pt>
                <c:pt idx="567">
                  <c:v>bcsstk33</c:v>
                </c:pt>
                <c:pt idx="568">
                  <c:v>fp</c:v>
                </c:pt>
                <c:pt idx="569">
                  <c:v>bundle1</c:v>
                </c:pt>
                <c:pt idx="570">
                  <c:v>trdheim</c:v>
                </c:pt>
                <c:pt idx="571">
                  <c:v>cegb2802</c:v>
                </c:pt>
                <c:pt idx="572">
                  <c:v>Goodwin_023</c:v>
                </c:pt>
                <c:pt idx="573">
                  <c:v>piston</c:v>
                </c:pt>
                <c:pt idx="574">
                  <c:v>cavity23</c:v>
                </c:pt>
                <c:pt idx="575">
                  <c:v>cavity21</c:v>
                </c:pt>
                <c:pt idx="576">
                  <c:v>cegb2919</c:v>
                </c:pt>
                <c:pt idx="577">
                  <c:v>cavity25</c:v>
                </c:pt>
                <c:pt idx="578">
                  <c:v>struct4</c:v>
                </c:pt>
                <c:pt idx="579">
                  <c:v>cavity17</c:v>
                </c:pt>
                <c:pt idx="580">
                  <c:v>cavity19</c:v>
                </c:pt>
                <c:pt idx="581">
                  <c:v>ex40</c:v>
                </c:pt>
                <c:pt idx="582">
                  <c:v>inlet</c:v>
                </c:pt>
                <c:pt idx="583">
                  <c:v>boyd1</c:v>
                </c:pt>
                <c:pt idx="584">
                  <c:v>ASIC_100k</c:v>
                </c:pt>
                <c:pt idx="585">
                  <c:v>appu</c:v>
                </c:pt>
                <c:pt idx="586">
                  <c:v>mhd4800a</c:v>
                </c:pt>
                <c:pt idx="587">
                  <c:v>mycielskian11</c:v>
                </c:pt>
                <c:pt idx="588">
                  <c:v>ted_B_unscaled</c:v>
                </c:pt>
                <c:pt idx="589">
                  <c:v>ted_B</c:v>
                </c:pt>
                <c:pt idx="590">
                  <c:v>spmsrtls</c:v>
                </c:pt>
                <c:pt idx="591">
                  <c:v>t520</c:v>
                </c:pt>
                <c:pt idx="592">
                  <c:v>bcsstk16</c:v>
                </c:pt>
                <c:pt idx="593">
                  <c:v>raefsky1</c:v>
                </c:pt>
                <c:pt idx="594">
                  <c:v>raefsky2</c:v>
                </c:pt>
                <c:pt idx="595">
                  <c:v>crystk01</c:v>
                </c:pt>
                <c:pt idx="596">
                  <c:v>nemeth02</c:v>
                </c:pt>
                <c:pt idx="597">
                  <c:v>nemeth05</c:v>
                </c:pt>
                <c:pt idx="598">
                  <c:v>nemeth04</c:v>
                </c:pt>
                <c:pt idx="599">
                  <c:v>nemeth03</c:v>
                </c:pt>
                <c:pt idx="600">
                  <c:v>nemeth06</c:v>
                </c:pt>
                <c:pt idx="601">
                  <c:v>nemeth07</c:v>
                </c:pt>
                <c:pt idx="602">
                  <c:v>nemeth08</c:v>
                </c:pt>
                <c:pt idx="603">
                  <c:v>nemeth09</c:v>
                </c:pt>
                <c:pt idx="604">
                  <c:v>nemeth10</c:v>
                </c:pt>
                <c:pt idx="605">
                  <c:v>mycielskian12</c:v>
                </c:pt>
                <c:pt idx="606">
                  <c:v>nemeth11</c:v>
                </c:pt>
                <c:pt idx="607">
                  <c:v>nemeth12</c:v>
                </c:pt>
                <c:pt idx="608">
                  <c:v>nemeth13</c:v>
                </c:pt>
                <c:pt idx="609">
                  <c:v>nemeth14</c:v>
                </c:pt>
                <c:pt idx="610">
                  <c:v>nemeth15</c:v>
                </c:pt>
                <c:pt idx="611">
                  <c:v>psmigr_2</c:v>
                </c:pt>
                <c:pt idx="612">
                  <c:v>psmigr_3</c:v>
                </c:pt>
                <c:pt idx="613">
                  <c:v>psmigr_1</c:v>
                </c:pt>
                <c:pt idx="614">
                  <c:v>nemeth16</c:v>
                </c:pt>
                <c:pt idx="615">
                  <c:v>nemeth17</c:v>
                </c:pt>
                <c:pt idx="616">
                  <c:v>blockqp1</c:v>
                </c:pt>
                <c:pt idx="617">
                  <c:v>heart2</c:v>
                </c:pt>
                <c:pt idx="618">
                  <c:v>heart3</c:v>
                </c:pt>
                <c:pt idx="619">
                  <c:v>nemeth18</c:v>
                </c:pt>
                <c:pt idx="620">
                  <c:v>nemeth01</c:v>
                </c:pt>
                <c:pt idx="621">
                  <c:v>pf2177_id_1394</c:v>
                </c:pt>
                <c:pt idx="622">
                  <c:v>nemeth19</c:v>
                </c:pt>
                <c:pt idx="623">
                  <c:v>nemeth20</c:v>
                </c:pt>
                <c:pt idx="624">
                  <c:v>nemeth21</c:v>
                </c:pt>
                <c:pt idx="625">
                  <c:v>mycielskian13</c:v>
                </c:pt>
                <c:pt idx="626">
                  <c:v>nemeth22</c:v>
                </c:pt>
                <c:pt idx="627">
                  <c:v>heart1</c:v>
                </c:pt>
                <c:pt idx="628">
                  <c:v>nemeth24</c:v>
                </c:pt>
                <c:pt idx="629">
                  <c:v>nemeth23</c:v>
                </c:pt>
                <c:pt idx="630">
                  <c:v>nemeth25</c:v>
                </c:pt>
                <c:pt idx="631">
                  <c:v>nemeth26</c:v>
                </c:pt>
              </c:strCache>
            </c:strRef>
          </c:xVal>
          <c:yVal>
            <c:numRef>
              <c:f>Sheet3!$G$2:$G$633</c:f>
              <c:numCache>
                <c:formatCode>General</c:formatCode>
                <c:ptCount val="632"/>
                <c:pt idx="0">
                  <c:v>4.60288425</c:v>
                </c:pt>
                <c:pt idx="1">
                  <c:v>1.645780348</c:v>
                </c:pt>
                <c:pt idx="2">
                  <c:v>1.120245298</c:v>
                </c:pt>
                <c:pt idx="3">
                  <c:v>1.554274627</c:v>
                </c:pt>
                <c:pt idx="4">
                  <c:v>0.791390634</c:v>
                </c:pt>
                <c:pt idx="5">
                  <c:v>5.38128077</c:v>
                </c:pt>
                <c:pt idx="6">
                  <c:v>0.923000093</c:v>
                </c:pt>
                <c:pt idx="7">
                  <c:v>2.095550711</c:v>
                </c:pt>
                <c:pt idx="8">
                  <c:v>1.551136873</c:v>
                </c:pt>
                <c:pt idx="9">
                  <c:v>1.566521624</c:v>
                </c:pt>
                <c:pt idx="10">
                  <c:v>4.226653181</c:v>
                </c:pt>
                <c:pt idx="11">
                  <c:v>1.535978582</c:v>
                </c:pt>
                <c:pt idx="12">
                  <c:v>0.482404864</c:v>
                </c:pt>
                <c:pt idx="13">
                  <c:v>1.591255297</c:v>
                </c:pt>
                <c:pt idx="14">
                  <c:v>1.878173253</c:v>
                </c:pt>
                <c:pt idx="15">
                  <c:v>0.996658063</c:v>
                </c:pt>
                <c:pt idx="16">
                  <c:v>1.01260788</c:v>
                </c:pt>
                <c:pt idx="17">
                  <c:v>1.250648558</c:v>
                </c:pt>
                <c:pt idx="18">
                  <c:v>1.326419949</c:v>
                </c:pt>
                <c:pt idx="19">
                  <c:v>1.468554015</c:v>
                </c:pt>
                <c:pt idx="20">
                  <c:v>0.800040929</c:v>
                </c:pt>
                <c:pt idx="21">
                  <c:v>1.94313977</c:v>
                </c:pt>
                <c:pt idx="22">
                  <c:v>3.576503215</c:v>
                </c:pt>
                <c:pt idx="23">
                  <c:v>0.693334069</c:v>
                </c:pt>
                <c:pt idx="24">
                  <c:v>1.471375829</c:v>
                </c:pt>
                <c:pt idx="25">
                  <c:v>2.079885073</c:v>
                </c:pt>
                <c:pt idx="26">
                  <c:v>1.379605221</c:v>
                </c:pt>
                <c:pt idx="27">
                  <c:v>5.755981804</c:v>
                </c:pt>
                <c:pt idx="28">
                  <c:v>0.761270701</c:v>
                </c:pt>
                <c:pt idx="29">
                  <c:v>3.054450842</c:v>
                </c:pt>
                <c:pt idx="30">
                  <c:v>2.161928987</c:v>
                </c:pt>
                <c:pt idx="31">
                  <c:v>2.275730345</c:v>
                </c:pt>
                <c:pt idx="32">
                  <c:v>2.272127203</c:v>
                </c:pt>
                <c:pt idx="33">
                  <c:v>1.682054857</c:v>
                </c:pt>
                <c:pt idx="34">
                  <c:v>6.002077683</c:v>
                </c:pt>
                <c:pt idx="35">
                  <c:v>1.247941804</c:v>
                </c:pt>
                <c:pt idx="36">
                  <c:v>1.373176499</c:v>
                </c:pt>
                <c:pt idx="37">
                  <c:v>1.571788072</c:v>
                </c:pt>
                <c:pt idx="38">
                  <c:v>1.167443991</c:v>
                </c:pt>
                <c:pt idx="39">
                  <c:v>3.719275131</c:v>
                </c:pt>
                <c:pt idx="40">
                  <c:v>6.191458824</c:v>
                </c:pt>
                <c:pt idx="41">
                  <c:v>3.188175643</c:v>
                </c:pt>
                <c:pt idx="42">
                  <c:v>5.697184989</c:v>
                </c:pt>
                <c:pt idx="43">
                  <c:v>5.711453808</c:v>
                </c:pt>
                <c:pt idx="44">
                  <c:v>1.304499223</c:v>
                </c:pt>
                <c:pt idx="45">
                  <c:v>3.81077618</c:v>
                </c:pt>
                <c:pt idx="46">
                  <c:v>2.156597973</c:v>
                </c:pt>
                <c:pt idx="47">
                  <c:v>1.435329561</c:v>
                </c:pt>
                <c:pt idx="48">
                  <c:v>2.23447757</c:v>
                </c:pt>
                <c:pt idx="49">
                  <c:v>3.829588245</c:v>
                </c:pt>
                <c:pt idx="50">
                  <c:v>1.161125036</c:v>
                </c:pt>
                <c:pt idx="51">
                  <c:v>3.79770978</c:v>
                </c:pt>
                <c:pt idx="52">
                  <c:v>3.79802654</c:v>
                </c:pt>
                <c:pt idx="53">
                  <c:v>2.997850082</c:v>
                </c:pt>
                <c:pt idx="54">
                  <c:v>1.585783402</c:v>
                </c:pt>
                <c:pt idx="55">
                  <c:v>1.073361838</c:v>
                </c:pt>
                <c:pt idx="56">
                  <c:v>1.130572095</c:v>
                </c:pt>
                <c:pt idx="57">
                  <c:v>1.748263118</c:v>
                </c:pt>
                <c:pt idx="58">
                  <c:v>1.312646171</c:v>
                </c:pt>
                <c:pt idx="59">
                  <c:v>2.087163358</c:v>
                </c:pt>
                <c:pt idx="60">
                  <c:v>5.149819735</c:v>
                </c:pt>
                <c:pt idx="61">
                  <c:v>1.169105443</c:v>
                </c:pt>
                <c:pt idx="62">
                  <c:v>6.422033438</c:v>
                </c:pt>
                <c:pt idx="63">
                  <c:v>1.054185123</c:v>
                </c:pt>
                <c:pt idx="64">
                  <c:v>3.32154341</c:v>
                </c:pt>
                <c:pt idx="65">
                  <c:v>1.253803665</c:v>
                </c:pt>
                <c:pt idx="66">
                  <c:v>1.238343572</c:v>
                </c:pt>
                <c:pt idx="67">
                  <c:v>1.972615921</c:v>
                </c:pt>
                <c:pt idx="68">
                  <c:v>1.864466141</c:v>
                </c:pt>
                <c:pt idx="69">
                  <c:v>3.110989675</c:v>
                </c:pt>
                <c:pt idx="70">
                  <c:v>2.126732324</c:v>
                </c:pt>
                <c:pt idx="71">
                  <c:v>1.725451906</c:v>
                </c:pt>
                <c:pt idx="72">
                  <c:v>1.452393194</c:v>
                </c:pt>
                <c:pt idx="73">
                  <c:v>0.630389877</c:v>
                </c:pt>
                <c:pt idx="74">
                  <c:v>0.632336023</c:v>
                </c:pt>
                <c:pt idx="75">
                  <c:v>7.636219233</c:v>
                </c:pt>
                <c:pt idx="76">
                  <c:v>1.086344438</c:v>
                </c:pt>
                <c:pt idx="77">
                  <c:v>0.828603493</c:v>
                </c:pt>
                <c:pt idx="78">
                  <c:v>9.66079154</c:v>
                </c:pt>
                <c:pt idx="79">
                  <c:v>1.985094154</c:v>
                </c:pt>
                <c:pt idx="80">
                  <c:v>1.117858381</c:v>
                </c:pt>
                <c:pt idx="81">
                  <c:v>1.729834624</c:v>
                </c:pt>
                <c:pt idx="82">
                  <c:v>0.763688397</c:v>
                </c:pt>
                <c:pt idx="83">
                  <c:v>3.325011905</c:v>
                </c:pt>
                <c:pt idx="84">
                  <c:v>16.79906957</c:v>
                </c:pt>
                <c:pt idx="85">
                  <c:v>4.402707762</c:v>
                </c:pt>
                <c:pt idx="86">
                  <c:v>6.353745134</c:v>
                </c:pt>
                <c:pt idx="87">
                  <c:v>3.270829191</c:v>
                </c:pt>
                <c:pt idx="88">
                  <c:v>6.131523867</c:v>
                </c:pt>
                <c:pt idx="89">
                  <c:v>1.800899898</c:v>
                </c:pt>
                <c:pt idx="90">
                  <c:v>1.288905334</c:v>
                </c:pt>
                <c:pt idx="91">
                  <c:v>3.544736988</c:v>
                </c:pt>
                <c:pt idx="92">
                  <c:v>1.737312722</c:v>
                </c:pt>
                <c:pt idx="93">
                  <c:v>21.867143749</c:v>
                </c:pt>
                <c:pt idx="94">
                  <c:v>1.405166202</c:v>
                </c:pt>
                <c:pt idx="95">
                  <c:v>5.157127768</c:v>
                </c:pt>
                <c:pt idx="96">
                  <c:v>1.812283605</c:v>
                </c:pt>
                <c:pt idx="97">
                  <c:v>9.641619279</c:v>
                </c:pt>
                <c:pt idx="98">
                  <c:v>1.985658857</c:v>
                </c:pt>
                <c:pt idx="99">
                  <c:v>3.700201273</c:v>
                </c:pt>
                <c:pt idx="100">
                  <c:v>4.452730941</c:v>
                </c:pt>
                <c:pt idx="101">
                  <c:v>4.461551894</c:v>
                </c:pt>
                <c:pt idx="102">
                  <c:v>1.23869852</c:v>
                </c:pt>
                <c:pt idx="103">
                  <c:v>7.306814084</c:v>
                </c:pt>
                <c:pt idx="104">
                  <c:v>3.454990834</c:v>
                </c:pt>
                <c:pt idx="105">
                  <c:v>7.249662459</c:v>
                </c:pt>
                <c:pt idx="106">
                  <c:v>0.709770095</c:v>
                </c:pt>
                <c:pt idx="107">
                  <c:v>3.202837852</c:v>
                </c:pt>
                <c:pt idx="108">
                  <c:v>1.086145142</c:v>
                </c:pt>
                <c:pt idx="109">
                  <c:v>1.254943507</c:v>
                </c:pt>
                <c:pt idx="110">
                  <c:v>1.498795416</c:v>
                </c:pt>
                <c:pt idx="111">
                  <c:v>4.588617119</c:v>
                </c:pt>
                <c:pt idx="112">
                  <c:v>3.166866442</c:v>
                </c:pt>
                <c:pt idx="113">
                  <c:v>1.162079274</c:v>
                </c:pt>
                <c:pt idx="114">
                  <c:v>1.216843309</c:v>
                </c:pt>
                <c:pt idx="115">
                  <c:v>4.215951085</c:v>
                </c:pt>
                <c:pt idx="116">
                  <c:v>3.325352266</c:v>
                </c:pt>
                <c:pt idx="117">
                  <c:v>10.404846751</c:v>
                </c:pt>
                <c:pt idx="118">
                  <c:v>4.641621599</c:v>
                </c:pt>
                <c:pt idx="119">
                  <c:v>4.766897646</c:v>
                </c:pt>
                <c:pt idx="120">
                  <c:v>1.412181132</c:v>
                </c:pt>
                <c:pt idx="121">
                  <c:v>3.965913469</c:v>
                </c:pt>
                <c:pt idx="122">
                  <c:v>1.267896056</c:v>
                </c:pt>
                <c:pt idx="123">
                  <c:v>3.647680132</c:v>
                </c:pt>
                <c:pt idx="124">
                  <c:v>11.784283916</c:v>
                </c:pt>
                <c:pt idx="125">
                  <c:v>4.199204413</c:v>
                </c:pt>
                <c:pt idx="126">
                  <c:v>1.270444735</c:v>
                </c:pt>
                <c:pt idx="127">
                  <c:v>1.198950549</c:v>
                </c:pt>
                <c:pt idx="128">
                  <c:v>4.071760971</c:v>
                </c:pt>
                <c:pt idx="129">
                  <c:v>4.561912956</c:v>
                </c:pt>
                <c:pt idx="130">
                  <c:v>3.296921935</c:v>
                </c:pt>
                <c:pt idx="131">
                  <c:v>1.538248472</c:v>
                </c:pt>
                <c:pt idx="132">
                  <c:v>4.083869935</c:v>
                </c:pt>
                <c:pt idx="133">
                  <c:v>1.45054937</c:v>
                </c:pt>
                <c:pt idx="134">
                  <c:v>3.847723813</c:v>
                </c:pt>
                <c:pt idx="135">
                  <c:v>2.9837479</c:v>
                </c:pt>
                <c:pt idx="136">
                  <c:v>1.330528407</c:v>
                </c:pt>
                <c:pt idx="137">
                  <c:v>2.732536429</c:v>
                </c:pt>
                <c:pt idx="138">
                  <c:v>1.268984405</c:v>
                </c:pt>
                <c:pt idx="139">
                  <c:v>1.217553001</c:v>
                </c:pt>
                <c:pt idx="140">
                  <c:v>2.8030806</c:v>
                </c:pt>
                <c:pt idx="141">
                  <c:v>2.486323217</c:v>
                </c:pt>
                <c:pt idx="142">
                  <c:v>0.62513211</c:v>
                </c:pt>
                <c:pt idx="143">
                  <c:v>3.27243374</c:v>
                </c:pt>
                <c:pt idx="144">
                  <c:v>0.981953785</c:v>
                </c:pt>
                <c:pt idx="145">
                  <c:v>1.14762907</c:v>
                </c:pt>
                <c:pt idx="146">
                  <c:v>1.1300913</c:v>
                </c:pt>
                <c:pt idx="147">
                  <c:v>1.246374247</c:v>
                </c:pt>
                <c:pt idx="148">
                  <c:v>2.244594381</c:v>
                </c:pt>
                <c:pt idx="149">
                  <c:v>1.162695656</c:v>
                </c:pt>
                <c:pt idx="150">
                  <c:v>1.092208671</c:v>
                </c:pt>
                <c:pt idx="151">
                  <c:v>1.169492952</c:v>
                </c:pt>
                <c:pt idx="152">
                  <c:v>1.454399318</c:v>
                </c:pt>
                <c:pt idx="153">
                  <c:v>1.02227312</c:v>
                </c:pt>
                <c:pt idx="154">
                  <c:v>1.113894335</c:v>
                </c:pt>
                <c:pt idx="155">
                  <c:v>1.260243921</c:v>
                </c:pt>
                <c:pt idx="156">
                  <c:v>1.149202365</c:v>
                </c:pt>
                <c:pt idx="157">
                  <c:v>3.386276291</c:v>
                </c:pt>
                <c:pt idx="158">
                  <c:v>1.561733439</c:v>
                </c:pt>
                <c:pt idx="159">
                  <c:v>2.540697046</c:v>
                </c:pt>
                <c:pt idx="160">
                  <c:v>0.938247907</c:v>
                </c:pt>
                <c:pt idx="161">
                  <c:v>1.803915752</c:v>
                </c:pt>
                <c:pt idx="162">
                  <c:v>1.112586752</c:v>
                </c:pt>
                <c:pt idx="163">
                  <c:v>1.044396695</c:v>
                </c:pt>
                <c:pt idx="164">
                  <c:v>1.215005071</c:v>
                </c:pt>
                <c:pt idx="165">
                  <c:v>5.947402421</c:v>
                </c:pt>
                <c:pt idx="166">
                  <c:v>1.644079259</c:v>
                </c:pt>
                <c:pt idx="167">
                  <c:v>1.575858334</c:v>
                </c:pt>
                <c:pt idx="168">
                  <c:v>1.84276891</c:v>
                </c:pt>
                <c:pt idx="169">
                  <c:v>1.739140191</c:v>
                </c:pt>
                <c:pt idx="170">
                  <c:v>4.986989729</c:v>
                </c:pt>
                <c:pt idx="171">
                  <c:v>5.030203624</c:v>
                </c:pt>
                <c:pt idx="172">
                  <c:v>1.259870818</c:v>
                </c:pt>
                <c:pt idx="173">
                  <c:v>5.283110947</c:v>
                </c:pt>
                <c:pt idx="174">
                  <c:v>1.159716908</c:v>
                </c:pt>
                <c:pt idx="175">
                  <c:v>4.034488957</c:v>
                </c:pt>
                <c:pt idx="176">
                  <c:v>2.028160649</c:v>
                </c:pt>
                <c:pt idx="177">
                  <c:v>1.035062118</c:v>
                </c:pt>
                <c:pt idx="178">
                  <c:v>1.141813462</c:v>
                </c:pt>
                <c:pt idx="179">
                  <c:v>1.163374732</c:v>
                </c:pt>
                <c:pt idx="180">
                  <c:v>1.308699898</c:v>
                </c:pt>
                <c:pt idx="181">
                  <c:v>1.434356861</c:v>
                </c:pt>
                <c:pt idx="182">
                  <c:v>1.256946969</c:v>
                </c:pt>
                <c:pt idx="183">
                  <c:v>1.193044412</c:v>
                </c:pt>
                <c:pt idx="184">
                  <c:v>1.174097711</c:v>
                </c:pt>
                <c:pt idx="185">
                  <c:v>2.606343383</c:v>
                </c:pt>
                <c:pt idx="186">
                  <c:v>1.259468906</c:v>
                </c:pt>
                <c:pt idx="187">
                  <c:v>1.275260624</c:v>
                </c:pt>
                <c:pt idx="188">
                  <c:v>2.026152928</c:v>
                </c:pt>
                <c:pt idx="189">
                  <c:v>2.954905671</c:v>
                </c:pt>
                <c:pt idx="190">
                  <c:v>4.998456679</c:v>
                </c:pt>
                <c:pt idx="191">
                  <c:v>12.573303423</c:v>
                </c:pt>
                <c:pt idx="192">
                  <c:v>1.535246312</c:v>
                </c:pt>
                <c:pt idx="193">
                  <c:v>0.948619606</c:v>
                </c:pt>
                <c:pt idx="194">
                  <c:v>1.137751468</c:v>
                </c:pt>
                <c:pt idx="195">
                  <c:v>1.026367199</c:v>
                </c:pt>
                <c:pt idx="196">
                  <c:v>1.701221181</c:v>
                </c:pt>
                <c:pt idx="197">
                  <c:v>4.093226096</c:v>
                </c:pt>
                <c:pt idx="198">
                  <c:v>6.320215572</c:v>
                </c:pt>
                <c:pt idx="199">
                  <c:v>1.952668851</c:v>
                </c:pt>
                <c:pt idx="200">
                  <c:v>2.484145838</c:v>
                </c:pt>
                <c:pt idx="201">
                  <c:v>3.967598976</c:v>
                </c:pt>
                <c:pt idx="202">
                  <c:v>3.958535729</c:v>
                </c:pt>
                <c:pt idx="203">
                  <c:v>1.180534052</c:v>
                </c:pt>
                <c:pt idx="204">
                  <c:v>1.224314017</c:v>
                </c:pt>
                <c:pt idx="205">
                  <c:v>1.293518649</c:v>
                </c:pt>
                <c:pt idx="206">
                  <c:v>4.488728888</c:v>
                </c:pt>
                <c:pt idx="207">
                  <c:v>2.507116489</c:v>
                </c:pt>
                <c:pt idx="208">
                  <c:v>3.694937818</c:v>
                </c:pt>
                <c:pt idx="209">
                  <c:v>1.069137561</c:v>
                </c:pt>
                <c:pt idx="210">
                  <c:v>1.587979335</c:v>
                </c:pt>
                <c:pt idx="211">
                  <c:v>3.508733072</c:v>
                </c:pt>
                <c:pt idx="212">
                  <c:v>3.487906154</c:v>
                </c:pt>
                <c:pt idx="213">
                  <c:v>5.872581079</c:v>
                </c:pt>
                <c:pt idx="214">
                  <c:v>1.271997174</c:v>
                </c:pt>
                <c:pt idx="215">
                  <c:v>9.720182666</c:v>
                </c:pt>
                <c:pt idx="216">
                  <c:v>1.44803632</c:v>
                </c:pt>
                <c:pt idx="217">
                  <c:v>1.949158453</c:v>
                </c:pt>
                <c:pt idx="218">
                  <c:v>4.674130061</c:v>
                </c:pt>
                <c:pt idx="219">
                  <c:v>18.559728582</c:v>
                </c:pt>
                <c:pt idx="220">
                  <c:v>2.018920395</c:v>
                </c:pt>
                <c:pt idx="221">
                  <c:v>3.78989027</c:v>
                </c:pt>
                <c:pt idx="222">
                  <c:v>11.79445887</c:v>
                </c:pt>
                <c:pt idx="223">
                  <c:v>3.586103699</c:v>
                </c:pt>
                <c:pt idx="224">
                  <c:v>4.577809615</c:v>
                </c:pt>
                <c:pt idx="225">
                  <c:v>1.32370865</c:v>
                </c:pt>
                <c:pt idx="226">
                  <c:v>0.69931916</c:v>
                </c:pt>
                <c:pt idx="227">
                  <c:v>4.628470022</c:v>
                </c:pt>
                <c:pt idx="228">
                  <c:v>4.763264808</c:v>
                </c:pt>
                <c:pt idx="229">
                  <c:v>3.879985693</c:v>
                </c:pt>
                <c:pt idx="230">
                  <c:v>4.816002032</c:v>
                </c:pt>
                <c:pt idx="231">
                  <c:v>4.801342714</c:v>
                </c:pt>
                <c:pt idx="232">
                  <c:v>2.635646672</c:v>
                </c:pt>
                <c:pt idx="233">
                  <c:v>4.319083538</c:v>
                </c:pt>
                <c:pt idx="234">
                  <c:v>1.888128932</c:v>
                </c:pt>
                <c:pt idx="235">
                  <c:v>24.64262716</c:v>
                </c:pt>
                <c:pt idx="236">
                  <c:v>4.258243505</c:v>
                </c:pt>
                <c:pt idx="237">
                  <c:v>4.03381647</c:v>
                </c:pt>
                <c:pt idx="238">
                  <c:v>1.657362558</c:v>
                </c:pt>
                <c:pt idx="239">
                  <c:v>1.723020233</c:v>
                </c:pt>
                <c:pt idx="240">
                  <c:v>4.601391245</c:v>
                </c:pt>
                <c:pt idx="241">
                  <c:v>1.830533387</c:v>
                </c:pt>
                <c:pt idx="242">
                  <c:v>1.715616901</c:v>
                </c:pt>
                <c:pt idx="243">
                  <c:v>2.495348225</c:v>
                </c:pt>
                <c:pt idx="244">
                  <c:v>4.263114687</c:v>
                </c:pt>
                <c:pt idx="245">
                  <c:v>7.370772145</c:v>
                </c:pt>
                <c:pt idx="246">
                  <c:v>1.839473992</c:v>
                </c:pt>
                <c:pt idx="247">
                  <c:v>1.689263746</c:v>
                </c:pt>
                <c:pt idx="248">
                  <c:v>1.414742956</c:v>
                </c:pt>
                <c:pt idx="249">
                  <c:v>3.97368271</c:v>
                </c:pt>
                <c:pt idx="250">
                  <c:v>6.861255815</c:v>
                </c:pt>
                <c:pt idx="251">
                  <c:v>0.535173671</c:v>
                </c:pt>
                <c:pt idx="252">
                  <c:v>4.527183189</c:v>
                </c:pt>
                <c:pt idx="253">
                  <c:v>1.389152889</c:v>
                </c:pt>
                <c:pt idx="254">
                  <c:v>12.562730256</c:v>
                </c:pt>
                <c:pt idx="255">
                  <c:v>2.140523306</c:v>
                </c:pt>
                <c:pt idx="256">
                  <c:v>4.164312727</c:v>
                </c:pt>
                <c:pt idx="257">
                  <c:v>1.204122705</c:v>
                </c:pt>
                <c:pt idx="258">
                  <c:v>1.874003669</c:v>
                </c:pt>
                <c:pt idx="259">
                  <c:v>1.665296283</c:v>
                </c:pt>
                <c:pt idx="260">
                  <c:v>5.661723215</c:v>
                </c:pt>
                <c:pt idx="261">
                  <c:v>0.883519394</c:v>
                </c:pt>
                <c:pt idx="262">
                  <c:v>2.510470264</c:v>
                </c:pt>
                <c:pt idx="263">
                  <c:v>1.472781625</c:v>
                </c:pt>
                <c:pt idx="264">
                  <c:v>2.025668407</c:v>
                </c:pt>
                <c:pt idx="265">
                  <c:v>2.479889638</c:v>
                </c:pt>
                <c:pt idx="266">
                  <c:v>1.387071173</c:v>
                </c:pt>
                <c:pt idx="267">
                  <c:v>5.452168498</c:v>
                </c:pt>
                <c:pt idx="268">
                  <c:v>0.643075626</c:v>
                </c:pt>
                <c:pt idx="269">
                  <c:v>2.228596639</c:v>
                </c:pt>
                <c:pt idx="270">
                  <c:v>1.148811223</c:v>
                </c:pt>
                <c:pt idx="271">
                  <c:v>0.874572792</c:v>
                </c:pt>
                <c:pt idx="272">
                  <c:v>0.881932671</c:v>
                </c:pt>
                <c:pt idx="273">
                  <c:v>0.866189353</c:v>
                </c:pt>
                <c:pt idx="274">
                  <c:v>5.952159651</c:v>
                </c:pt>
                <c:pt idx="275">
                  <c:v>2.492568667</c:v>
                </c:pt>
                <c:pt idx="276">
                  <c:v>1.717576074</c:v>
                </c:pt>
                <c:pt idx="277">
                  <c:v>1.561448198</c:v>
                </c:pt>
                <c:pt idx="278">
                  <c:v>2.589028683</c:v>
                </c:pt>
                <c:pt idx="279">
                  <c:v>2.173153151</c:v>
                </c:pt>
                <c:pt idx="280">
                  <c:v>1.864987874</c:v>
                </c:pt>
                <c:pt idx="281">
                  <c:v>1.631404544</c:v>
                </c:pt>
                <c:pt idx="282">
                  <c:v>0.92153415</c:v>
                </c:pt>
                <c:pt idx="283">
                  <c:v>10.12623876</c:v>
                </c:pt>
                <c:pt idx="284">
                  <c:v>4.55717738</c:v>
                </c:pt>
                <c:pt idx="285">
                  <c:v>1.795671112</c:v>
                </c:pt>
                <c:pt idx="286">
                  <c:v>2.166634331</c:v>
                </c:pt>
                <c:pt idx="287">
                  <c:v>1.910833863</c:v>
                </c:pt>
                <c:pt idx="288">
                  <c:v>1.889330693</c:v>
                </c:pt>
                <c:pt idx="289">
                  <c:v>1.47428721</c:v>
                </c:pt>
                <c:pt idx="290">
                  <c:v>4.138140525</c:v>
                </c:pt>
                <c:pt idx="291">
                  <c:v>11.46371687</c:v>
                </c:pt>
                <c:pt idx="292">
                  <c:v>1.109390579</c:v>
                </c:pt>
                <c:pt idx="293">
                  <c:v>5.059810432</c:v>
                </c:pt>
                <c:pt idx="294">
                  <c:v>6.178368992</c:v>
                </c:pt>
                <c:pt idx="295">
                  <c:v>6.484843796</c:v>
                </c:pt>
                <c:pt idx="296">
                  <c:v>8.479117413</c:v>
                </c:pt>
                <c:pt idx="297">
                  <c:v>0.65123823</c:v>
                </c:pt>
                <c:pt idx="298">
                  <c:v>14.35659601</c:v>
                </c:pt>
                <c:pt idx="299">
                  <c:v>1.202144614</c:v>
                </c:pt>
                <c:pt idx="300">
                  <c:v>8.916171793</c:v>
                </c:pt>
                <c:pt idx="301">
                  <c:v>8.993798207</c:v>
                </c:pt>
                <c:pt idx="302">
                  <c:v>1.577297798</c:v>
                </c:pt>
                <c:pt idx="303">
                  <c:v>5.069832958</c:v>
                </c:pt>
                <c:pt idx="304">
                  <c:v>1.998378786</c:v>
                </c:pt>
                <c:pt idx="305">
                  <c:v>5.06680838</c:v>
                </c:pt>
                <c:pt idx="306">
                  <c:v>1.280170947</c:v>
                </c:pt>
                <c:pt idx="307">
                  <c:v>1.244406663</c:v>
                </c:pt>
                <c:pt idx="308">
                  <c:v>1.785367104</c:v>
                </c:pt>
                <c:pt idx="309">
                  <c:v>14.851070897</c:v>
                </c:pt>
                <c:pt idx="310">
                  <c:v>5.430577969</c:v>
                </c:pt>
                <c:pt idx="311">
                  <c:v>5.263328173</c:v>
                </c:pt>
                <c:pt idx="312">
                  <c:v>5.574274257</c:v>
                </c:pt>
                <c:pt idx="313">
                  <c:v>4.797572237</c:v>
                </c:pt>
                <c:pt idx="314">
                  <c:v>1.444244175</c:v>
                </c:pt>
                <c:pt idx="315">
                  <c:v>0.697377533</c:v>
                </c:pt>
                <c:pt idx="316">
                  <c:v>3.890811137</c:v>
                </c:pt>
                <c:pt idx="317">
                  <c:v>3.127703325</c:v>
                </c:pt>
                <c:pt idx="318">
                  <c:v>6.043232246</c:v>
                </c:pt>
                <c:pt idx="319">
                  <c:v>6.062087242</c:v>
                </c:pt>
                <c:pt idx="320">
                  <c:v>1.281723809</c:v>
                </c:pt>
                <c:pt idx="321">
                  <c:v>4.818880244</c:v>
                </c:pt>
                <c:pt idx="322">
                  <c:v>4.815350434</c:v>
                </c:pt>
                <c:pt idx="323">
                  <c:v>4.115113831</c:v>
                </c:pt>
                <c:pt idx="324">
                  <c:v>4.687016913</c:v>
                </c:pt>
                <c:pt idx="325">
                  <c:v>5.665629283</c:v>
                </c:pt>
                <c:pt idx="326">
                  <c:v>5.680077071</c:v>
                </c:pt>
                <c:pt idx="327">
                  <c:v>5.15724909</c:v>
                </c:pt>
                <c:pt idx="328">
                  <c:v>3.017935768</c:v>
                </c:pt>
                <c:pt idx="329">
                  <c:v>5.613988289</c:v>
                </c:pt>
                <c:pt idx="330">
                  <c:v>5.594732334</c:v>
                </c:pt>
                <c:pt idx="331">
                  <c:v>1.195846913</c:v>
                </c:pt>
                <c:pt idx="332">
                  <c:v>3.41273009</c:v>
                </c:pt>
                <c:pt idx="333">
                  <c:v>1.472736924</c:v>
                </c:pt>
                <c:pt idx="334">
                  <c:v>1.805207422</c:v>
                </c:pt>
                <c:pt idx="335">
                  <c:v>1.561248757</c:v>
                </c:pt>
                <c:pt idx="336">
                  <c:v>4.89001268</c:v>
                </c:pt>
                <c:pt idx="337">
                  <c:v>1.195323088</c:v>
                </c:pt>
                <c:pt idx="338">
                  <c:v>1.581645995</c:v>
                </c:pt>
                <c:pt idx="339">
                  <c:v>3.203920912</c:v>
                </c:pt>
                <c:pt idx="340">
                  <c:v>1.528048121</c:v>
                </c:pt>
                <c:pt idx="341">
                  <c:v>1.527505634</c:v>
                </c:pt>
                <c:pt idx="342">
                  <c:v>1.073592407</c:v>
                </c:pt>
                <c:pt idx="343">
                  <c:v>3.560798216</c:v>
                </c:pt>
                <c:pt idx="344">
                  <c:v>10.764406718</c:v>
                </c:pt>
                <c:pt idx="345">
                  <c:v>4.58315292</c:v>
                </c:pt>
                <c:pt idx="346">
                  <c:v>1.173643402</c:v>
                </c:pt>
                <c:pt idx="347">
                  <c:v>1.385503144</c:v>
                </c:pt>
                <c:pt idx="348">
                  <c:v>1.396936225</c:v>
                </c:pt>
                <c:pt idx="349">
                  <c:v>2.201547122</c:v>
                </c:pt>
                <c:pt idx="350">
                  <c:v>1.779677975</c:v>
                </c:pt>
                <c:pt idx="351">
                  <c:v>15.785137755</c:v>
                </c:pt>
                <c:pt idx="352">
                  <c:v>2.076476808</c:v>
                </c:pt>
                <c:pt idx="353">
                  <c:v>8.522294128</c:v>
                </c:pt>
                <c:pt idx="354">
                  <c:v>3.743122938</c:v>
                </c:pt>
                <c:pt idx="355">
                  <c:v>3.865768677</c:v>
                </c:pt>
                <c:pt idx="356">
                  <c:v>1.456657906</c:v>
                </c:pt>
                <c:pt idx="357">
                  <c:v>1.479641633</c:v>
                </c:pt>
                <c:pt idx="358">
                  <c:v>10.235520868</c:v>
                </c:pt>
                <c:pt idx="359">
                  <c:v>7.388389327</c:v>
                </c:pt>
                <c:pt idx="360">
                  <c:v>1.127064193</c:v>
                </c:pt>
                <c:pt idx="361">
                  <c:v>1.097510038</c:v>
                </c:pt>
                <c:pt idx="362">
                  <c:v>2.689325006</c:v>
                </c:pt>
                <c:pt idx="363">
                  <c:v>0.677967293</c:v>
                </c:pt>
                <c:pt idx="364">
                  <c:v>2.710827091</c:v>
                </c:pt>
                <c:pt idx="365">
                  <c:v>1.369343438</c:v>
                </c:pt>
                <c:pt idx="366">
                  <c:v>7.74273333</c:v>
                </c:pt>
                <c:pt idx="367">
                  <c:v>1.412291272</c:v>
                </c:pt>
                <c:pt idx="368">
                  <c:v>1.395061241</c:v>
                </c:pt>
                <c:pt idx="369">
                  <c:v>9.305446799</c:v>
                </c:pt>
                <c:pt idx="370">
                  <c:v>0.569551129</c:v>
                </c:pt>
                <c:pt idx="371">
                  <c:v>7.895456453</c:v>
                </c:pt>
                <c:pt idx="372">
                  <c:v>2.729950195</c:v>
                </c:pt>
                <c:pt idx="373">
                  <c:v>3.067312628</c:v>
                </c:pt>
                <c:pt idx="374">
                  <c:v>8.262664817</c:v>
                </c:pt>
                <c:pt idx="375">
                  <c:v>8.446007916</c:v>
                </c:pt>
                <c:pt idx="376">
                  <c:v>8.079829514</c:v>
                </c:pt>
                <c:pt idx="377">
                  <c:v>4.901341426</c:v>
                </c:pt>
                <c:pt idx="378">
                  <c:v>2.128412211</c:v>
                </c:pt>
                <c:pt idx="379">
                  <c:v>2.356235387</c:v>
                </c:pt>
                <c:pt idx="380">
                  <c:v>2.212965026</c:v>
                </c:pt>
                <c:pt idx="381">
                  <c:v>6.267138766</c:v>
                </c:pt>
                <c:pt idx="382">
                  <c:v>2.10723184</c:v>
                </c:pt>
                <c:pt idx="383">
                  <c:v>2.095227251</c:v>
                </c:pt>
                <c:pt idx="384">
                  <c:v>6.715171079</c:v>
                </c:pt>
                <c:pt idx="385">
                  <c:v>3.878183029</c:v>
                </c:pt>
                <c:pt idx="386">
                  <c:v>12.680608754</c:v>
                </c:pt>
                <c:pt idx="387">
                  <c:v>9.502464964</c:v>
                </c:pt>
                <c:pt idx="388">
                  <c:v>12.180697254</c:v>
                </c:pt>
                <c:pt idx="389">
                  <c:v>12.237875632</c:v>
                </c:pt>
                <c:pt idx="390">
                  <c:v>1.651606635</c:v>
                </c:pt>
                <c:pt idx="391">
                  <c:v>2.217266001</c:v>
                </c:pt>
                <c:pt idx="392">
                  <c:v>2.209112958</c:v>
                </c:pt>
                <c:pt idx="393">
                  <c:v>8.905503614</c:v>
                </c:pt>
                <c:pt idx="394">
                  <c:v>1.401875933</c:v>
                </c:pt>
                <c:pt idx="395">
                  <c:v>11.630663718</c:v>
                </c:pt>
                <c:pt idx="396">
                  <c:v>16.646798574</c:v>
                </c:pt>
                <c:pt idx="397">
                  <c:v>2.289778435</c:v>
                </c:pt>
                <c:pt idx="398">
                  <c:v>17.537363625</c:v>
                </c:pt>
                <c:pt idx="399">
                  <c:v>2.297556047</c:v>
                </c:pt>
                <c:pt idx="400">
                  <c:v>1.882196181</c:v>
                </c:pt>
                <c:pt idx="401">
                  <c:v>1.757096839</c:v>
                </c:pt>
                <c:pt idx="402">
                  <c:v>2.076456191</c:v>
                </c:pt>
                <c:pt idx="403">
                  <c:v>6.847321111</c:v>
                </c:pt>
                <c:pt idx="404">
                  <c:v>4.52414705</c:v>
                </c:pt>
                <c:pt idx="405">
                  <c:v>2.049998216</c:v>
                </c:pt>
                <c:pt idx="406">
                  <c:v>12.12075107</c:v>
                </c:pt>
                <c:pt idx="407">
                  <c:v>1.5455698</c:v>
                </c:pt>
                <c:pt idx="408">
                  <c:v>1.695111956</c:v>
                </c:pt>
                <c:pt idx="409">
                  <c:v>9.618442151</c:v>
                </c:pt>
                <c:pt idx="410">
                  <c:v>16.943944553</c:v>
                </c:pt>
                <c:pt idx="411">
                  <c:v>17.118880882</c:v>
                </c:pt>
                <c:pt idx="412">
                  <c:v>0.798477284</c:v>
                </c:pt>
                <c:pt idx="413">
                  <c:v>11.931908301</c:v>
                </c:pt>
                <c:pt idx="414">
                  <c:v>1.834290147</c:v>
                </c:pt>
                <c:pt idx="415">
                  <c:v>12.254374404</c:v>
                </c:pt>
                <c:pt idx="416">
                  <c:v>1.847638794</c:v>
                </c:pt>
                <c:pt idx="417">
                  <c:v>3.555348053</c:v>
                </c:pt>
                <c:pt idx="418">
                  <c:v>5.262896393</c:v>
                </c:pt>
                <c:pt idx="419">
                  <c:v>12.908595643</c:v>
                </c:pt>
                <c:pt idx="420">
                  <c:v>11.117246865</c:v>
                </c:pt>
                <c:pt idx="421">
                  <c:v>1.071732893</c:v>
                </c:pt>
                <c:pt idx="422">
                  <c:v>10.137007518</c:v>
                </c:pt>
                <c:pt idx="423">
                  <c:v>1.777864582</c:v>
                </c:pt>
                <c:pt idx="424">
                  <c:v>11.885678222</c:v>
                </c:pt>
                <c:pt idx="425">
                  <c:v>10.700830969</c:v>
                </c:pt>
                <c:pt idx="426">
                  <c:v>2.074846831</c:v>
                </c:pt>
                <c:pt idx="427">
                  <c:v>2.061749622</c:v>
                </c:pt>
                <c:pt idx="428">
                  <c:v>13.208470638</c:v>
                </c:pt>
                <c:pt idx="429">
                  <c:v>1.042399987</c:v>
                </c:pt>
                <c:pt idx="430">
                  <c:v>0.782507097</c:v>
                </c:pt>
                <c:pt idx="431">
                  <c:v>12.246597885</c:v>
                </c:pt>
                <c:pt idx="432">
                  <c:v>4.644744052</c:v>
                </c:pt>
                <c:pt idx="433">
                  <c:v>7.586840271</c:v>
                </c:pt>
                <c:pt idx="434">
                  <c:v>0.994173969</c:v>
                </c:pt>
                <c:pt idx="435">
                  <c:v>8.290576515</c:v>
                </c:pt>
                <c:pt idx="436">
                  <c:v>10.351440332</c:v>
                </c:pt>
                <c:pt idx="437">
                  <c:v>9.193598642</c:v>
                </c:pt>
                <c:pt idx="438">
                  <c:v>4.256473788</c:v>
                </c:pt>
                <c:pt idx="439">
                  <c:v>11.426354388</c:v>
                </c:pt>
                <c:pt idx="440">
                  <c:v>0.883172422</c:v>
                </c:pt>
                <c:pt idx="441">
                  <c:v>4.826997635</c:v>
                </c:pt>
                <c:pt idx="442">
                  <c:v>18.689449581</c:v>
                </c:pt>
                <c:pt idx="443">
                  <c:v>0.583207945</c:v>
                </c:pt>
                <c:pt idx="444">
                  <c:v>3.549058565</c:v>
                </c:pt>
                <c:pt idx="445">
                  <c:v>9.199496584</c:v>
                </c:pt>
                <c:pt idx="446">
                  <c:v>15.354776482</c:v>
                </c:pt>
                <c:pt idx="447">
                  <c:v>1.726456623</c:v>
                </c:pt>
                <c:pt idx="448">
                  <c:v>0.709535376</c:v>
                </c:pt>
                <c:pt idx="449">
                  <c:v>0.720719953</c:v>
                </c:pt>
                <c:pt idx="450">
                  <c:v>17.166424429</c:v>
                </c:pt>
                <c:pt idx="451">
                  <c:v>3.041948583</c:v>
                </c:pt>
                <c:pt idx="452">
                  <c:v>3.327851293</c:v>
                </c:pt>
                <c:pt idx="453">
                  <c:v>0.757390671</c:v>
                </c:pt>
                <c:pt idx="454">
                  <c:v>2.028732007</c:v>
                </c:pt>
                <c:pt idx="455">
                  <c:v>3.940720655</c:v>
                </c:pt>
                <c:pt idx="456">
                  <c:v>3.058622761</c:v>
                </c:pt>
                <c:pt idx="457">
                  <c:v>1.885563803</c:v>
                </c:pt>
                <c:pt idx="458">
                  <c:v>2.985124321</c:v>
                </c:pt>
                <c:pt idx="459">
                  <c:v>3.762207534</c:v>
                </c:pt>
                <c:pt idx="460">
                  <c:v>12.829121872</c:v>
                </c:pt>
                <c:pt idx="461">
                  <c:v>5.14741036</c:v>
                </c:pt>
                <c:pt idx="462">
                  <c:v>14.332055435</c:v>
                </c:pt>
                <c:pt idx="463">
                  <c:v>11.314802267</c:v>
                </c:pt>
                <c:pt idx="464">
                  <c:v>4.029310048</c:v>
                </c:pt>
                <c:pt idx="465">
                  <c:v>3.444102369</c:v>
                </c:pt>
                <c:pt idx="466">
                  <c:v>3.418135616</c:v>
                </c:pt>
                <c:pt idx="467">
                  <c:v>11.657990704</c:v>
                </c:pt>
                <c:pt idx="468">
                  <c:v>3.837123716</c:v>
                </c:pt>
                <c:pt idx="469">
                  <c:v>4.279184156</c:v>
                </c:pt>
                <c:pt idx="470">
                  <c:v>4.71360997</c:v>
                </c:pt>
                <c:pt idx="471">
                  <c:v>0.929135104</c:v>
                </c:pt>
                <c:pt idx="472">
                  <c:v>8.866009572</c:v>
                </c:pt>
                <c:pt idx="473">
                  <c:v>3.832080675</c:v>
                </c:pt>
                <c:pt idx="474">
                  <c:v>1.24793436</c:v>
                </c:pt>
                <c:pt idx="475">
                  <c:v>10.829816192</c:v>
                </c:pt>
                <c:pt idx="476">
                  <c:v>1.501143172</c:v>
                </c:pt>
                <c:pt idx="477">
                  <c:v>2.241567284</c:v>
                </c:pt>
                <c:pt idx="478">
                  <c:v>1.26084491</c:v>
                </c:pt>
                <c:pt idx="479">
                  <c:v>11.438584815</c:v>
                </c:pt>
                <c:pt idx="480">
                  <c:v>12.149694881</c:v>
                </c:pt>
                <c:pt idx="481">
                  <c:v>3.473199887</c:v>
                </c:pt>
                <c:pt idx="482">
                  <c:v>17.587082127</c:v>
                </c:pt>
                <c:pt idx="483">
                  <c:v>1.062792037</c:v>
                </c:pt>
                <c:pt idx="484">
                  <c:v>2.102938009</c:v>
                </c:pt>
                <c:pt idx="485">
                  <c:v>1.354199115</c:v>
                </c:pt>
                <c:pt idx="486">
                  <c:v>5.493159119</c:v>
                </c:pt>
                <c:pt idx="487">
                  <c:v>1.371178656</c:v>
                </c:pt>
                <c:pt idx="488">
                  <c:v>10.137314145</c:v>
                </c:pt>
                <c:pt idx="489">
                  <c:v>4.554769454</c:v>
                </c:pt>
                <c:pt idx="490">
                  <c:v>2.20833109</c:v>
                </c:pt>
                <c:pt idx="491">
                  <c:v>13.99024938</c:v>
                </c:pt>
                <c:pt idx="492">
                  <c:v>13.681266692</c:v>
                </c:pt>
                <c:pt idx="493">
                  <c:v>6.470491721</c:v>
                </c:pt>
                <c:pt idx="494">
                  <c:v>1.718616178</c:v>
                </c:pt>
                <c:pt idx="495">
                  <c:v>0.347109043</c:v>
                </c:pt>
                <c:pt idx="496">
                  <c:v>9.117086543</c:v>
                </c:pt>
                <c:pt idx="497">
                  <c:v>12.874030795</c:v>
                </c:pt>
                <c:pt idx="498">
                  <c:v>1.548128629</c:v>
                </c:pt>
                <c:pt idx="499">
                  <c:v>0.803217878</c:v>
                </c:pt>
                <c:pt idx="500">
                  <c:v>5.139108318</c:v>
                </c:pt>
                <c:pt idx="501">
                  <c:v>4.459403961</c:v>
                </c:pt>
                <c:pt idx="502">
                  <c:v>14.469719178</c:v>
                </c:pt>
                <c:pt idx="503">
                  <c:v>9.578205371</c:v>
                </c:pt>
                <c:pt idx="504">
                  <c:v>11.001783815</c:v>
                </c:pt>
                <c:pt idx="505">
                  <c:v>2.613787213</c:v>
                </c:pt>
                <c:pt idx="506">
                  <c:v>3.698281325</c:v>
                </c:pt>
                <c:pt idx="507">
                  <c:v>11.928135913</c:v>
                </c:pt>
                <c:pt idx="508">
                  <c:v>7.198338772</c:v>
                </c:pt>
                <c:pt idx="509">
                  <c:v>12.696772578</c:v>
                </c:pt>
                <c:pt idx="510">
                  <c:v>10.33625379</c:v>
                </c:pt>
                <c:pt idx="511">
                  <c:v>6.98717203</c:v>
                </c:pt>
                <c:pt idx="512">
                  <c:v>3.815400627</c:v>
                </c:pt>
                <c:pt idx="513">
                  <c:v>12.640116307</c:v>
                </c:pt>
                <c:pt idx="514">
                  <c:v>11.823404657</c:v>
                </c:pt>
                <c:pt idx="515">
                  <c:v>11.926382131</c:v>
                </c:pt>
                <c:pt idx="516">
                  <c:v>15.723565331</c:v>
                </c:pt>
                <c:pt idx="517">
                  <c:v>1.552234106</c:v>
                </c:pt>
                <c:pt idx="518">
                  <c:v>13.021277128</c:v>
                </c:pt>
                <c:pt idx="519">
                  <c:v>7.43046544</c:v>
                </c:pt>
                <c:pt idx="520">
                  <c:v>3.728027746</c:v>
                </c:pt>
                <c:pt idx="521">
                  <c:v>13.173769826</c:v>
                </c:pt>
                <c:pt idx="522">
                  <c:v>1.773260324</c:v>
                </c:pt>
                <c:pt idx="523">
                  <c:v>13.333907608</c:v>
                </c:pt>
                <c:pt idx="524">
                  <c:v>13.489492753</c:v>
                </c:pt>
                <c:pt idx="525">
                  <c:v>11.018615366</c:v>
                </c:pt>
                <c:pt idx="526">
                  <c:v>10.398218295</c:v>
                </c:pt>
                <c:pt idx="527">
                  <c:v>13.597747507</c:v>
                </c:pt>
                <c:pt idx="528">
                  <c:v>13.428582785</c:v>
                </c:pt>
                <c:pt idx="529">
                  <c:v>4.907137519</c:v>
                </c:pt>
                <c:pt idx="530">
                  <c:v>1.858026023</c:v>
                </c:pt>
                <c:pt idx="531">
                  <c:v>1.727951221</c:v>
                </c:pt>
                <c:pt idx="532">
                  <c:v>12.873826912</c:v>
                </c:pt>
                <c:pt idx="533">
                  <c:v>12.771507495</c:v>
                </c:pt>
                <c:pt idx="534">
                  <c:v>12.775200006</c:v>
                </c:pt>
                <c:pt idx="535">
                  <c:v>2.615044555</c:v>
                </c:pt>
                <c:pt idx="536">
                  <c:v>10.55129036</c:v>
                </c:pt>
                <c:pt idx="537">
                  <c:v>12.762559728</c:v>
                </c:pt>
                <c:pt idx="538">
                  <c:v>3.361317898</c:v>
                </c:pt>
                <c:pt idx="539">
                  <c:v>15.923362287</c:v>
                </c:pt>
                <c:pt idx="540">
                  <c:v>19.469554471</c:v>
                </c:pt>
                <c:pt idx="541">
                  <c:v>0.165778409</c:v>
                </c:pt>
                <c:pt idx="542">
                  <c:v>0.169118942</c:v>
                </c:pt>
                <c:pt idx="543">
                  <c:v>9.657857061</c:v>
                </c:pt>
                <c:pt idx="544">
                  <c:v>14.484588606</c:v>
                </c:pt>
                <c:pt idx="545">
                  <c:v>0.191832821</c:v>
                </c:pt>
                <c:pt idx="546">
                  <c:v>14.435668103</c:v>
                </c:pt>
                <c:pt idx="547">
                  <c:v>12.071931615</c:v>
                </c:pt>
                <c:pt idx="548">
                  <c:v>13.356479902</c:v>
                </c:pt>
                <c:pt idx="549">
                  <c:v>0.168982002</c:v>
                </c:pt>
                <c:pt idx="550">
                  <c:v>15.52495258</c:v>
                </c:pt>
                <c:pt idx="551">
                  <c:v>13.431738558</c:v>
                </c:pt>
                <c:pt idx="552">
                  <c:v>2.260956211</c:v>
                </c:pt>
                <c:pt idx="553">
                  <c:v>12.043599571</c:v>
                </c:pt>
                <c:pt idx="554">
                  <c:v>12.293656716</c:v>
                </c:pt>
                <c:pt idx="555">
                  <c:v>1.782577641</c:v>
                </c:pt>
                <c:pt idx="556">
                  <c:v>12.145891305</c:v>
                </c:pt>
                <c:pt idx="557">
                  <c:v>0.169127836</c:v>
                </c:pt>
                <c:pt idx="558">
                  <c:v>8.424771147</c:v>
                </c:pt>
                <c:pt idx="559">
                  <c:v>8.189582408</c:v>
                </c:pt>
                <c:pt idx="560">
                  <c:v>5.846390289</c:v>
                </c:pt>
                <c:pt idx="561">
                  <c:v>7.766740293</c:v>
                </c:pt>
                <c:pt idx="562">
                  <c:v>8.33956046</c:v>
                </c:pt>
                <c:pt idx="563">
                  <c:v>8.121737891</c:v>
                </c:pt>
                <c:pt idx="564">
                  <c:v>5.007854385</c:v>
                </c:pt>
                <c:pt idx="565">
                  <c:v>4.831635335</c:v>
                </c:pt>
                <c:pt idx="566">
                  <c:v>4.935174683</c:v>
                </c:pt>
                <c:pt idx="567">
                  <c:v>12.266093285</c:v>
                </c:pt>
                <c:pt idx="568">
                  <c:v>8.982771379</c:v>
                </c:pt>
                <c:pt idx="569">
                  <c:v>16.303935209</c:v>
                </c:pt>
                <c:pt idx="570">
                  <c:v>12.472094627</c:v>
                </c:pt>
                <c:pt idx="571">
                  <c:v>13.303047146</c:v>
                </c:pt>
                <c:pt idx="572">
                  <c:v>7.463915319</c:v>
                </c:pt>
                <c:pt idx="573">
                  <c:v>6.409553197</c:v>
                </c:pt>
                <c:pt idx="574">
                  <c:v>8.099210912</c:v>
                </c:pt>
                <c:pt idx="575">
                  <c:v>8.226242907</c:v>
                </c:pt>
                <c:pt idx="576">
                  <c:v>15.64878111</c:v>
                </c:pt>
                <c:pt idx="577">
                  <c:v>8.122958238</c:v>
                </c:pt>
                <c:pt idx="578">
                  <c:v>5.634038265</c:v>
                </c:pt>
                <c:pt idx="579">
                  <c:v>8.184201171</c:v>
                </c:pt>
                <c:pt idx="580">
                  <c:v>5.996995309</c:v>
                </c:pt>
                <c:pt idx="581">
                  <c:v>7.523536439</c:v>
                </c:pt>
                <c:pt idx="582">
                  <c:v>8.437847901</c:v>
                </c:pt>
                <c:pt idx="583">
                  <c:v>0.278459083</c:v>
                </c:pt>
                <c:pt idx="584">
                  <c:v>2.536022722</c:v>
                </c:pt>
                <c:pt idx="585">
                  <c:v>2.09501209</c:v>
                </c:pt>
                <c:pt idx="586">
                  <c:v>6.125151876</c:v>
                </c:pt>
                <c:pt idx="587">
                  <c:v>8.256794427</c:v>
                </c:pt>
                <c:pt idx="588">
                  <c:v>2.320740674</c:v>
                </c:pt>
                <c:pt idx="589">
                  <c:v>3.085044165</c:v>
                </c:pt>
                <c:pt idx="590">
                  <c:v>4.624515972</c:v>
                </c:pt>
                <c:pt idx="591">
                  <c:v>14.785378738</c:v>
                </c:pt>
                <c:pt idx="592">
                  <c:v>12.969801687</c:v>
                </c:pt>
                <c:pt idx="593">
                  <c:v>14.214349616</c:v>
                </c:pt>
                <c:pt idx="594">
                  <c:v>14.37051409</c:v>
                </c:pt>
                <c:pt idx="595">
                  <c:v>14.147804061</c:v>
                </c:pt>
                <c:pt idx="596">
                  <c:v>15.148365916</c:v>
                </c:pt>
                <c:pt idx="597">
                  <c:v>14.958902418</c:v>
                </c:pt>
                <c:pt idx="598">
                  <c:v>14.969545751</c:v>
                </c:pt>
                <c:pt idx="599">
                  <c:v>14.965815436</c:v>
                </c:pt>
                <c:pt idx="600">
                  <c:v>14.421064044</c:v>
                </c:pt>
                <c:pt idx="601">
                  <c:v>12.145235183</c:v>
                </c:pt>
                <c:pt idx="602">
                  <c:v>14.841263788</c:v>
                </c:pt>
                <c:pt idx="603">
                  <c:v>15.056323681</c:v>
                </c:pt>
                <c:pt idx="604">
                  <c:v>15.060619306</c:v>
                </c:pt>
                <c:pt idx="605">
                  <c:v>6.771100168</c:v>
                </c:pt>
                <c:pt idx="606">
                  <c:v>15.452876759</c:v>
                </c:pt>
                <c:pt idx="607">
                  <c:v>17.056559246</c:v>
                </c:pt>
                <c:pt idx="608">
                  <c:v>17.289471058</c:v>
                </c:pt>
                <c:pt idx="609">
                  <c:v>17.240341681</c:v>
                </c:pt>
                <c:pt idx="610">
                  <c:v>16.666170154</c:v>
                </c:pt>
                <c:pt idx="611">
                  <c:v>8.53161832</c:v>
                </c:pt>
                <c:pt idx="612">
                  <c:v>8.857018076</c:v>
                </c:pt>
                <c:pt idx="613">
                  <c:v>8.887511468</c:v>
                </c:pt>
                <c:pt idx="614">
                  <c:v>16.070961792</c:v>
                </c:pt>
                <c:pt idx="615">
                  <c:v>17.615674194</c:v>
                </c:pt>
                <c:pt idx="616">
                  <c:v>4.145244118</c:v>
                </c:pt>
                <c:pt idx="617">
                  <c:v>8.527695607</c:v>
                </c:pt>
                <c:pt idx="618">
                  <c:v>8.568868794</c:v>
                </c:pt>
                <c:pt idx="619">
                  <c:v>19.334185554</c:v>
                </c:pt>
                <c:pt idx="620">
                  <c:v>17.852846032</c:v>
                </c:pt>
                <c:pt idx="621">
                  <c:v>1.802939148</c:v>
                </c:pt>
                <c:pt idx="622">
                  <c:v>19.629543322</c:v>
                </c:pt>
                <c:pt idx="623">
                  <c:v>20.307465529</c:v>
                </c:pt>
                <c:pt idx="624">
                  <c:v>21.280155863</c:v>
                </c:pt>
                <c:pt idx="625">
                  <c:v>8.504741046</c:v>
                </c:pt>
                <c:pt idx="626">
                  <c:v>21.35060261</c:v>
                </c:pt>
                <c:pt idx="627">
                  <c:v>8.875599785</c:v>
                </c:pt>
                <c:pt idx="628">
                  <c:v>22.462698753</c:v>
                </c:pt>
                <c:pt idx="629">
                  <c:v>22.827739821</c:v>
                </c:pt>
                <c:pt idx="630">
                  <c:v>23.08644905</c:v>
                </c:pt>
                <c:pt idx="631">
                  <c:v>22.859207377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23189"/>
        <c:axId val="551086165"/>
      </c:scatterChart>
      <c:valAx>
        <c:axId val="69723189"/>
        <c:scaling>
          <c:orientation val="minMax"/>
          <c:max val="632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标题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551086165"/>
        <c:crosses val="autoZero"/>
        <c:crossBetween val="midCat"/>
      </c:valAx>
      <c:valAx>
        <c:axId val="551086165"/>
        <c:scaling>
          <c:orientation val="minMax"/>
          <c:max val="6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zh-CN" altLang="en-US"/>
                  <a:t>标题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972318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0cf197-6c8b-4ec1-a55d-7fff0165858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783590</xdr:colOff>
      <xdr:row>22</xdr:row>
      <xdr:rowOff>181610</xdr:rowOff>
    </xdr:from>
    <xdr:to>
      <xdr:col>23</xdr:col>
      <xdr:colOff>41910</xdr:colOff>
      <xdr:row>36</xdr:row>
      <xdr:rowOff>80010</xdr:rowOff>
    </xdr:to>
    <xdr:graphicFrame>
      <xdr:nvGraphicFramePr>
        <xdr:cNvPr id="6" name="图表 5" descr="7b0a202020202263686172745265734964223a20223230343736323132220a7d0a"/>
        <xdr:cNvGraphicFramePr/>
      </xdr:nvGraphicFramePr>
      <xdr:xfrm>
        <a:off x="14218920" y="4875530"/>
        <a:ext cx="484124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838200</xdr:colOff>
      <xdr:row>22</xdr:row>
      <xdr:rowOff>203200</xdr:rowOff>
    </xdr:from>
    <xdr:to>
      <xdr:col>16</xdr:col>
      <xdr:colOff>711200</xdr:colOff>
      <xdr:row>36</xdr:row>
      <xdr:rowOff>101600</xdr:rowOff>
    </xdr:to>
    <xdr:graphicFrame>
      <xdr:nvGraphicFramePr>
        <xdr:cNvPr id="7" name="图表 6" descr="7b0a202020202263686172745265734964223a20223230343736323132220a7d0a"/>
        <xdr:cNvGraphicFramePr/>
      </xdr:nvGraphicFramePr>
      <xdr:xfrm>
        <a:off x="9305290" y="4897120"/>
        <a:ext cx="484124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98">
    <a:dk1>
      <a:srgbClr val="000000"/>
    </a:dk1>
    <a:lt1>
      <a:srgbClr val="FFFFFF"/>
    </a:lt1>
    <a:dk2>
      <a:srgbClr val="44546A"/>
    </a:dk2>
    <a:lt2>
      <a:srgbClr val="E7E6E6"/>
    </a:lt2>
    <a:accent1>
      <a:srgbClr val="646BFE"/>
    </a:accent1>
    <a:accent2>
      <a:srgbClr val="F657A2"/>
    </a:accent2>
    <a:accent3>
      <a:srgbClr val="F08BB4"/>
    </a:accent3>
    <a:accent4>
      <a:srgbClr val="427CFF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98">
    <a:dk1>
      <a:srgbClr val="000000"/>
    </a:dk1>
    <a:lt1>
      <a:srgbClr val="FFFFFF"/>
    </a:lt1>
    <a:dk2>
      <a:srgbClr val="44546A"/>
    </a:dk2>
    <a:lt2>
      <a:srgbClr val="E7E6E6"/>
    </a:lt2>
    <a:accent1>
      <a:srgbClr val="646BFE"/>
    </a:accent1>
    <a:accent2>
      <a:srgbClr val="F657A2"/>
    </a:accent2>
    <a:accent3>
      <a:srgbClr val="F08BB4"/>
    </a:accent3>
    <a:accent4>
      <a:srgbClr val="427CFF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11"/>
  <sheetViews>
    <sheetView tabSelected="1" zoomScale="97" zoomScaleNormal="97" workbookViewId="0">
      <selection activeCell="D3" sqref="D3"/>
    </sheetView>
  </sheetViews>
  <sheetFormatPr defaultColWidth="9.23076923076923" defaultRowHeight="16.8"/>
  <cols>
    <col min="1" max="1" width="20.8173076923077" style="1" customWidth="1"/>
    <col min="2" max="2" width="13.6442307692308" style="1" customWidth="1"/>
    <col min="3" max="3" width="13.2115384615385" style="2" customWidth="1"/>
    <col min="4" max="5" width="10.8942307692308" style="14" customWidth="1"/>
    <col min="6" max="6" width="11.5673076923077" style="11" customWidth="1"/>
    <col min="7" max="7" width="9.61538461538461" style="15"/>
    <col min="8" max="8" width="9.23076923076923" style="14"/>
    <col min="9" max="9" width="11.8846153846154" style="14" customWidth="1"/>
    <col min="10" max="10" width="12.8846153846154" style="13" customWidth="1"/>
    <col min="11" max="11" width="12.9230769230769" style="14"/>
    <col min="12" max="12" width="9.23076923076923" style="14"/>
    <col min="13" max="13" width="11.8942307692308" style="14" customWidth="1"/>
    <col min="14" max="14" width="12.9230769230769" style="16"/>
    <col min="15" max="16" width="10.2403846153846" style="14" customWidth="1"/>
    <col min="17" max="17" width="11.7692307692308" style="14"/>
    <col min="18" max="19" width="12.9230769230769" style="17"/>
    <col min="20" max="21" width="12.0576923076923" style="14" customWidth="1"/>
    <col min="22" max="22" width="13.875" style="18" customWidth="1"/>
    <col min="23" max="23" width="12.9230769230769" style="14"/>
    <col min="24" max="24" width="9.23076923076923" style="14"/>
    <col min="25" max="25" width="10.6923076923077" style="14"/>
    <col min="26" max="26" width="12.9230769230769" style="19"/>
    <col min="27" max="16384" width="9.23076923076923" style="14"/>
  </cols>
  <sheetData>
    <row r="1" spans="1:27">
      <c r="A1" s="1" t="s">
        <v>0</v>
      </c>
      <c r="B1" s="1" t="s">
        <v>1</v>
      </c>
      <c r="C1" s="2" t="s">
        <v>2</v>
      </c>
      <c r="D1" s="14" t="s">
        <v>3</v>
      </c>
      <c r="E1" s="14" t="s">
        <v>4</v>
      </c>
      <c r="F1" s="11" t="s">
        <v>5</v>
      </c>
      <c r="G1" s="15" t="s">
        <v>6</v>
      </c>
      <c r="I1" s="14" t="s">
        <v>7</v>
      </c>
      <c r="J1" s="13" t="s">
        <v>8</v>
      </c>
      <c r="K1" s="14" t="s">
        <v>9</v>
      </c>
      <c r="M1" s="14" t="s">
        <v>10</v>
      </c>
      <c r="N1" s="16" t="s">
        <v>11</v>
      </c>
      <c r="O1" s="14" t="s">
        <v>12</v>
      </c>
      <c r="Q1" s="14" t="s">
        <v>13</v>
      </c>
      <c r="R1" s="17" t="s">
        <v>14</v>
      </c>
      <c r="S1" s="17" t="s">
        <v>15</v>
      </c>
      <c r="T1" s="14" t="s">
        <v>16</v>
      </c>
      <c r="V1" s="18" t="s">
        <v>17</v>
      </c>
      <c r="W1" s="14" t="s">
        <v>18</v>
      </c>
      <c r="Y1" s="14" t="s">
        <v>19</v>
      </c>
      <c r="Z1" s="19" t="s">
        <v>20</v>
      </c>
      <c r="AA1" s="14" t="s">
        <v>21</v>
      </c>
    </row>
    <row r="2" spans="1:27">
      <c r="A2" s="1" t="s">
        <v>22</v>
      </c>
      <c r="B2" s="1">
        <v>802816</v>
      </c>
      <c r="C2" s="2">
        <v>0.0413848</v>
      </c>
      <c r="D2" s="14">
        <f>AVERAGE(E2:E611)</f>
        <v>1.73411780679899</v>
      </c>
      <c r="E2" s="14">
        <f>G2/F2</f>
        <v>1.45296926985094</v>
      </c>
      <c r="F2" s="11">
        <v>0.488510549</v>
      </c>
      <c r="G2" s="15">
        <v>0.709790815695012</v>
      </c>
      <c r="I2" s="14">
        <v>0.00196</v>
      </c>
      <c r="J2" s="13">
        <f t="shared" ref="J2:J65" si="0">B2/I2/1000000000</f>
        <v>0.4096</v>
      </c>
      <c r="M2" s="14">
        <v>2.981</v>
      </c>
      <c r="N2" s="16">
        <f t="shared" ref="N2:N65" si="1">B2/M2/1000000</f>
        <v>0.269310969473331</v>
      </c>
      <c r="Q2" s="14">
        <v>0.00433592</v>
      </c>
      <c r="R2" s="17">
        <v>0.11109282459086</v>
      </c>
      <c r="S2" s="17">
        <f t="shared" ref="S2:S65" si="2">G2/R2</f>
        <v>6.38916886224719</v>
      </c>
      <c r="V2" s="18">
        <v>1.56334</v>
      </c>
      <c r="Y2" s="14">
        <v>4.1502</v>
      </c>
      <c r="Z2" s="19">
        <f t="shared" ref="Z2:Z65" si="3">B2/Y2/1000000</f>
        <v>0.193440316129343</v>
      </c>
    </row>
    <row r="3" spans="1:27">
      <c r="A3" s="1" t="s">
        <v>23</v>
      </c>
      <c r="B3" s="1">
        <v>884736</v>
      </c>
      <c r="C3" s="2">
        <v>0</v>
      </c>
      <c r="E3" s="14">
        <f t="shared" ref="E3:E66" si="4">G3/F3</f>
        <v>2.28579527167142</v>
      </c>
      <c r="F3" s="11">
        <v>0.355431951</v>
      </c>
      <c r="G3" s="15">
        <v>0.812444672996749</v>
      </c>
      <c r="I3" s="14">
        <v>0.001055</v>
      </c>
      <c r="J3" s="13">
        <f t="shared" si="0"/>
        <v>0.838612322274882</v>
      </c>
      <c r="M3" s="14">
        <v>2.49</v>
      </c>
      <c r="N3" s="16">
        <f t="shared" si="1"/>
        <v>0.355315662650602</v>
      </c>
      <c r="Q3" s="14">
        <v>0.00361393</v>
      </c>
      <c r="R3" s="17">
        <v>0.146887626489722</v>
      </c>
      <c r="S3" s="17">
        <f t="shared" si="2"/>
        <v>5.53106270699797</v>
      </c>
      <c r="V3" s="18">
        <v>2.05661</v>
      </c>
      <c r="Y3" s="14">
        <v>3.7018</v>
      </c>
      <c r="Z3" s="19">
        <f t="shared" si="3"/>
        <v>0.239001566805338</v>
      </c>
    </row>
    <row r="4" spans="1:27">
      <c r="A4" s="1" t="s">
        <v>24</v>
      </c>
      <c r="B4" s="1">
        <v>971290</v>
      </c>
      <c r="C4" s="2">
        <v>0.178177</v>
      </c>
      <c r="E4" s="14">
        <f t="shared" si="4"/>
        <v>2.31054586626525</v>
      </c>
      <c r="F4" s="11">
        <v>0.769238205</v>
      </c>
      <c r="G4" s="15">
        <v>1.77736015473605</v>
      </c>
      <c r="I4" s="14">
        <v>0.000872</v>
      </c>
      <c r="J4" s="13">
        <f t="shared" si="0"/>
        <v>1.11386467889908</v>
      </c>
      <c r="M4" s="14">
        <v>2.554</v>
      </c>
      <c r="N4" s="16">
        <f t="shared" si="1"/>
        <v>0.380301487862177</v>
      </c>
      <c r="Q4" s="14">
        <v>0.0041359</v>
      </c>
      <c r="R4" s="17">
        <v>0.140906211465461</v>
      </c>
      <c r="S4" s="17">
        <f t="shared" si="2"/>
        <v>12.6137814383841</v>
      </c>
      <c r="V4" s="18">
        <v>1.25157</v>
      </c>
      <c r="Y4" s="14">
        <v>2.2698</v>
      </c>
      <c r="Z4" s="19">
        <f t="shared" si="3"/>
        <v>0.427918759362058</v>
      </c>
    </row>
    <row r="5" spans="1:27">
      <c r="A5" s="1" t="s">
        <v>25</v>
      </c>
      <c r="B5" s="1">
        <v>1038412</v>
      </c>
      <c r="C5" s="2">
        <v>0.568278</v>
      </c>
      <c r="E5" s="14">
        <f t="shared" si="4"/>
        <v>0.99092274050874</v>
      </c>
      <c r="F5" s="11">
        <v>0.54315732</v>
      </c>
      <c r="G5" s="15">
        <v>0.538226940061783</v>
      </c>
      <c r="I5" s="14">
        <v>0.002031</v>
      </c>
      <c r="J5" s="13">
        <f t="shared" si="0"/>
        <v>0.511281142294436</v>
      </c>
      <c r="M5" s="14">
        <v>5.062</v>
      </c>
      <c r="N5" s="16">
        <f t="shared" si="1"/>
        <v>0.205138680363493</v>
      </c>
      <c r="Q5" s="14">
        <v>0.00437121</v>
      </c>
      <c r="R5" s="17">
        <v>0.1425342639681</v>
      </c>
      <c r="S5" s="17">
        <f t="shared" si="2"/>
        <v>3.77612319366409</v>
      </c>
      <c r="V5" s="18">
        <v>1.00356</v>
      </c>
      <c r="Y5" s="14">
        <v>5.0554</v>
      </c>
      <c r="Z5" s="19">
        <f t="shared" si="3"/>
        <v>0.205406496024054</v>
      </c>
    </row>
    <row r="6" spans="1:27">
      <c r="A6" s="1" t="s">
        <v>26</v>
      </c>
      <c r="B6" s="1">
        <v>1068740</v>
      </c>
      <c r="C6" s="2">
        <v>0.0331953</v>
      </c>
      <c r="E6" s="14">
        <f t="shared" si="4"/>
        <v>1.44106807318649</v>
      </c>
      <c r="F6" s="11">
        <v>0.667702459</v>
      </c>
      <c r="G6" s="15">
        <v>0.962204696053011</v>
      </c>
      <c r="I6" s="14">
        <v>0.011169</v>
      </c>
      <c r="J6" s="13">
        <f t="shared" si="0"/>
        <v>0.0956880651804101</v>
      </c>
      <c r="M6" s="14">
        <v>3.008</v>
      </c>
      <c r="N6" s="16">
        <f t="shared" si="1"/>
        <v>0.35529920212766</v>
      </c>
      <c r="Q6" s="14">
        <v>0.005452</v>
      </c>
      <c r="R6" s="17">
        <v>0.11761628760088</v>
      </c>
      <c r="S6" s="17">
        <f t="shared" si="2"/>
        <v>8.18087966964375</v>
      </c>
      <c r="V6" s="18">
        <v>1.90306</v>
      </c>
      <c r="Y6" s="14">
        <v>4.5434</v>
      </c>
      <c r="Z6" s="19">
        <f t="shared" si="3"/>
        <v>0.235229123563851</v>
      </c>
    </row>
    <row r="7" spans="1:27">
      <c r="A7" s="1" t="s">
        <v>27</v>
      </c>
      <c r="B7" s="1">
        <v>1076636</v>
      </c>
      <c r="C7" s="2">
        <v>0.0106072</v>
      </c>
      <c r="E7" s="14">
        <f t="shared" si="4"/>
        <v>1.10669751544043</v>
      </c>
      <c r="F7" s="11">
        <v>0.452379103</v>
      </c>
      <c r="G7" s="15">
        <v>0.50064682932727</v>
      </c>
      <c r="I7" s="14">
        <v>0.002248</v>
      </c>
      <c r="J7" s="13">
        <f t="shared" si="0"/>
        <v>0.478930604982206</v>
      </c>
      <c r="M7" s="14">
        <v>6.085</v>
      </c>
      <c r="N7" s="16">
        <f t="shared" si="1"/>
        <v>0.176932785538209</v>
      </c>
      <c r="Q7" s="14">
        <v>0.0106873</v>
      </c>
      <c r="R7" s="17">
        <v>0.0604438539200734</v>
      </c>
      <c r="S7" s="17">
        <f t="shared" si="2"/>
        <v>8.28284096492737</v>
      </c>
      <c r="V7" s="18">
        <v>1.36151</v>
      </c>
      <c r="Y7" s="14">
        <v>4.6048</v>
      </c>
      <c r="Z7" s="19">
        <f t="shared" si="3"/>
        <v>0.233807331480195</v>
      </c>
    </row>
    <row r="8" spans="1:27">
      <c r="A8" s="1" t="s">
        <v>28</v>
      </c>
      <c r="B8" s="1">
        <v>1083918</v>
      </c>
      <c r="C8" s="2">
        <v>0</v>
      </c>
      <c r="E8" s="14">
        <f t="shared" si="4"/>
        <v>1.46880349283362</v>
      </c>
      <c r="F8" s="11">
        <v>0.561186195</v>
      </c>
      <c r="G8" s="15">
        <v>0.824272243346008</v>
      </c>
      <c r="I8" s="14">
        <v>0.001996</v>
      </c>
      <c r="J8" s="13">
        <f t="shared" si="0"/>
        <v>0.543045090180361</v>
      </c>
      <c r="M8" s="14">
        <v>2.604</v>
      </c>
      <c r="N8" s="16">
        <f t="shared" si="1"/>
        <v>0.416251152073733</v>
      </c>
      <c r="Q8" s="14">
        <v>0.00217963</v>
      </c>
      <c r="R8" s="17">
        <v>0.298376696962328</v>
      </c>
      <c r="S8" s="17">
        <f t="shared" si="2"/>
        <v>2.76252217997466</v>
      </c>
      <c r="V8" s="18">
        <v>1.99521</v>
      </c>
      <c r="Y8" s="14">
        <v>3.4565</v>
      </c>
      <c r="Z8" s="19">
        <f t="shared" si="3"/>
        <v>0.313588311876175</v>
      </c>
    </row>
    <row r="9" spans="1:27">
      <c r="A9" s="1" t="s">
        <v>29</v>
      </c>
      <c r="B9" s="1">
        <v>1121648</v>
      </c>
      <c r="C9" s="2">
        <v>0.000236072</v>
      </c>
      <c r="E9" s="14">
        <f t="shared" si="4"/>
        <v>2.13247355015491</v>
      </c>
      <c r="F9" s="11">
        <v>0.685562085</v>
      </c>
      <c r="G9" s="15">
        <v>1.46194301325155</v>
      </c>
      <c r="I9" s="14">
        <v>0.000888</v>
      </c>
      <c r="J9" s="13">
        <f t="shared" si="0"/>
        <v>1.26311711711712</v>
      </c>
      <c r="M9" s="14">
        <v>2.851</v>
      </c>
      <c r="N9" s="16">
        <f t="shared" si="1"/>
        <v>0.39342265871624</v>
      </c>
      <c r="Q9" s="14">
        <v>0.00528611</v>
      </c>
      <c r="R9" s="17">
        <v>0.127312674159259</v>
      </c>
      <c r="S9" s="17">
        <f t="shared" si="2"/>
        <v>11.4830909248106</v>
      </c>
      <c r="V9" s="18">
        <v>2.57326</v>
      </c>
      <c r="Y9" s="14">
        <v>2.953</v>
      </c>
      <c r="Z9" s="19">
        <f t="shared" si="3"/>
        <v>0.379833389773112</v>
      </c>
    </row>
    <row r="10" spans="1:27">
      <c r="A10" s="1" t="s">
        <v>30</v>
      </c>
      <c r="B10" s="1">
        <v>1125312</v>
      </c>
      <c r="C10" s="2">
        <v>0.281072</v>
      </c>
      <c r="E10" s="14">
        <f t="shared" si="4"/>
        <v>1.3546309073068</v>
      </c>
      <c r="F10" s="11">
        <v>0.474290371</v>
      </c>
      <c r="G10" s="15">
        <v>0.642488395594608</v>
      </c>
      <c r="I10" s="14">
        <v>0.001885</v>
      </c>
      <c r="J10" s="13">
        <f t="shared" si="0"/>
        <v>0.5969824933687</v>
      </c>
      <c r="M10" s="14">
        <v>56.253</v>
      </c>
      <c r="N10" s="16">
        <f t="shared" si="1"/>
        <v>0.0200044797610794</v>
      </c>
      <c r="Q10" s="14">
        <v>0.00802343</v>
      </c>
      <c r="R10" s="17">
        <v>0.0841519400057083</v>
      </c>
      <c r="S10" s="17">
        <f t="shared" si="2"/>
        <v>7.63486136565629</v>
      </c>
      <c r="V10" s="18">
        <v>1.19885</v>
      </c>
      <c r="Y10" s="14">
        <v>4.6248</v>
      </c>
      <c r="Z10" s="19">
        <f t="shared" si="3"/>
        <v>0.243321224701609</v>
      </c>
    </row>
    <row r="11" spans="1:27">
      <c r="A11" s="1" t="s">
        <v>31</v>
      </c>
      <c r="B11" s="1">
        <v>1148458</v>
      </c>
      <c r="C11" s="2">
        <v>0.265578</v>
      </c>
      <c r="E11" s="14">
        <f t="shared" si="4"/>
        <v>0.99987186049698</v>
      </c>
      <c r="F11" s="11">
        <v>0.441362115</v>
      </c>
      <c r="G11" s="15">
        <v>0.441305559077932</v>
      </c>
      <c r="I11" s="14">
        <v>0.001898</v>
      </c>
      <c r="J11" s="13">
        <f t="shared" si="0"/>
        <v>0.605088514225501</v>
      </c>
      <c r="M11" s="14">
        <v>4.884</v>
      </c>
      <c r="N11" s="16">
        <f t="shared" si="1"/>
        <v>0.235147010647011</v>
      </c>
      <c r="Q11" s="14">
        <v>0.0108289</v>
      </c>
      <c r="R11" s="17">
        <v>0.0636329451744868</v>
      </c>
      <c r="S11" s="17">
        <f t="shared" si="2"/>
        <v>6.93517419110236</v>
      </c>
      <c r="V11" s="18">
        <v>0.702011</v>
      </c>
      <c r="Y11" s="14">
        <v>9.6084</v>
      </c>
      <c r="Z11" s="19">
        <f t="shared" si="3"/>
        <v>0.119526456017651</v>
      </c>
    </row>
    <row r="12" spans="1:27">
      <c r="A12" s="1" t="s">
        <v>32</v>
      </c>
      <c r="B12" s="1">
        <v>1199210</v>
      </c>
      <c r="C12" s="2">
        <v>0.10926</v>
      </c>
      <c r="E12" s="14">
        <f t="shared" si="4"/>
        <v>1.95961399535078</v>
      </c>
      <c r="F12" s="11">
        <v>0.865276329</v>
      </c>
      <c r="G12" s="15">
        <v>1.69560760415415</v>
      </c>
      <c r="I12" s="14">
        <v>0.000924</v>
      </c>
      <c r="J12" s="13">
        <f t="shared" si="0"/>
        <v>1.29784632034632</v>
      </c>
      <c r="M12" s="14">
        <v>2.967</v>
      </c>
      <c r="N12" s="16">
        <f t="shared" si="1"/>
        <v>0.404182676103809</v>
      </c>
      <c r="Q12" s="14">
        <v>0.00529147</v>
      </c>
      <c r="R12" s="17">
        <v>0.135978471010891</v>
      </c>
      <c r="S12" s="17">
        <f t="shared" si="2"/>
        <v>12.4696769389203</v>
      </c>
      <c r="V12" s="18">
        <v>2.34605</v>
      </c>
      <c r="Y12" s="14">
        <v>2.7395</v>
      </c>
      <c r="Z12" s="19">
        <f t="shared" si="3"/>
        <v>0.437747764190546</v>
      </c>
    </row>
    <row r="13" spans="1:27">
      <c r="A13" s="1" t="s">
        <v>33</v>
      </c>
      <c r="B13" s="1">
        <v>1203720</v>
      </c>
      <c r="C13" s="2">
        <v>0.0696517</v>
      </c>
      <c r="E13" s="14">
        <f t="shared" si="4"/>
        <v>2.41487597243605</v>
      </c>
      <c r="F13" s="11">
        <v>0.902952322</v>
      </c>
      <c r="G13" s="15">
        <v>2.18051786665314</v>
      </c>
      <c r="I13" s="14">
        <v>0.00123</v>
      </c>
      <c r="J13" s="13">
        <f t="shared" si="0"/>
        <v>0.978634146341463</v>
      </c>
      <c r="M13" s="14">
        <v>3.873</v>
      </c>
      <c r="N13" s="16">
        <f t="shared" si="1"/>
        <v>0.310797831138652</v>
      </c>
      <c r="Q13" s="14">
        <v>0.00391472</v>
      </c>
      <c r="R13" s="17">
        <v>0.184491355703601</v>
      </c>
      <c r="S13" s="17">
        <f t="shared" si="2"/>
        <v>11.8190787765488</v>
      </c>
      <c r="V13" s="18">
        <v>0.681118</v>
      </c>
      <c r="Y13" s="14">
        <v>2.4292</v>
      </c>
      <c r="Z13" s="19">
        <f t="shared" si="3"/>
        <v>0.495521159229376</v>
      </c>
    </row>
    <row r="14" spans="1:27">
      <c r="A14" s="1" t="s">
        <v>34</v>
      </c>
      <c r="B14" s="1">
        <v>1487464</v>
      </c>
      <c r="C14" s="2">
        <v>0.203175</v>
      </c>
      <c r="E14" s="14">
        <f t="shared" si="4"/>
        <v>2.25542226589465</v>
      </c>
      <c r="F14" s="11">
        <v>1.232419297</v>
      </c>
      <c r="G14" s="15">
        <v>2.77962592337203</v>
      </c>
      <c r="I14" s="14">
        <v>0.00099</v>
      </c>
      <c r="J14" s="13">
        <f t="shared" si="0"/>
        <v>1.50248888888889</v>
      </c>
      <c r="M14" s="14">
        <v>4.471</v>
      </c>
      <c r="N14" s="16">
        <f t="shared" si="1"/>
        <v>0.332691567881906</v>
      </c>
      <c r="Q14" s="14">
        <v>0.00490095</v>
      </c>
      <c r="R14" s="17">
        <v>0.182103143268142</v>
      </c>
      <c r="S14" s="17">
        <f t="shared" si="2"/>
        <v>15.2640194643928</v>
      </c>
      <c r="V14" s="18">
        <v>0.976717</v>
      </c>
      <c r="Y14" s="14">
        <v>2.6961</v>
      </c>
      <c r="Z14" s="19">
        <f t="shared" si="3"/>
        <v>0.551709506323949</v>
      </c>
    </row>
    <row r="15" spans="1:27">
      <c r="A15" s="1" t="s">
        <v>35</v>
      </c>
      <c r="B15" s="1">
        <v>1544336</v>
      </c>
      <c r="C15" s="2">
        <v>0.000254323</v>
      </c>
      <c r="E15" s="14">
        <f t="shared" si="4"/>
        <v>1.81221802581333</v>
      </c>
      <c r="F15" s="11">
        <v>0.833150858</v>
      </c>
      <c r="G15" s="15">
        <v>1.50985100308944</v>
      </c>
      <c r="I15" s="14">
        <v>0.001567</v>
      </c>
      <c r="J15" s="13">
        <f t="shared" si="0"/>
        <v>0.985536694320357</v>
      </c>
      <c r="M15" s="14">
        <v>4.651</v>
      </c>
      <c r="N15" s="16">
        <f t="shared" si="1"/>
        <v>0.332043861535154</v>
      </c>
      <c r="Q15" s="14">
        <v>0.00613522</v>
      </c>
      <c r="R15" s="17">
        <v>0.151029889718706</v>
      </c>
      <c r="S15" s="17">
        <f t="shared" si="2"/>
        <v>9.99703440094902</v>
      </c>
      <c r="V15" s="18">
        <v>0.705753</v>
      </c>
      <c r="Y15" s="14">
        <v>3.4553</v>
      </c>
      <c r="Z15" s="19">
        <f t="shared" si="3"/>
        <v>0.446947008942784</v>
      </c>
    </row>
    <row r="16" spans="1:27">
      <c r="A16" s="1" t="s">
        <v>36</v>
      </c>
      <c r="B16" s="1">
        <v>1551124</v>
      </c>
      <c r="C16" s="2">
        <v>0.0909091</v>
      </c>
      <c r="E16" s="14">
        <f t="shared" si="4"/>
        <v>2.02612796302485</v>
      </c>
      <c r="F16" s="11">
        <v>0.854328921</v>
      </c>
      <c r="G16" s="15">
        <v>1.73097971645895</v>
      </c>
      <c r="I16" s="14">
        <v>0.001241</v>
      </c>
      <c r="J16" s="13">
        <f t="shared" si="0"/>
        <v>1.24989846897663</v>
      </c>
      <c r="M16" s="14">
        <v>9.114</v>
      </c>
      <c r="N16" s="16">
        <f t="shared" si="1"/>
        <v>0.170191353960939</v>
      </c>
      <c r="Q16" s="14">
        <v>0.00829534</v>
      </c>
      <c r="R16" s="17">
        <v>0.112192435753085</v>
      </c>
      <c r="S16" s="17">
        <f t="shared" si="2"/>
        <v>15.428666869026</v>
      </c>
      <c r="V16" s="18">
        <v>0.720389</v>
      </c>
      <c r="Y16" s="14">
        <v>3.4553</v>
      </c>
      <c r="Z16" s="19">
        <f t="shared" si="3"/>
        <v>0.448911527219055</v>
      </c>
    </row>
    <row r="17" spans="1:26">
      <c r="A17" s="1" t="s">
        <v>37</v>
      </c>
      <c r="B17" s="1">
        <v>1551124</v>
      </c>
      <c r="C17" s="2">
        <v>0.0909091</v>
      </c>
      <c r="E17" s="14">
        <f t="shared" si="4"/>
        <v>2.35921539823808</v>
      </c>
      <c r="F17" s="11">
        <v>0.725601213</v>
      </c>
      <c r="G17" s="15">
        <v>1.71184955468983</v>
      </c>
      <c r="I17" s="14">
        <v>0.001183</v>
      </c>
      <c r="J17" s="13">
        <f t="shared" si="0"/>
        <v>1.31117836010144</v>
      </c>
      <c r="M17" s="14">
        <v>8.688</v>
      </c>
      <c r="N17" s="16">
        <f t="shared" si="1"/>
        <v>0.178536372007366</v>
      </c>
      <c r="Q17" s="14">
        <v>0.00938102</v>
      </c>
      <c r="R17" s="17">
        <v>0.0992082310878774</v>
      </c>
      <c r="S17" s="17">
        <f t="shared" si="2"/>
        <v>17.2551161926624</v>
      </c>
      <c r="V17" s="18">
        <v>0.693893</v>
      </c>
      <c r="Y17" s="14">
        <v>3.3979</v>
      </c>
      <c r="Z17" s="19">
        <f t="shared" si="3"/>
        <v>0.456494893905059</v>
      </c>
    </row>
    <row r="18" spans="1:26">
      <c r="A18" s="1" t="s">
        <v>38</v>
      </c>
      <c r="B18" s="1">
        <v>1572864</v>
      </c>
      <c r="C18" s="2">
        <v>0</v>
      </c>
      <c r="E18" s="14">
        <f t="shared" si="4"/>
        <v>2.17441946103723</v>
      </c>
      <c r="F18" s="11">
        <v>0.531190699</v>
      </c>
      <c r="G18" s="15">
        <v>1.15503139342757</v>
      </c>
      <c r="I18" s="14">
        <v>0.001354</v>
      </c>
      <c r="J18" s="13">
        <f t="shared" si="0"/>
        <v>1.16164254062038</v>
      </c>
      <c r="M18" s="14">
        <v>3.86</v>
      </c>
      <c r="N18" s="16">
        <f t="shared" si="1"/>
        <v>0.407477720207254</v>
      </c>
      <c r="Q18" s="14">
        <v>0.0065491</v>
      </c>
      <c r="R18" s="17">
        <v>0.144098944893191</v>
      </c>
      <c r="S18" s="17">
        <f t="shared" si="2"/>
        <v>8.01554372437426</v>
      </c>
      <c r="V18" s="18">
        <v>2.02302</v>
      </c>
      <c r="Y18" s="14">
        <v>3.7663</v>
      </c>
      <c r="Z18" s="19">
        <f t="shared" si="3"/>
        <v>0.417615166078114</v>
      </c>
    </row>
    <row r="19" spans="1:26">
      <c r="A19" s="1" t="s">
        <v>39</v>
      </c>
      <c r="B19" s="1">
        <v>1599650</v>
      </c>
      <c r="C19" s="2">
        <v>0.480316</v>
      </c>
      <c r="E19" s="14">
        <f t="shared" si="4"/>
        <v>1.3945797296473</v>
      </c>
      <c r="F19" s="11">
        <v>1.057050776</v>
      </c>
      <c r="G19" s="15">
        <v>1.47414158541755</v>
      </c>
      <c r="I19" s="14">
        <v>0.001133</v>
      </c>
      <c r="J19" s="13">
        <f t="shared" si="0"/>
        <v>1.41187113857017</v>
      </c>
      <c r="M19" s="14">
        <v>5.047</v>
      </c>
      <c r="N19" s="16">
        <f t="shared" si="1"/>
        <v>0.31695066376065</v>
      </c>
      <c r="Q19" s="14">
        <v>0.0068117</v>
      </c>
      <c r="R19" s="17">
        <v>0.140903151929768</v>
      </c>
      <c r="S19" s="17">
        <f t="shared" si="2"/>
        <v>10.4620909130005</v>
      </c>
      <c r="V19" s="18">
        <v>1.48721</v>
      </c>
      <c r="Y19" s="14">
        <v>3.4617</v>
      </c>
      <c r="Z19" s="19">
        <f t="shared" si="3"/>
        <v>0.462099546465609</v>
      </c>
    </row>
    <row r="20" spans="1:26">
      <c r="A20" s="1" t="s">
        <v>40</v>
      </c>
      <c r="B20" s="1">
        <v>1600060</v>
      </c>
      <c r="C20" s="2">
        <v>0.483632</v>
      </c>
      <c r="E20" s="14">
        <f t="shared" si="4"/>
        <v>1.5717904164037</v>
      </c>
      <c r="F20" s="11">
        <v>0.931649623</v>
      </c>
      <c r="G20" s="15">
        <v>1.46435794887752</v>
      </c>
      <c r="I20" s="14">
        <v>0.001296</v>
      </c>
      <c r="J20" s="13">
        <f t="shared" si="0"/>
        <v>1.23461419753086</v>
      </c>
      <c r="M20" s="14">
        <v>4.985</v>
      </c>
      <c r="N20" s="16">
        <f t="shared" si="1"/>
        <v>0.320974924774323</v>
      </c>
      <c r="Q20" s="14">
        <v>0.00888359</v>
      </c>
      <c r="R20" s="17">
        <v>0.108068472318061</v>
      </c>
      <c r="S20" s="17">
        <f t="shared" si="2"/>
        <v>13.5502789802349</v>
      </c>
      <c r="V20" s="18">
        <v>1.57224</v>
      </c>
      <c r="Y20" s="14">
        <v>3.4887</v>
      </c>
      <c r="Z20" s="19">
        <f t="shared" si="3"/>
        <v>0.45864075443575</v>
      </c>
    </row>
    <row r="21" spans="1:26">
      <c r="A21" s="1" t="s">
        <v>41</v>
      </c>
      <c r="B21" s="1">
        <v>1613608</v>
      </c>
      <c r="C21" s="2">
        <v>0.904236</v>
      </c>
      <c r="E21" s="14">
        <f t="shared" si="4"/>
        <v>2.42574904250515</v>
      </c>
      <c r="F21" s="11">
        <v>1.832546975</v>
      </c>
      <c r="G21" s="15">
        <v>4.44529906995196</v>
      </c>
      <c r="I21" s="14">
        <v>0.000696</v>
      </c>
      <c r="J21" s="13">
        <f t="shared" si="0"/>
        <v>2.31840229885057</v>
      </c>
      <c r="M21" s="14">
        <v>4.846</v>
      </c>
      <c r="N21" s="16">
        <f t="shared" si="1"/>
        <v>0.332977300866694</v>
      </c>
      <c r="Q21" s="14">
        <v>0.00602032</v>
      </c>
      <c r="R21" s="17">
        <v>0.160816169240173</v>
      </c>
      <c r="S21" s="17">
        <f t="shared" si="2"/>
        <v>27.6421151613994</v>
      </c>
      <c r="V21" s="18">
        <v>1.01719</v>
      </c>
      <c r="Y21" s="14">
        <v>2.0243</v>
      </c>
      <c r="Z21" s="19">
        <f t="shared" si="3"/>
        <v>0.797119004100183</v>
      </c>
    </row>
    <row r="22" spans="1:26">
      <c r="A22" s="1" t="s">
        <v>42</v>
      </c>
      <c r="B22" s="1">
        <v>1644146</v>
      </c>
      <c r="C22" s="2">
        <v>0</v>
      </c>
      <c r="E22" s="14">
        <f t="shared" si="4"/>
        <v>1.82273101093897</v>
      </c>
      <c r="F22" s="11">
        <v>0.759342863</v>
      </c>
      <c r="G22" s="15">
        <v>1.38407778432528</v>
      </c>
      <c r="I22" s="14">
        <v>0.001724</v>
      </c>
      <c r="J22" s="13">
        <f t="shared" si="0"/>
        <v>0.953680974477958</v>
      </c>
      <c r="M22" s="14">
        <v>3.148</v>
      </c>
      <c r="N22" s="16">
        <f t="shared" si="1"/>
        <v>0.522282719186785</v>
      </c>
      <c r="Q22" s="14">
        <v>0.00729079</v>
      </c>
      <c r="R22" s="17">
        <v>0.135305995646562</v>
      </c>
      <c r="S22" s="17">
        <f t="shared" si="2"/>
        <v>10.2292420798608</v>
      </c>
      <c r="V22" s="18">
        <v>0.707666</v>
      </c>
      <c r="Y22" s="14">
        <v>3.5686</v>
      </c>
      <c r="Z22" s="19">
        <f t="shared" si="3"/>
        <v>0.460725774813652</v>
      </c>
    </row>
    <row r="23" spans="1:26">
      <c r="A23" s="1" t="s">
        <v>43</v>
      </c>
      <c r="B23" s="1">
        <v>1644146</v>
      </c>
      <c r="C23" s="2">
        <v>0</v>
      </c>
      <c r="E23" s="14">
        <f t="shared" si="4"/>
        <v>1.9580968090228</v>
      </c>
      <c r="F23" s="11">
        <v>0.711997124</v>
      </c>
      <c r="G23" s="15">
        <v>1.39415929653781</v>
      </c>
      <c r="I23" s="14">
        <v>0.001881</v>
      </c>
      <c r="J23" s="13">
        <f t="shared" si="0"/>
        <v>0.874080808080808</v>
      </c>
      <c r="M23" s="14">
        <v>3.353</v>
      </c>
      <c r="N23" s="16">
        <f t="shared" si="1"/>
        <v>0.490350730688935</v>
      </c>
      <c r="Q23" s="14">
        <v>0.0079196</v>
      </c>
      <c r="R23" s="17">
        <v>0.124562806202333</v>
      </c>
      <c r="S23" s="17">
        <f t="shared" si="2"/>
        <v>11.1924204266337</v>
      </c>
      <c r="V23" s="18">
        <v>0.677932</v>
      </c>
      <c r="Y23" s="14">
        <v>3.4275</v>
      </c>
      <c r="Z23" s="19">
        <f t="shared" si="3"/>
        <v>0.479692487235594</v>
      </c>
    </row>
    <row r="24" spans="1:26">
      <c r="A24" s="1" t="s">
        <v>44</v>
      </c>
      <c r="B24" s="1">
        <v>1698240</v>
      </c>
      <c r="C24" s="2">
        <v>0.000479846</v>
      </c>
      <c r="E24" s="14">
        <f t="shared" si="4"/>
        <v>1.78451971359095</v>
      </c>
      <c r="F24" s="11">
        <v>0.849870523</v>
      </c>
      <c r="G24" s="15">
        <v>1.51661070229335</v>
      </c>
      <c r="I24" s="14">
        <v>0.001623</v>
      </c>
      <c r="J24" s="13">
        <f t="shared" si="0"/>
        <v>1.04635859519409</v>
      </c>
      <c r="M24" s="14">
        <v>5.437</v>
      </c>
      <c r="N24" s="16">
        <f t="shared" si="1"/>
        <v>0.312348721721538</v>
      </c>
      <c r="Q24" s="14">
        <v>0.00672468</v>
      </c>
      <c r="R24" s="17">
        <v>0.151523046449794</v>
      </c>
      <c r="S24" s="17">
        <f t="shared" si="2"/>
        <v>10.009109094806</v>
      </c>
      <c r="V24" s="18">
        <v>0.714668</v>
      </c>
      <c r="Y24" s="14">
        <v>3.5094</v>
      </c>
      <c r="Z24" s="19">
        <f t="shared" si="3"/>
        <v>0.483911779791417</v>
      </c>
    </row>
    <row r="25" spans="1:26">
      <c r="A25" s="1" t="s">
        <v>45</v>
      </c>
      <c r="B25" s="1">
        <v>1704556</v>
      </c>
      <c r="C25" s="2">
        <v>0.00913061</v>
      </c>
      <c r="E25" s="14">
        <f t="shared" si="4"/>
        <v>2.66394309445631</v>
      </c>
      <c r="F25" s="11">
        <v>1.095731064</v>
      </c>
      <c r="G25" s="15">
        <v>2.91896520132407</v>
      </c>
      <c r="I25" s="14">
        <v>0.001151</v>
      </c>
      <c r="J25" s="13">
        <f t="shared" si="0"/>
        <v>1.4809348392702</v>
      </c>
      <c r="M25" s="14">
        <v>3.656</v>
      </c>
      <c r="N25" s="16">
        <f t="shared" si="1"/>
        <v>0.4662352297593</v>
      </c>
      <c r="Q25" s="14">
        <v>0.00437683</v>
      </c>
      <c r="R25" s="17">
        <v>0.233669939202574</v>
      </c>
      <c r="S25" s="17">
        <f t="shared" si="2"/>
        <v>12.4918301912748</v>
      </c>
      <c r="V25" s="18">
        <v>0.979614</v>
      </c>
      <c r="Y25" s="14">
        <v>2.4339</v>
      </c>
      <c r="Z25" s="19">
        <f t="shared" si="3"/>
        <v>0.700339373022721</v>
      </c>
    </row>
    <row r="26" spans="1:26">
      <c r="A26" s="1" t="s">
        <v>46</v>
      </c>
      <c r="B26" s="1">
        <v>1807022</v>
      </c>
      <c r="C26" s="2">
        <v>0.0148248</v>
      </c>
      <c r="E26" s="14">
        <f t="shared" si="4"/>
        <v>2.75286382022563</v>
      </c>
      <c r="F26" s="11">
        <v>1.130076878</v>
      </c>
      <c r="G26" s="15">
        <v>3.11094775151973</v>
      </c>
      <c r="I26" s="14">
        <v>0.001048</v>
      </c>
      <c r="J26" s="13">
        <f t="shared" si="0"/>
        <v>1.72425763358779</v>
      </c>
      <c r="M26" s="14">
        <v>3.445</v>
      </c>
      <c r="N26" s="16">
        <f t="shared" si="1"/>
        <v>0.524534687953556</v>
      </c>
      <c r="Q26" s="14">
        <v>0.00441498</v>
      </c>
      <c r="R26" s="17">
        <v>0.245576016199394</v>
      </c>
      <c r="S26" s="17">
        <f t="shared" si="2"/>
        <v>12.6679624487182</v>
      </c>
      <c r="V26" s="18">
        <v>1.0493</v>
      </c>
      <c r="Y26" s="14">
        <v>2.3064</v>
      </c>
      <c r="Z26" s="19">
        <f t="shared" si="3"/>
        <v>0.783481616371835</v>
      </c>
    </row>
    <row r="27" spans="1:26">
      <c r="A27" s="1" t="s">
        <v>47</v>
      </c>
      <c r="B27" s="1">
        <v>1807160</v>
      </c>
      <c r="C27" s="2">
        <v>0.00144058</v>
      </c>
      <c r="E27" s="14">
        <f t="shared" si="4"/>
        <v>1.84972249506659</v>
      </c>
      <c r="F27" s="11">
        <v>0.890690766</v>
      </c>
      <c r="G27" s="15">
        <v>1.64753074601829</v>
      </c>
      <c r="I27" s="14">
        <v>0.001619</v>
      </c>
      <c r="J27" s="13">
        <f t="shared" si="0"/>
        <v>1.11621988882026</v>
      </c>
      <c r="M27" s="14">
        <v>5.451</v>
      </c>
      <c r="N27" s="16">
        <f t="shared" si="1"/>
        <v>0.331528159970648</v>
      </c>
      <c r="Q27" s="14">
        <v>0.00582801</v>
      </c>
      <c r="R27" s="17">
        <v>0.186049097376291</v>
      </c>
      <c r="S27" s="17">
        <f t="shared" si="2"/>
        <v>8.85535468460833</v>
      </c>
      <c r="V27" s="18">
        <v>0.739345</v>
      </c>
      <c r="Y27" s="14">
        <v>4.173</v>
      </c>
      <c r="Z27" s="19">
        <f t="shared" si="3"/>
        <v>0.433060148574167</v>
      </c>
    </row>
    <row r="28" spans="1:26">
      <c r="A28" s="1" t="s">
        <v>48</v>
      </c>
      <c r="B28" s="1">
        <v>1817500</v>
      </c>
      <c r="C28" s="2">
        <v>0.0142065</v>
      </c>
      <c r="E28" s="14">
        <f t="shared" si="4"/>
        <v>0.96465328062719</v>
      </c>
      <c r="F28" s="11">
        <v>0.695200131</v>
      </c>
      <c r="G28" s="15">
        <v>0.670627087061602</v>
      </c>
      <c r="I28" s="14">
        <v>0.002922</v>
      </c>
      <c r="J28" s="13">
        <f t="shared" si="0"/>
        <v>0.622005475701574</v>
      </c>
      <c r="M28" s="14">
        <v>7.106</v>
      </c>
      <c r="N28" s="16">
        <f t="shared" si="1"/>
        <v>0.255769772023642</v>
      </c>
      <c r="Q28" s="14">
        <v>0.0111505</v>
      </c>
      <c r="R28" s="17">
        <v>0.097798305008744</v>
      </c>
      <c r="S28" s="17">
        <f t="shared" si="2"/>
        <v>6.85724652387015</v>
      </c>
      <c r="V28" s="18">
        <v>1.34613</v>
      </c>
      <c r="Y28" s="14">
        <v>10.1154</v>
      </c>
      <c r="Z28" s="19">
        <f t="shared" si="3"/>
        <v>0.179676532811357</v>
      </c>
    </row>
    <row r="29" spans="1:26">
      <c r="A29" s="1" t="s">
        <v>49</v>
      </c>
      <c r="B29" s="1">
        <v>1853920</v>
      </c>
      <c r="C29" s="2">
        <v>0.0224707</v>
      </c>
      <c r="E29" s="14">
        <f t="shared" si="4"/>
        <v>0.908508616515421</v>
      </c>
      <c r="F29" s="11">
        <v>0.736103608</v>
      </c>
      <c r="G29" s="15">
        <v>0.66875647051609</v>
      </c>
      <c r="I29" s="14">
        <v>0.002735</v>
      </c>
      <c r="J29" s="13">
        <f t="shared" si="0"/>
        <v>0.677850091407678</v>
      </c>
      <c r="M29" s="14">
        <v>7.193</v>
      </c>
      <c r="N29" s="16">
        <f t="shared" si="1"/>
        <v>0.257739468928125</v>
      </c>
      <c r="Q29" s="14">
        <v>0.00764843</v>
      </c>
      <c r="R29" s="17">
        <v>0.145435337709831</v>
      </c>
      <c r="S29" s="17">
        <f t="shared" si="2"/>
        <v>4.59830795628485</v>
      </c>
      <c r="V29" s="18">
        <v>1.36012</v>
      </c>
      <c r="Y29" s="14">
        <v>9.93</v>
      </c>
      <c r="Z29" s="19">
        <f t="shared" si="3"/>
        <v>0.18669889224572</v>
      </c>
    </row>
    <row r="30" spans="1:26">
      <c r="A30" s="1" t="s">
        <v>50</v>
      </c>
      <c r="B30" s="1">
        <v>1883016</v>
      </c>
      <c r="C30" s="2">
        <v>0.0166799</v>
      </c>
      <c r="E30" s="14">
        <f t="shared" si="4"/>
        <v>2.3461734720864</v>
      </c>
      <c r="F30" s="11">
        <v>1.239573341</v>
      </c>
      <c r="G30" s="15">
        <v>2.90825408935971</v>
      </c>
      <c r="I30" s="14">
        <v>0.001015</v>
      </c>
      <c r="J30" s="13">
        <f t="shared" si="0"/>
        <v>1.8551881773399</v>
      </c>
      <c r="M30" s="14">
        <v>3.346</v>
      </c>
      <c r="N30" s="16">
        <f t="shared" si="1"/>
        <v>0.5627662881052</v>
      </c>
      <c r="Q30" s="14">
        <v>0.00464938</v>
      </c>
      <c r="R30" s="17">
        <v>0.243002206745846</v>
      </c>
      <c r="S30" s="17">
        <f t="shared" si="2"/>
        <v>11.9680151398848</v>
      </c>
      <c r="V30" s="18">
        <v>0.942265</v>
      </c>
      <c r="Y30" s="14">
        <v>2.4238</v>
      </c>
      <c r="Z30" s="19">
        <f t="shared" si="3"/>
        <v>0.776885881673405</v>
      </c>
    </row>
    <row r="31" spans="1:26">
      <c r="A31" s="1" t="s">
        <v>51</v>
      </c>
      <c r="B31" s="1">
        <v>1891702</v>
      </c>
      <c r="C31" s="2">
        <v>0.0175601</v>
      </c>
      <c r="E31" s="14">
        <f t="shared" si="4"/>
        <v>1.78127795855834</v>
      </c>
      <c r="F31" s="11">
        <v>0.603411102</v>
      </c>
      <c r="G31" s="15">
        <v>1.074842895942</v>
      </c>
      <c r="I31" s="14">
        <v>0.001509</v>
      </c>
      <c r="J31" s="13">
        <f t="shared" si="0"/>
        <v>1.25361298873426</v>
      </c>
      <c r="M31" s="14">
        <v>494.064</v>
      </c>
      <c r="N31" s="16">
        <f t="shared" si="1"/>
        <v>0.00382886022863435</v>
      </c>
      <c r="Q31" s="14">
        <v>0.0111989</v>
      </c>
      <c r="R31" s="17">
        <v>0.101351132700533</v>
      </c>
      <c r="S31" s="17">
        <f t="shared" si="2"/>
        <v>10.6051394523423</v>
      </c>
      <c r="V31" s="18">
        <v>0.807152</v>
      </c>
      <c r="Y31" s="14">
        <v>3.724</v>
      </c>
      <c r="Z31" s="19">
        <f t="shared" si="3"/>
        <v>0.507975832438238</v>
      </c>
    </row>
    <row r="32" spans="1:26">
      <c r="A32" s="1" t="s">
        <v>52</v>
      </c>
      <c r="B32" s="1">
        <v>1914792</v>
      </c>
      <c r="C32" s="2">
        <v>0</v>
      </c>
      <c r="E32" s="14">
        <f t="shared" si="4"/>
        <v>1.11529330999823</v>
      </c>
      <c r="F32" s="11">
        <v>0.60879932</v>
      </c>
      <c r="G32" s="15">
        <v>0.678989808727474</v>
      </c>
      <c r="I32" s="14">
        <v>0.001947</v>
      </c>
      <c r="J32" s="13">
        <f t="shared" si="0"/>
        <v>0.983457627118644</v>
      </c>
      <c r="M32" s="14">
        <v>5.664</v>
      </c>
      <c r="N32" s="16">
        <f t="shared" si="1"/>
        <v>0.338063559322034</v>
      </c>
      <c r="Q32" s="14">
        <v>0.00858969</v>
      </c>
      <c r="R32" s="17">
        <v>0.133750484592575</v>
      </c>
      <c r="S32" s="17">
        <f t="shared" si="2"/>
        <v>5.0765409246612</v>
      </c>
      <c r="V32" s="18">
        <v>1.49048</v>
      </c>
      <c r="Y32" s="14">
        <v>4.8002</v>
      </c>
      <c r="Z32" s="19">
        <f t="shared" si="3"/>
        <v>0.398898379234199</v>
      </c>
    </row>
    <row r="33" spans="1:26">
      <c r="A33" s="1" t="s">
        <v>53</v>
      </c>
      <c r="B33" s="1">
        <v>1950786</v>
      </c>
      <c r="C33" s="2">
        <v>0.0388297</v>
      </c>
      <c r="E33" s="14">
        <f t="shared" si="4"/>
        <v>1.51235415667391</v>
      </c>
      <c r="F33" s="11">
        <v>0.907166641</v>
      </c>
      <c r="G33" s="15">
        <v>1.37195724031226</v>
      </c>
      <c r="I33" s="14">
        <v>0.002083</v>
      </c>
      <c r="J33" s="13">
        <f t="shared" si="0"/>
        <v>0.936527124339894</v>
      </c>
      <c r="M33" s="14">
        <v>6.242</v>
      </c>
      <c r="N33" s="16">
        <f t="shared" si="1"/>
        <v>0.312525793015059</v>
      </c>
      <c r="Q33" s="14">
        <v>0.00628534</v>
      </c>
      <c r="R33" s="17">
        <v>0.186222479611286</v>
      </c>
      <c r="S33" s="17">
        <f t="shared" si="2"/>
        <v>7.36730196685187</v>
      </c>
      <c r="V33" s="18">
        <v>1.85905</v>
      </c>
      <c r="Y33" s="14">
        <v>4.4754</v>
      </c>
      <c r="Z33" s="19">
        <f t="shared" si="3"/>
        <v>0.435890870089824</v>
      </c>
    </row>
    <row r="34" spans="1:26">
      <c r="A34" s="1" t="s">
        <v>54</v>
      </c>
      <c r="B34" s="1">
        <v>1966544</v>
      </c>
      <c r="C34" s="2">
        <v>0.000474327</v>
      </c>
      <c r="E34" s="14">
        <f t="shared" si="4"/>
        <v>1.6521227993545</v>
      </c>
      <c r="F34" s="11">
        <v>1.476731423</v>
      </c>
      <c r="G34" s="15">
        <v>2.43974165246152</v>
      </c>
      <c r="I34" s="14">
        <v>0.000981</v>
      </c>
      <c r="J34" s="13">
        <f t="shared" si="0"/>
        <v>2.00463200815494</v>
      </c>
      <c r="M34" s="14">
        <v>3.479</v>
      </c>
      <c r="N34" s="16">
        <f t="shared" si="1"/>
        <v>0.56526128197758</v>
      </c>
      <c r="Q34" s="14">
        <v>0.005785</v>
      </c>
      <c r="R34" s="17">
        <v>0.203963076923077</v>
      </c>
      <c r="S34" s="17">
        <f t="shared" si="2"/>
        <v>11.9616829147054</v>
      </c>
      <c r="V34" s="18">
        <v>3.37232</v>
      </c>
      <c r="Y34" s="14">
        <v>4.3151</v>
      </c>
      <c r="Z34" s="19">
        <f t="shared" si="3"/>
        <v>0.455735440661862</v>
      </c>
    </row>
    <row r="35" spans="1:26">
      <c r="A35" s="1" t="s">
        <v>55</v>
      </c>
      <c r="B35" s="1">
        <v>1966544</v>
      </c>
      <c r="C35" s="2">
        <v>0.000742115</v>
      </c>
      <c r="E35" s="14">
        <f t="shared" si="4"/>
        <v>1.57832463839717</v>
      </c>
      <c r="F35" s="11">
        <v>1.57551303</v>
      </c>
      <c r="G35" s="15">
        <v>2.48667103336478</v>
      </c>
      <c r="I35" s="14">
        <v>0.000992</v>
      </c>
      <c r="J35" s="13">
        <f t="shared" si="0"/>
        <v>1.98240322580645</v>
      </c>
      <c r="M35" s="14">
        <v>3.312</v>
      </c>
      <c r="N35" s="16">
        <f t="shared" si="1"/>
        <v>0.593763285024155</v>
      </c>
      <c r="Q35" s="14">
        <v>0.00857603</v>
      </c>
      <c r="R35" s="17">
        <v>0.137584220204454</v>
      </c>
      <c r="S35" s="17">
        <f t="shared" si="2"/>
        <v>18.0738098429421</v>
      </c>
      <c r="V35" s="18">
        <v>3.23158</v>
      </c>
      <c r="Y35" s="14">
        <v>3.9596</v>
      </c>
      <c r="Z35" s="19">
        <f t="shared" si="3"/>
        <v>0.496652187089605</v>
      </c>
    </row>
    <row r="36" spans="1:26">
      <c r="A36" s="1" t="s">
        <v>56</v>
      </c>
      <c r="B36" s="1">
        <v>1985616</v>
      </c>
      <c r="C36" s="2">
        <v>0</v>
      </c>
      <c r="E36" s="14">
        <f t="shared" si="4"/>
        <v>1.59315445480376</v>
      </c>
      <c r="F36" s="11">
        <v>1.653814117</v>
      </c>
      <c r="G36" s="15">
        <v>2.6347813279159</v>
      </c>
      <c r="I36" s="14">
        <v>0.00077</v>
      </c>
      <c r="J36" s="13">
        <f t="shared" si="0"/>
        <v>2.57872207792208</v>
      </c>
      <c r="M36" s="14">
        <v>3.024</v>
      </c>
      <c r="N36" s="16">
        <f t="shared" si="1"/>
        <v>0.656619047619048</v>
      </c>
      <c r="Q36" s="14">
        <v>0.00731984</v>
      </c>
      <c r="R36" s="17">
        <v>0.162758967409124</v>
      </c>
      <c r="S36" s="17">
        <f t="shared" si="2"/>
        <v>16.1882406226681</v>
      </c>
      <c r="V36" s="18">
        <v>2.97343</v>
      </c>
      <c r="Y36" s="14">
        <v>4.1912</v>
      </c>
      <c r="Z36" s="19">
        <f t="shared" si="3"/>
        <v>0.473758350830311</v>
      </c>
    </row>
    <row r="37" spans="1:26">
      <c r="A37" s="1" t="s">
        <v>57</v>
      </c>
      <c r="B37" s="1">
        <v>2034652</v>
      </c>
      <c r="C37" s="2">
        <v>0.000328839</v>
      </c>
      <c r="E37" s="14">
        <f t="shared" si="4"/>
        <v>1.95369441527339</v>
      </c>
      <c r="F37" s="11">
        <v>1.245468334</v>
      </c>
      <c r="G37" s="15">
        <v>2.43326452853565</v>
      </c>
      <c r="I37" s="14">
        <v>0.0008</v>
      </c>
      <c r="J37" s="13">
        <f t="shared" si="0"/>
        <v>2.543315</v>
      </c>
      <c r="M37" s="14">
        <v>3.553</v>
      </c>
      <c r="N37" s="16">
        <f t="shared" si="1"/>
        <v>0.572657472558401</v>
      </c>
      <c r="Q37" s="14">
        <v>0.00486454</v>
      </c>
      <c r="R37" s="17">
        <v>0.250957171695577</v>
      </c>
      <c r="S37" s="17">
        <f t="shared" si="2"/>
        <v>9.69593541437945</v>
      </c>
      <c r="V37" s="18">
        <v>2.9219</v>
      </c>
      <c r="Y37" s="14">
        <v>3.7834</v>
      </c>
      <c r="Z37" s="19">
        <f t="shared" si="3"/>
        <v>0.5377840038061</v>
      </c>
    </row>
    <row r="38" spans="1:26">
      <c r="A38" s="1" t="s">
        <v>58</v>
      </c>
      <c r="B38" s="1">
        <v>2075630</v>
      </c>
      <c r="C38" s="2">
        <v>0.0539195</v>
      </c>
      <c r="E38" s="14">
        <f t="shared" si="4"/>
        <v>2.49024422988069</v>
      </c>
      <c r="F38" s="11">
        <v>1.256233418</v>
      </c>
      <c r="G38" s="15">
        <v>3.1283280205578</v>
      </c>
      <c r="I38" s="14">
        <v>0.001024</v>
      </c>
      <c r="J38" s="13">
        <f t="shared" si="0"/>
        <v>2.026982421875</v>
      </c>
      <c r="M38" s="14">
        <v>6.109</v>
      </c>
      <c r="N38" s="16">
        <f t="shared" si="1"/>
        <v>0.339765919135701</v>
      </c>
      <c r="Q38" s="14">
        <v>0.00447418</v>
      </c>
      <c r="R38" s="17">
        <v>0.278347764283064</v>
      </c>
      <c r="S38" s="17">
        <f t="shared" si="2"/>
        <v>11.2389191578937</v>
      </c>
      <c r="V38" s="18">
        <v>1.02178</v>
      </c>
      <c r="Y38" s="14">
        <v>3.2615</v>
      </c>
      <c r="Z38" s="19">
        <f t="shared" si="3"/>
        <v>0.636403495324237</v>
      </c>
    </row>
    <row r="39" spans="1:26">
      <c r="A39" s="1" t="s">
        <v>59</v>
      </c>
      <c r="B39" s="1">
        <v>2128552</v>
      </c>
      <c r="C39" s="2">
        <v>0.000712885</v>
      </c>
      <c r="E39" s="14">
        <f t="shared" si="4"/>
        <v>1.62678600479664</v>
      </c>
      <c r="F39" s="11">
        <v>1.007344733</v>
      </c>
      <c r="G39" s="15">
        <v>1.63873431365001</v>
      </c>
      <c r="I39" s="14">
        <v>0.002071</v>
      </c>
      <c r="J39" s="13">
        <f t="shared" si="0"/>
        <v>1.02778947368421</v>
      </c>
      <c r="M39" s="14">
        <v>8.633</v>
      </c>
      <c r="N39" s="16">
        <f t="shared" si="1"/>
        <v>0.246559944399398</v>
      </c>
      <c r="Q39" s="14">
        <v>0.00753669</v>
      </c>
      <c r="R39" s="17">
        <v>0.169455185233836</v>
      </c>
      <c r="S39" s="17">
        <f t="shared" si="2"/>
        <v>9.67060589729771</v>
      </c>
      <c r="V39" s="18">
        <v>0.75601</v>
      </c>
      <c r="Y39" s="14">
        <v>4.4271</v>
      </c>
      <c r="Z39" s="19">
        <f t="shared" si="3"/>
        <v>0.480800524045086</v>
      </c>
    </row>
    <row r="40" spans="1:26">
      <c r="A40" s="1" t="s">
        <v>60</v>
      </c>
      <c r="B40" s="1">
        <v>2166306</v>
      </c>
      <c r="C40" s="2">
        <v>0.450936</v>
      </c>
      <c r="E40" s="14">
        <f t="shared" si="4"/>
        <v>1.74859865572387</v>
      </c>
      <c r="F40" s="11">
        <v>2.96826171</v>
      </c>
      <c r="G40" s="15">
        <v>5.19029843594265</v>
      </c>
      <c r="I40" s="14">
        <v>0.001235</v>
      </c>
      <c r="J40" s="13">
        <f t="shared" si="0"/>
        <v>1.75409392712551</v>
      </c>
      <c r="M40" s="14">
        <v>5.016</v>
      </c>
      <c r="N40" s="16">
        <f t="shared" si="1"/>
        <v>0.431879186602871</v>
      </c>
      <c r="Q40" s="14">
        <v>0.00362301</v>
      </c>
      <c r="R40" s="17">
        <v>0.358757938840909</v>
      </c>
      <c r="S40" s="17">
        <f t="shared" si="2"/>
        <v>14.4674106800582</v>
      </c>
      <c r="V40" s="18">
        <v>1.53322</v>
      </c>
      <c r="Y40" s="14">
        <v>2.2036</v>
      </c>
      <c r="Z40" s="19">
        <f t="shared" si="3"/>
        <v>0.983075875839535</v>
      </c>
    </row>
    <row r="41" spans="1:26">
      <c r="A41" s="1" t="s">
        <v>61</v>
      </c>
      <c r="B41" s="1">
        <v>2166306</v>
      </c>
      <c r="C41" s="2">
        <v>0.497081</v>
      </c>
      <c r="E41" s="14">
        <f t="shared" si="4"/>
        <v>1.76037038359657</v>
      </c>
      <c r="F41" s="11">
        <v>2.921214609</v>
      </c>
      <c r="G41" s="15">
        <v>5.14241968181322</v>
      </c>
      <c r="I41" s="14">
        <v>0.001117</v>
      </c>
      <c r="J41" s="13">
        <f t="shared" si="0"/>
        <v>1.93939659803044</v>
      </c>
      <c r="M41" s="14">
        <v>4.981</v>
      </c>
      <c r="N41" s="16">
        <f t="shared" si="1"/>
        <v>0.434913872716322</v>
      </c>
      <c r="Q41" s="14">
        <v>0.00364822</v>
      </c>
      <c r="R41" s="17">
        <v>0.356278842832943</v>
      </c>
      <c r="S41" s="17">
        <f t="shared" si="2"/>
        <v>14.4336936791514</v>
      </c>
      <c r="V41" s="18">
        <v>1.50133</v>
      </c>
      <c r="Y41" s="14">
        <v>2.2862</v>
      </c>
      <c r="Z41" s="19">
        <f t="shared" si="3"/>
        <v>0.947557519027207</v>
      </c>
    </row>
    <row r="42" spans="1:26">
      <c r="A42" s="1" t="s">
        <v>62</v>
      </c>
      <c r="B42" s="1">
        <v>2174000</v>
      </c>
      <c r="C42" s="2">
        <v>0</v>
      </c>
      <c r="E42" s="14">
        <f t="shared" si="4"/>
        <v>1.18050901615851</v>
      </c>
      <c r="F42" s="11">
        <v>0.908380759</v>
      </c>
      <c r="G42" s="15">
        <v>1.07235167610441</v>
      </c>
      <c r="I42" s="14">
        <v>0.001407</v>
      </c>
      <c r="J42" s="13">
        <f t="shared" si="0"/>
        <v>1.54513148542999</v>
      </c>
      <c r="M42" s="14">
        <v>6.499</v>
      </c>
      <c r="N42" s="16">
        <f t="shared" si="1"/>
        <v>0.334513002000308</v>
      </c>
      <c r="Q42" s="14">
        <v>0.00731092</v>
      </c>
      <c r="R42" s="17">
        <v>0.178418037675149</v>
      </c>
      <c r="S42" s="17">
        <f t="shared" si="2"/>
        <v>6.0103321955422</v>
      </c>
      <c r="V42" s="18">
        <v>0.923581</v>
      </c>
      <c r="Y42" s="14">
        <v>3.7937</v>
      </c>
      <c r="Z42" s="19">
        <f t="shared" si="3"/>
        <v>0.573055328571052</v>
      </c>
    </row>
    <row r="43" spans="1:26">
      <c r="A43" s="1" t="s">
        <v>63</v>
      </c>
      <c r="B43" s="1">
        <v>2245280</v>
      </c>
      <c r="C43" s="2">
        <v>0</v>
      </c>
      <c r="E43" s="14">
        <f t="shared" si="4"/>
        <v>2.63855478597265</v>
      </c>
      <c r="F43" s="11">
        <v>1.571896127</v>
      </c>
      <c r="G43" s="15">
        <v>4.14753404894773</v>
      </c>
      <c r="I43" s="14">
        <v>0.000864</v>
      </c>
      <c r="J43" s="13">
        <f t="shared" si="0"/>
        <v>2.5987037037037</v>
      </c>
      <c r="M43" s="14">
        <v>6.478</v>
      </c>
      <c r="N43" s="16">
        <f t="shared" si="1"/>
        <v>0.346600802716888</v>
      </c>
      <c r="Q43" s="14">
        <v>0.00906629</v>
      </c>
      <c r="R43" s="17">
        <v>0.14859087895931</v>
      </c>
      <c r="S43" s="17">
        <f t="shared" si="2"/>
        <v>27.9124403731637</v>
      </c>
      <c r="V43" s="18">
        <v>1.17953</v>
      </c>
      <c r="Y43" s="14">
        <v>2.9405</v>
      </c>
      <c r="Z43" s="19">
        <f t="shared" si="3"/>
        <v>0.763570821288896</v>
      </c>
    </row>
    <row r="44" spans="1:26">
      <c r="A44" s="1" t="s">
        <v>64</v>
      </c>
      <c r="B44" s="1">
        <v>2329272</v>
      </c>
      <c r="C44" s="2">
        <v>0.0106727</v>
      </c>
      <c r="E44" s="14">
        <f t="shared" si="4"/>
        <v>1.59628747139115</v>
      </c>
      <c r="F44" s="11">
        <v>1.131849815</v>
      </c>
      <c r="G44" s="15">
        <v>1.80675767918089</v>
      </c>
      <c r="I44" s="14">
        <v>0.001016</v>
      </c>
      <c r="J44" s="13">
        <f t="shared" si="0"/>
        <v>2.2925905511811</v>
      </c>
      <c r="M44" s="14">
        <v>4.498</v>
      </c>
      <c r="N44" s="16">
        <f t="shared" si="1"/>
        <v>0.517846153846154</v>
      </c>
      <c r="Q44" s="14">
        <v>0.00103737</v>
      </c>
      <c r="R44" s="17">
        <v>1.34721767546777</v>
      </c>
      <c r="S44" s="17">
        <f t="shared" si="2"/>
        <v>1.34110300961837</v>
      </c>
      <c r="V44" s="18">
        <v>0.996656</v>
      </c>
      <c r="Y44" s="14">
        <v>3.7352</v>
      </c>
      <c r="Z44" s="19">
        <f t="shared" si="3"/>
        <v>0.6236003426858</v>
      </c>
    </row>
    <row r="45" spans="1:26">
      <c r="A45" s="1" t="s">
        <v>65</v>
      </c>
      <c r="B45" s="1">
        <v>2329410</v>
      </c>
      <c r="C45" s="2">
        <v>0.17308</v>
      </c>
      <c r="E45" s="14">
        <f t="shared" si="4"/>
        <v>1.54218446297773</v>
      </c>
      <c r="F45" s="11">
        <v>1.279683255</v>
      </c>
      <c r="G45" s="15">
        <v>1.97350763339377</v>
      </c>
      <c r="I45" s="14">
        <v>0.001099</v>
      </c>
      <c r="J45" s="13">
        <f t="shared" si="0"/>
        <v>2.11957233848954</v>
      </c>
      <c r="M45" s="14">
        <v>30.331</v>
      </c>
      <c r="N45" s="16">
        <f t="shared" si="1"/>
        <v>0.0767996439286538</v>
      </c>
      <c r="Q45" s="14">
        <v>0.0100883</v>
      </c>
      <c r="R45" s="17">
        <v>0.138541280493245</v>
      </c>
      <c r="S45" s="17">
        <f t="shared" si="2"/>
        <v>14.2449068347538</v>
      </c>
      <c r="V45" s="18">
        <v>0.846984</v>
      </c>
      <c r="Y45" s="14">
        <v>3.4703</v>
      </c>
      <c r="Z45" s="19">
        <f t="shared" si="3"/>
        <v>0.671241679393712</v>
      </c>
    </row>
    <row r="46" spans="1:26">
      <c r="A46" s="1" t="s">
        <v>66</v>
      </c>
      <c r="B46" s="1">
        <v>2329410</v>
      </c>
      <c r="C46" s="2">
        <v>0.17308</v>
      </c>
      <c r="E46" s="14">
        <f t="shared" si="4"/>
        <v>1.5335067036375</v>
      </c>
      <c r="F46" s="11">
        <v>1.272201578</v>
      </c>
      <c r="G46" s="15">
        <v>1.95092964824121</v>
      </c>
      <c r="I46" s="14">
        <v>0.000916</v>
      </c>
      <c r="J46" s="13">
        <f t="shared" si="0"/>
        <v>2.54302401746725</v>
      </c>
      <c r="M46" s="14">
        <v>30.288</v>
      </c>
      <c r="N46" s="16">
        <f t="shared" si="1"/>
        <v>0.076908676703645</v>
      </c>
      <c r="Q46" s="14">
        <v>0.0102243</v>
      </c>
      <c r="R46" s="17">
        <v>0.136698453683871</v>
      </c>
      <c r="S46" s="17">
        <f t="shared" si="2"/>
        <v>14.2717755443886</v>
      </c>
      <c r="V46" s="18">
        <v>0.821626</v>
      </c>
      <c r="Y46" s="14">
        <v>3.7279</v>
      </c>
      <c r="Z46" s="19">
        <f t="shared" si="3"/>
        <v>0.624858499423268</v>
      </c>
    </row>
    <row r="47" spans="1:26">
      <c r="A47" s="1" t="s">
        <v>67</v>
      </c>
      <c r="B47" s="1">
        <v>2339364</v>
      </c>
      <c r="C47" s="2">
        <v>0.0702167</v>
      </c>
      <c r="E47" s="14">
        <f t="shared" si="4"/>
        <v>1.61634337035002</v>
      </c>
      <c r="F47" s="11">
        <v>1.070011318</v>
      </c>
      <c r="G47" s="15">
        <v>1.72950570004879</v>
      </c>
      <c r="I47" s="14">
        <v>0.001439</v>
      </c>
      <c r="J47" s="13">
        <f t="shared" si="0"/>
        <v>1.6256872828353</v>
      </c>
      <c r="M47" s="14">
        <v>9.719</v>
      </c>
      <c r="N47" s="16">
        <f t="shared" si="1"/>
        <v>0.240700072023871</v>
      </c>
      <c r="Q47" s="14">
        <v>0.00891868</v>
      </c>
      <c r="R47" s="17">
        <v>0.157379612229612</v>
      </c>
      <c r="S47" s="17">
        <f t="shared" si="2"/>
        <v>10.9893884954138</v>
      </c>
      <c r="V47" s="18">
        <v>0.81451</v>
      </c>
      <c r="Y47" s="14">
        <v>3.9699</v>
      </c>
      <c r="Z47" s="19">
        <f t="shared" si="3"/>
        <v>0.589275296606967</v>
      </c>
    </row>
    <row r="48" spans="1:26">
      <c r="A48" s="1" t="s">
        <v>68</v>
      </c>
      <c r="B48" s="1">
        <v>2339364</v>
      </c>
      <c r="C48" s="2">
        <v>0.0702167</v>
      </c>
      <c r="E48" s="14">
        <f t="shared" si="4"/>
        <v>1.60116429694421</v>
      </c>
      <c r="F48" s="11">
        <v>1.082620243</v>
      </c>
      <c r="G48" s="15">
        <v>1.73345288024067</v>
      </c>
      <c r="I48" s="14">
        <v>0.001473</v>
      </c>
      <c r="J48" s="13">
        <f t="shared" si="0"/>
        <v>1.58816293279022</v>
      </c>
      <c r="M48" s="14">
        <v>9.855</v>
      </c>
      <c r="N48" s="16">
        <f t="shared" si="1"/>
        <v>0.237378386605784</v>
      </c>
      <c r="Q48" s="14">
        <v>0.00901201</v>
      </c>
      <c r="R48" s="17">
        <v>0.155749760597247</v>
      </c>
      <c r="S48" s="17">
        <f t="shared" si="2"/>
        <v>11.1297306242621</v>
      </c>
      <c r="V48" s="18">
        <v>0.82016</v>
      </c>
      <c r="Y48" s="14">
        <v>4.2195</v>
      </c>
      <c r="Z48" s="19">
        <f t="shared" si="3"/>
        <v>0.554417348027017</v>
      </c>
    </row>
    <row r="49" spans="1:26">
      <c r="A49" s="1" t="s">
        <v>69</v>
      </c>
      <c r="B49" s="1">
        <v>2355242</v>
      </c>
      <c r="C49" s="2">
        <v>0</v>
      </c>
      <c r="E49" s="14">
        <f t="shared" si="4"/>
        <v>1.63014981381806</v>
      </c>
      <c r="F49" s="11">
        <v>1.915942774</v>
      </c>
      <c r="G49" s="15">
        <v>3.12327375632216</v>
      </c>
      <c r="I49" s="14">
        <v>0.001184</v>
      </c>
      <c r="J49" s="13">
        <f t="shared" si="0"/>
        <v>1.98922466216216</v>
      </c>
      <c r="M49" s="14">
        <v>5.897</v>
      </c>
      <c r="N49" s="16">
        <f t="shared" si="1"/>
        <v>0.399396642360522</v>
      </c>
      <c r="Q49" s="14">
        <v>0.00495757</v>
      </c>
      <c r="R49" s="17">
        <v>0.285047956962786</v>
      </c>
      <c r="S49" s="17">
        <f t="shared" si="2"/>
        <v>10.9570115485161</v>
      </c>
      <c r="V49" s="18">
        <v>1.18467</v>
      </c>
      <c r="Y49" s="14">
        <v>2.902</v>
      </c>
      <c r="Z49" s="19">
        <f t="shared" si="3"/>
        <v>0.811592694693315</v>
      </c>
    </row>
    <row r="50" spans="1:26">
      <c r="A50" s="1" t="s">
        <v>70</v>
      </c>
      <c r="B50" s="1">
        <v>2397676</v>
      </c>
      <c r="C50" s="2">
        <v>0.00795848</v>
      </c>
      <c r="E50" s="14">
        <f t="shared" si="4"/>
        <v>2.54255073428239</v>
      </c>
      <c r="F50" s="11">
        <v>1.17201385</v>
      </c>
      <c r="G50" s="15">
        <v>2.97990467490663</v>
      </c>
      <c r="I50" s="14">
        <v>0.001078</v>
      </c>
      <c r="J50" s="13">
        <f t="shared" si="0"/>
        <v>2.2241892393321</v>
      </c>
      <c r="M50" s="14">
        <v>4.887</v>
      </c>
      <c r="N50" s="16">
        <f t="shared" si="1"/>
        <v>0.490623286269695</v>
      </c>
      <c r="Q50" s="14">
        <v>0.00656219</v>
      </c>
      <c r="R50" s="17">
        <v>0.219226447268366</v>
      </c>
      <c r="S50" s="17">
        <f t="shared" si="2"/>
        <v>13.5928156116072</v>
      </c>
      <c r="V50" s="18">
        <v>0.848722</v>
      </c>
      <c r="Y50" s="14">
        <v>3.4468</v>
      </c>
      <c r="Z50" s="19">
        <f t="shared" si="3"/>
        <v>0.695623766972264</v>
      </c>
    </row>
    <row r="51" spans="1:26">
      <c r="A51" s="1" t="s">
        <v>71</v>
      </c>
      <c r="B51" s="1">
        <v>2418468</v>
      </c>
      <c r="C51" s="2">
        <v>0</v>
      </c>
      <c r="E51" s="14">
        <f t="shared" si="4"/>
        <v>2.14778322230717</v>
      </c>
      <c r="F51" s="11">
        <v>0.961761053</v>
      </c>
      <c r="G51" s="15">
        <v>2.06565425350188</v>
      </c>
      <c r="I51" s="14">
        <v>0.001769</v>
      </c>
      <c r="J51" s="13">
        <f t="shared" si="0"/>
        <v>1.36713849632561</v>
      </c>
      <c r="M51" s="14">
        <v>3.128</v>
      </c>
      <c r="N51" s="16">
        <f t="shared" si="1"/>
        <v>0.773167519181586</v>
      </c>
      <c r="Q51" s="14">
        <v>0.00653935</v>
      </c>
      <c r="R51" s="17">
        <v>0.221899852431817</v>
      </c>
      <c r="S51" s="17">
        <f t="shared" si="2"/>
        <v>9.30894829746041</v>
      </c>
      <c r="V51" s="18">
        <v>0.993467</v>
      </c>
      <c r="Y51" s="14">
        <v>5.0109</v>
      </c>
      <c r="Z51" s="19">
        <f t="shared" si="3"/>
        <v>0.482641441657187</v>
      </c>
    </row>
    <row r="52" spans="1:26">
      <c r="A52" s="1" t="s">
        <v>72</v>
      </c>
      <c r="B52" s="1">
        <v>2418880</v>
      </c>
      <c r="C52" s="2">
        <v>0</v>
      </c>
      <c r="E52" s="14">
        <f t="shared" si="4"/>
        <v>1.7461642421103</v>
      </c>
      <c r="F52" s="11">
        <v>1.043906455</v>
      </c>
      <c r="G52" s="15">
        <v>1.82283212382912</v>
      </c>
      <c r="I52" s="14">
        <v>0.001773</v>
      </c>
      <c r="J52" s="13">
        <f t="shared" si="0"/>
        <v>1.36428652002256</v>
      </c>
      <c r="M52" s="14">
        <v>3.472</v>
      </c>
      <c r="N52" s="16">
        <f t="shared" si="1"/>
        <v>0.69668202764977</v>
      </c>
      <c r="Q52" s="14">
        <v>0.00734</v>
      </c>
      <c r="R52" s="17">
        <v>0.197728610354223</v>
      </c>
      <c r="S52" s="17">
        <f t="shared" si="2"/>
        <v>9.21885872036216</v>
      </c>
      <c r="V52" s="18">
        <v>0.994365</v>
      </c>
      <c r="Y52" s="14">
        <v>3.6134</v>
      </c>
      <c r="Z52" s="19">
        <f t="shared" si="3"/>
        <v>0.66941938340621</v>
      </c>
    </row>
    <row r="53" spans="1:26">
      <c r="A53" s="1" t="s">
        <v>73</v>
      </c>
      <c r="B53" s="1">
        <v>2459588</v>
      </c>
      <c r="C53" s="2">
        <v>0.0295508</v>
      </c>
      <c r="E53" s="14">
        <f t="shared" si="4"/>
        <v>1.57211125872452</v>
      </c>
      <c r="F53" s="11">
        <v>1.782969199</v>
      </c>
      <c r="G53" s="15">
        <v>2.80302595170694</v>
      </c>
      <c r="I53" s="14">
        <v>0.001288</v>
      </c>
      <c r="J53" s="13">
        <f t="shared" si="0"/>
        <v>1.90961801242236</v>
      </c>
      <c r="M53" s="14">
        <v>5.815</v>
      </c>
      <c r="N53" s="16">
        <f t="shared" si="1"/>
        <v>0.422973000859845</v>
      </c>
      <c r="Q53" s="14">
        <v>0.00735461</v>
      </c>
      <c r="R53" s="17">
        <v>0.200656839723656</v>
      </c>
      <c r="S53" s="17">
        <f t="shared" si="2"/>
        <v>13.9692519605475</v>
      </c>
      <c r="V53" s="18">
        <v>1.1078</v>
      </c>
      <c r="Y53" s="14">
        <v>3.3339</v>
      </c>
      <c r="Z53" s="19">
        <f t="shared" si="3"/>
        <v>0.737750982333003</v>
      </c>
    </row>
    <row r="54" spans="1:26">
      <c r="A54" s="1" t="s">
        <v>74</v>
      </c>
      <c r="B54" s="1">
        <v>2478256</v>
      </c>
      <c r="C54" s="2">
        <v>0.000196117</v>
      </c>
      <c r="E54" s="14">
        <f t="shared" si="4"/>
        <v>1.99611725576206</v>
      </c>
      <c r="F54" s="11">
        <v>0.97267223</v>
      </c>
      <c r="G54" s="15">
        <v>1.94156782250356</v>
      </c>
      <c r="I54" s="14">
        <v>0.001983</v>
      </c>
      <c r="J54" s="13">
        <f t="shared" si="0"/>
        <v>1.24975088250126</v>
      </c>
      <c r="M54" s="14">
        <v>6.745</v>
      </c>
      <c r="N54" s="16">
        <f t="shared" si="1"/>
        <v>0.367421200889548</v>
      </c>
      <c r="Q54" s="14">
        <v>0.00792414</v>
      </c>
      <c r="R54" s="17">
        <v>0.187648577637447</v>
      </c>
      <c r="S54" s="17">
        <f t="shared" si="2"/>
        <v>10.3468294135159</v>
      </c>
      <c r="V54" s="18">
        <v>0.854938</v>
      </c>
      <c r="Y54" s="14">
        <v>4.2709</v>
      </c>
      <c r="Z54" s="19">
        <f t="shared" si="3"/>
        <v>0.580265517806551</v>
      </c>
    </row>
    <row r="55" spans="1:26">
      <c r="A55" s="1" t="s">
        <v>75</v>
      </c>
      <c r="B55" s="1">
        <v>2511780</v>
      </c>
      <c r="C55" s="2">
        <v>0</v>
      </c>
      <c r="E55" s="14">
        <f t="shared" si="4"/>
        <v>2.03703024823119</v>
      </c>
      <c r="F55" s="11">
        <v>1.164879357</v>
      </c>
      <c r="G55" s="15">
        <v>2.3728944857491</v>
      </c>
      <c r="I55" s="14">
        <v>0.001315</v>
      </c>
      <c r="J55" s="13">
        <f t="shared" si="0"/>
        <v>1.91009885931559</v>
      </c>
      <c r="M55" s="14">
        <v>5.593</v>
      </c>
      <c r="N55" s="16">
        <f t="shared" si="1"/>
        <v>0.449093509744323</v>
      </c>
      <c r="Q55" s="14">
        <v>0.0110527</v>
      </c>
      <c r="R55" s="17">
        <v>0.136352927339021</v>
      </c>
      <c r="S55" s="17">
        <f t="shared" si="2"/>
        <v>17.4025929039958</v>
      </c>
      <c r="V55" s="18">
        <v>0.81908</v>
      </c>
      <c r="Y55" s="14">
        <v>5.3944</v>
      </c>
      <c r="Z55" s="19">
        <f t="shared" si="3"/>
        <v>0.465627317217856</v>
      </c>
    </row>
    <row r="56" spans="1:26">
      <c r="A56" s="1" t="s">
        <v>76</v>
      </c>
      <c r="B56" s="1">
        <v>2621440</v>
      </c>
      <c r="C56" s="2">
        <v>0.41883</v>
      </c>
      <c r="E56" s="14">
        <f t="shared" si="4"/>
        <v>1.07044663254051</v>
      </c>
      <c r="F56" s="11">
        <v>1.03951105</v>
      </c>
      <c r="G56" s="15">
        <v>1.11274110296115</v>
      </c>
      <c r="I56" s="14">
        <v>0.001713</v>
      </c>
      <c r="J56" s="13">
        <f t="shared" si="0"/>
        <v>1.53032107413894</v>
      </c>
      <c r="M56" s="14">
        <v>6.504</v>
      </c>
      <c r="N56" s="16">
        <f t="shared" si="1"/>
        <v>0.403050430504305</v>
      </c>
      <c r="Q56" s="14">
        <v>0.00779204</v>
      </c>
      <c r="R56" s="17">
        <v>0.20185522661588</v>
      </c>
      <c r="S56" s="17">
        <f t="shared" si="2"/>
        <v>5.51257018020464</v>
      </c>
      <c r="V56" s="18">
        <v>3.20973</v>
      </c>
      <c r="Y56" s="14">
        <v>4.4665</v>
      </c>
      <c r="Z56" s="19">
        <f t="shared" si="3"/>
        <v>0.586911451919848</v>
      </c>
    </row>
    <row r="57" spans="1:26">
      <c r="A57" s="1" t="s">
        <v>77</v>
      </c>
      <c r="B57" s="1">
        <v>2621440</v>
      </c>
      <c r="C57" s="2">
        <v>0.452705</v>
      </c>
      <c r="E57" s="14">
        <f t="shared" si="4"/>
        <v>1.21626025161757</v>
      </c>
      <c r="F57" s="11">
        <v>0.962870653</v>
      </c>
      <c r="G57" s="15">
        <v>1.17110130269295</v>
      </c>
      <c r="I57" s="14">
        <v>0.001689</v>
      </c>
      <c r="J57" s="13">
        <f t="shared" si="0"/>
        <v>1.55206631142688</v>
      </c>
      <c r="M57" s="14">
        <v>6.542</v>
      </c>
      <c r="N57" s="16">
        <f t="shared" si="1"/>
        <v>0.400709263222256</v>
      </c>
      <c r="Q57" s="14">
        <v>0.00952474</v>
      </c>
      <c r="R57" s="17">
        <v>0.165134586350914</v>
      </c>
      <c r="S57" s="17">
        <f t="shared" si="2"/>
        <v>7.09179905052924</v>
      </c>
      <c r="V57" s="18">
        <v>2.96107</v>
      </c>
      <c r="Y57" s="14">
        <v>4.237</v>
      </c>
      <c r="Z57" s="19">
        <f t="shared" si="3"/>
        <v>0.618701911729998</v>
      </c>
    </row>
    <row r="58" spans="1:26">
      <c r="A58" s="1" t="s">
        <v>78</v>
      </c>
      <c r="B58" s="1">
        <v>2630446</v>
      </c>
      <c r="C58" s="2">
        <v>0</v>
      </c>
      <c r="E58" s="14">
        <f t="shared" si="4"/>
        <v>0.979657921987887</v>
      </c>
      <c r="F58" s="11">
        <v>1.718706117</v>
      </c>
      <c r="G58" s="15">
        <v>1.68374406308809</v>
      </c>
      <c r="I58" s="14">
        <v>0.002252</v>
      </c>
      <c r="J58" s="13">
        <f t="shared" si="0"/>
        <v>1.16804884547069</v>
      </c>
      <c r="M58" s="14">
        <v>32.825</v>
      </c>
      <c r="N58" s="16">
        <f t="shared" si="1"/>
        <v>0.0801354455445544</v>
      </c>
      <c r="Q58" s="14">
        <v>0.00937157</v>
      </c>
      <c r="R58" s="17">
        <v>0.168410159663749</v>
      </c>
      <c r="S58" s="17">
        <f t="shared" si="2"/>
        <v>9.99787700724164</v>
      </c>
      <c r="V58" s="18">
        <v>0.887666</v>
      </c>
      <c r="Y58" s="14">
        <v>4.5227</v>
      </c>
      <c r="Z58" s="19">
        <f t="shared" si="3"/>
        <v>0.581609657947686</v>
      </c>
    </row>
    <row r="59" spans="1:26">
      <c r="A59" s="1" t="s">
        <v>79</v>
      </c>
      <c r="B59" s="1">
        <v>2662888</v>
      </c>
      <c r="C59" s="2">
        <v>0</v>
      </c>
      <c r="E59" s="14">
        <f t="shared" si="4"/>
        <v>1.24625289702361</v>
      </c>
      <c r="F59" s="11">
        <v>0.760610846</v>
      </c>
      <c r="G59" s="15">
        <v>0.947913470335076</v>
      </c>
      <c r="I59" s="14">
        <v>0.002247</v>
      </c>
      <c r="J59" s="13">
        <f t="shared" si="0"/>
        <v>1.18508589230085</v>
      </c>
      <c r="M59" s="14">
        <v>7.13</v>
      </c>
      <c r="N59" s="16">
        <f t="shared" si="1"/>
        <v>0.373476577840112</v>
      </c>
      <c r="Q59" s="14">
        <v>0.008251</v>
      </c>
      <c r="R59" s="17">
        <v>0.193641110168464</v>
      </c>
      <c r="S59" s="17">
        <f t="shared" si="2"/>
        <v>4.89520778676806</v>
      </c>
      <c r="V59" s="18">
        <v>0.791387</v>
      </c>
      <c r="Y59" s="14">
        <v>5.2609</v>
      </c>
      <c r="Z59" s="19">
        <f t="shared" si="3"/>
        <v>0.506165865156152</v>
      </c>
    </row>
    <row r="60" spans="1:26">
      <c r="A60" s="1" t="s">
        <v>80</v>
      </c>
      <c r="B60" s="1">
        <v>2763978</v>
      </c>
      <c r="C60" s="2">
        <v>0.000350345</v>
      </c>
      <c r="E60" s="14">
        <f t="shared" si="4"/>
        <v>1.68219920628441</v>
      </c>
      <c r="F60" s="11">
        <v>1.328950178</v>
      </c>
      <c r="G60" s="15">
        <v>2.23555893462313</v>
      </c>
      <c r="I60" s="14">
        <v>0.001396</v>
      </c>
      <c r="J60" s="13">
        <f t="shared" si="0"/>
        <v>1.97992693409742</v>
      </c>
      <c r="M60" s="14">
        <v>14.275</v>
      </c>
      <c r="N60" s="16">
        <f t="shared" si="1"/>
        <v>0.193623677758319</v>
      </c>
      <c r="Q60" s="14">
        <v>0.0115028</v>
      </c>
      <c r="R60" s="17">
        <v>0.14417244496992</v>
      </c>
      <c r="S60" s="17">
        <f t="shared" si="2"/>
        <v>15.5061456791522</v>
      </c>
      <c r="V60" s="18">
        <v>0.770683</v>
      </c>
      <c r="Y60" s="14">
        <v>4.7354</v>
      </c>
      <c r="Z60" s="19">
        <f t="shared" si="3"/>
        <v>0.583684166068336</v>
      </c>
    </row>
    <row r="61" spans="1:26">
      <c r="A61" s="1" t="s">
        <v>81</v>
      </c>
      <c r="B61" s="1">
        <v>2999964</v>
      </c>
      <c r="C61" s="2">
        <v>0</v>
      </c>
      <c r="E61" s="14">
        <f t="shared" si="4"/>
        <v>1.65279657894178</v>
      </c>
      <c r="F61" s="11">
        <v>2.496480498</v>
      </c>
      <c r="G61" s="15">
        <v>4.12617442648926</v>
      </c>
      <c r="I61" s="14">
        <v>0.001063</v>
      </c>
      <c r="J61" s="13">
        <f t="shared" si="0"/>
        <v>2.82216745061148</v>
      </c>
      <c r="M61" s="14">
        <v>6.091</v>
      </c>
      <c r="N61" s="16">
        <f t="shared" si="1"/>
        <v>0.492524051879823</v>
      </c>
      <c r="Q61" s="14">
        <v>0.00624649</v>
      </c>
      <c r="R61" s="17">
        <v>0.288158373742694</v>
      </c>
      <c r="S61" s="17">
        <f t="shared" si="2"/>
        <v>14.3191203257333</v>
      </c>
      <c r="V61" s="18">
        <v>3.20127</v>
      </c>
      <c r="Y61" s="14">
        <v>4.9652</v>
      </c>
      <c r="Z61" s="19">
        <f t="shared" si="3"/>
        <v>0.604198018206719</v>
      </c>
    </row>
    <row r="62" spans="1:26">
      <c r="A62" s="1" t="s">
        <v>82</v>
      </c>
      <c r="B62" s="1">
        <v>3076540</v>
      </c>
      <c r="C62" s="2">
        <v>0.0564748</v>
      </c>
      <c r="E62" s="14">
        <f t="shared" si="4"/>
        <v>1.18663326959831</v>
      </c>
      <c r="F62" s="11">
        <v>2.827827846</v>
      </c>
      <c r="G62" s="15">
        <v>3.35559460276014</v>
      </c>
      <c r="I62" s="14">
        <v>0.000895</v>
      </c>
      <c r="J62" s="13">
        <f t="shared" si="0"/>
        <v>3.4374748603352</v>
      </c>
      <c r="M62" s="14">
        <v>9.868</v>
      </c>
      <c r="N62" s="16">
        <f t="shared" si="1"/>
        <v>0.311769355492501</v>
      </c>
      <c r="Q62" s="14">
        <v>0.0113773</v>
      </c>
      <c r="R62" s="17">
        <v>0.162246227136491</v>
      </c>
      <c r="S62" s="17">
        <f t="shared" si="2"/>
        <v>20.6821117629886</v>
      </c>
      <c r="V62" s="18">
        <v>1.20358</v>
      </c>
      <c r="Y62" s="14">
        <v>3.3722</v>
      </c>
      <c r="Z62" s="19">
        <f t="shared" si="3"/>
        <v>0.912324298677421</v>
      </c>
    </row>
    <row r="63" spans="1:26">
      <c r="A63" s="1" t="s">
        <v>83</v>
      </c>
      <c r="B63" s="1">
        <v>3076540</v>
      </c>
      <c r="C63" s="2">
        <v>0.0564748</v>
      </c>
      <c r="E63" s="14">
        <f t="shared" si="4"/>
        <v>1.06376783542504</v>
      </c>
      <c r="F63" s="11">
        <v>3.143163645</v>
      </c>
      <c r="G63" s="15">
        <v>3.34359638702834</v>
      </c>
      <c r="I63" s="14">
        <v>0.000981</v>
      </c>
      <c r="J63" s="13">
        <f t="shared" si="0"/>
        <v>3.13612640163099</v>
      </c>
      <c r="M63" s="14">
        <v>9.536</v>
      </c>
      <c r="N63" s="16">
        <f t="shared" si="1"/>
        <v>0.322623741610738</v>
      </c>
      <c r="Q63" s="14">
        <v>0.0118431</v>
      </c>
      <c r="R63" s="17">
        <v>0.15586493401221</v>
      </c>
      <c r="S63" s="17">
        <f t="shared" si="2"/>
        <v>21.4518833772221</v>
      </c>
      <c r="V63" s="18">
        <v>1.21631</v>
      </c>
      <c r="Y63" s="14">
        <v>3.2419</v>
      </c>
      <c r="Z63" s="19">
        <f t="shared" si="3"/>
        <v>0.948992874548876</v>
      </c>
    </row>
    <row r="64" spans="1:26">
      <c r="A64" s="1" t="s">
        <v>84</v>
      </c>
      <c r="B64" s="1">
        <v>3082948</v>
      </c>
      <c r="C64" s="2">
        <v>0.00216259</v>
      </c>
      <c r="E64" s="14">
        <f t="shared" si="4"/>
        <v>0.973755686727437</v>
      </c>
      <c r="F64" s="11">
        <v>1.340439853</v>
      </c>
      <c r="G64" s="15">
        <v>1.30526092957484</v>
      </c>
      <c r="I64" s="14">
        <v>0.001338</v>
      </c>
      <c r="J64" s="13">
        <f t="shared" si="0"/>
        <v>2.30414648729447</v>
      </c>
      <c r="M64" s="14">
        <v>6.888</v>
      </c>
      <c r="N64" s="16">
        <f t="shared" si="1"/>
        <v>0.447582462253194</v>
      </c>
      <c r="Q64" s="14">
        <v>0.00879783</v>
      </c>
      <c r="R64" s="17">
        <v>0.210252846440543</v>
      </c>
      <c r="S64" s="17">
        <f t="shared" si="2"/>
        <v>6.20805354920107</v>
      </c>
      <c r="V64" s="18">
        <v>3.29111</v>
      </c>
      <c r="Y64" s="14">
        <v>5.6369</v>
      </c>
      <c r="Z64" s="19">
        <f t="shared" si="3"/>
        <v>0.546922599301034</v>
      </c>
    </row>
    <row r="65" spans="1:26">
      <c r="A65" s="1" t="s">
        <v>85</v>
      </c>
      <c r="B65" s="1">
        <v>3127604</v>
      </c>
      <c r="C65" s="2">
        <v>0.0848134</v>
      </c>
      <c r="E65" s="14">
        <f t="shared" si="4"/>
        <v>1.45901227347447</v>
      </c>
      <c r="F65" s="11">
        <v>1.262705577</v>
      </c>
      <c r="G65" s="15">
        <v>1.84230293462766</v>
      </c>
      <c r="I65" s="14">
        <v>0.001579</v>
      </c>
      <c r="J65" s="13">
        <f t="shared" si="0"/>
        <v>1.98074984167194</v>
      </c>
      <c r="M65" s="14">
        <v>12.889</v>
      </c>
      <c r="N65" s="16">
        <f t="shared" si="1"/>
        <v>0.24265683916518</v>
      </c>
      <c r="Q65" s="14">
        <v>0.0112628</v>
      </c>
      <c r="R65" s="17">
        <v>0.166615974713215</v>
      </c>
      <c r="S65" s="17">
        <f t="shared" si="2"/>
        <v>11.0571806682924</v>
      </c>
      <c r="V65" s="18">
        <v>0.804806</v>
      </c>
      <c r="Y65" s="14">
        <v>4.5574</v>
      </c>
      <c r="Z65" s="19">
        <f t="shared" si="3"/>
        <v>0.686269364111116</v>
      </c>
    </row>
    <row r="66" spans="1:26">
      <c r="A66" s="1" t="s">
        <v>86</v>
      </c>
      <c r="B66" s="1">
        <v>3127604</v>
      </c>
      <c r="C66" s="2">
        <v>0.0848134</v>
      </c>
      <c r="E66" s="14">
        <f t="shared" si="4"/>
        <v>1.98849592332301</v>
      </c>
      <c r="F66" s="11">
        <v>0.942779872</v>
      </c>
      <c r="G66" s="15">
        <v>1.87471393206299</v>
      </c>
      <c r="I66" s="14">
        <v>0.001557</v>
      </c>
      <c r="J66" s="13">
        <f t="shared" ref="J66:J129" si="5">B66/I66/1000000000</f>
        <v>2.00873731535003</v>
      </c>
      <c r="M66" s="14">
        <v>16.633</v>
      </c>
      <c r="N66" s="16">
        <f t="shared" ref="N66:N129" si="6">B66/M66/1000000</f>
        <v>0.188036072867192</v>
      </c>
      <c r="Q66" s="14">
        <v>0.0125899</v>
      </c>
      <c r="R66" s="17">
        <v>0.149053002803835</v>
      </c>
      <c r="S66" s="17">
        <f t="shared" ref="S66:S129" si="7">G66/R66</f>
        <v>12.5774985863938</v>
      </c>
      <c r="V66" s="18">
        <v>0.846289</v>
      </c>
      <c r="Y66" s="14">
        <v>4.5656</v>
      </c>
      <c r="Z66" s="19">
        <f t="shared" ref="Z66:Z129" si="8">B66/Y66/1000000</f>
        <v>0.685036796916068</v>
      </c>
    </row>
    <row r="67" spans="1:26">
      <c r="A67" s="1" t="s">
        <v>87</v>
      </c>
      <c r="B67" s="1">
        <v>3193930</v>
      </c>
      <c r="C67" s="2">
        <v>0.181876</v>
      </c>
      <c r="E67" s="14">
        <f t="shared" ref="E67:E130" si="9">G67/F67</f>
        <v>1.14127677818377</v>
      </c>
      <c r="F67" s="11">
        <v>1.657118711</v>
      </c>
      <c r="G67" s="15">
        <v>1.89123110355813</v>
      </c>
      <c r="I67" s="14">
        <v>0.001088</v>
      </c>
      <c r="J67" s="13">
        <f t="shared" si="5"/>
        <v>2.93559742647059</v>
      </c>
      <c r="M67" s="14">
        <v>42.619</v>
      </c>
      <c r="N67" s="16">
        <f t="shared" si="6"/>
        <v>0.0749414580351486</v>
      </c>
      <c r="Q67" s="14">
        <v>0.0114084</v>
      </c>
      <c r="R67" s="17">
        <v>0.167977805827285</v>
      </c>
      <c r="S67" s="17">
        <f t="shared" si="7"/>
        <v>11.2588153788763</v>
      </c>
      <c r="V67" s="18">
        <v>0.934221</v>
      </c>
      <c r="Y67" s="14">
        <v>4.3176</v>
      </c>
      <c r="Z67" s="19">
        <f t="shared" si="8"/>
        <v>0.739746618491755</v>
      </c>
    </row>
    <row r="68" spans="1:26">
      <c r="A68" s="1" t="s">
        <v>88</v>
      </c>
      <c r="B68" s="1">
        <v>3193930</v>
      </c>
      <c r="C68" s="2">
        <v>0.185133</v>
      </c>
      <c r="E68" s="14">
        <f t="shared" si="9"/>
        <v>1.14895024879951</v>
      </c>
      <c r="F68" s="11">
        <v>1.61148964</v>
      </c>
      <c r="G68" s="15">
        <v>1.85152142281584</v>
      </c>
      <c r="I68" s="14">
        <v>0.001134</v>
      </c>
      <c r="J68" s="13">
        <f t="shared" si="5"/>
        <v>2.81651675485009</v>
      </c>
      <c r="M68" s="14">
        <v>41.254</v>
      </c>
      <c r="N68" s="16">
        <f t="shared" si="6"/>
        <v>0.0774210985601396</v>
      </c>
      <c r="Q68" s="14">
        <v>0.0117512</v>
      </c>
      <c r="R68" s="17">
        <v>0.163077643134318</v>
      </c>
      <c r="S68" s="17">
        <f t="shared" si="7"/>
        <v>11.3536189708778</v>
      </c>
      <c r="V68" s="18">
        <v>0.920624</v>
      </c>
      <c r="Y68" s="14">
        <v>4.294</v>
      </c>
      <c r="Z68" s="19">
        <f t="shared" si="8"/>
        <v>0.743812296227294</v>
      </c>
    </row>
    <row r="69" spans="1:26">
      <c r="A69" s="1" t="s">
        <v>89</v>
      </c>
      <c r="B69" s="1">
        <v>3236648</v>
      </c>
      <c r="C69" s="2">
        <v>0.88936</v>
      </c>
      <c r="E69" s="14">
        <f t="shared" si="9"/>
        <v>2.82963143656879</v>
      </c>
      <c r="F69" s="11">
        <v>1.642288555</v>
      </c>
      <c r="G69" s="15">
        <v>4.64707132314513</v>
      </c>
      <c r="I69" s="14">
        <v>0.001041</v>
      </c>
      <c r="J69" s="13">
        <f t="shared" si="5"/>
        <v>3.10917195004803</v>
      </c>
      <c r="M69" s="14">
        <v>7.359</v>
      </c>
      <c r="N69" s="16">
        <f t="shared" si="6"/>
        <v>0.439821714906917</v>
      </c>
      <c r="Q69" s="14">
        <v>0.00689344</v>
      </c>
      <c r="R69" s="17">
        <v>0.281715486027296</v>
      </c>
      <c r="S69" s="17">
        <f t="shared" si="7"/>
        <v>16.4956189972988</v>
      </c>
      <c r="V69" s="18">
        <v>1.5967</v>
      </c>
      <c r="Y69" s="14">
        <v>2.9041</v>
      </c>
      <c r="Z69" s="19">
        <f t="shared" si="8"/>
        <v>1.11450983092869</v>
      </c>
    </row>
    <row r="70" spans="1:26">
      <c r="A70" s="1" t="s">
        <v>90</v>
      </c>
      <c r="B70" s="1">
        <v>3272244</v>
      </c>
      <c r="C70" s="2">
        <v>0</v>
      </c>
      <c r="E70" s="14">
        <f t="shared" si="9"/>
        <v>2.44830912030397</v>
      </c>
      <c r="F70" s="11">
        <v>1.062874033</v>
      </c>
      <c r="G70" s="15">
        <v>2.60224418872816</v>
      </c>
      <c r="I70" s="14">
        <v>0.001457</v>
      </c>
      <c r="J70" s="13">
        <f t="shared" si="5"/>
        <v>2.24587783115992</v>
      </c>
      <c r="M70" s="14">
        <v>6.387</v>
      </c>
      <c r="N70" s="16">
        <f t="shared" si="6"/>
        <v>0.512328792860498</v>
      </c>
      <c r="Q70" s="14">
        <v>0.00514345</v>
      </c>
      <c r="R70" s="17">
        <v>0.38171779642069</v>
      </c>
      <c r="S70" s="17">
        <f t="shared" si="7"/>
        <v>6.81719378328443</v>
      </c>
      <c r="V70" s="18">
        <v>1.62664</v>
      </c>
      <c r="Y70" s="14">
        <v>3.0779</v>
      </c>
      <c r="Z70" s="19">
        <f t="shared" si="8"/>
        <v>1.06314175249358</v>
      </c>
    </row>
    <row r="71" spans="1:26">
      <c r="A71" s="1" t="s">
        <v>91</v>
      </c>
      <c r="B71" s="1">
        <v>3272244</v>
      </c>
      <c r="C71" s="2">
        <v>0</v>
      </c>
      <c r="E71" s="14">
        <f t="shared" si="9"/>
        <v>1.60187131803047</v>
      </c>
      <c r="F71" s="11">
        <v>1.6042812</v>
      </c>
      <c r="G71" s="15">
        <v>2.5698520403355</v>
      </c>
      <c r="I71" s="14">
        <v>0.001526</v>
      </c>
      <c r="J71" s="13">
        <f t="shared" si="5"/>
        <v>2.14432765399738</v>
      </c>
      <c r="M71" s="14">
        <v>6.182</v>
      </c>
      <c r="N71" s="16">
        <f t="shared" si="6"/>
        <v>0.529318020058233</v>
      </c>
      <c r="Q71" s="14">
        <v>0.0052143</v>
      </c>
      <c r="R71" s="17">
        <v>0.376531154709165</v>
      </c>
      <c r="S71" s="17">
        <f t="shared" si="7"/>
        <v>6.82507146671693</v>
      </c>
      <c r="V71" s="18">
        <v>1.63369</v>
      </c>
      <c r="Y71" s="14">
        <v>3.0159</v>
      </c>
      <c r="Z71" s="19">
        <f t="shared" si="8"/>
        <v>1.08499751318015</v>
      </c>
    </row>
    <row r="72" spans="1:26">
      <c r="A72" s="1" t="s">
        <v>92</v>
      </c>
      <c r="B72" s="1">
        <v>3299664</v>
      </c>
      <c r="C72" s="2">
        <v>0</v>
      </c>
      <c r="E72" s="14">
        <f t="shared" si="9"/>
        <v>1.33165491159532</v>
      </c>
      <c r="F72" s="11">
        <v>1.114665146</v>
      </c>
      <c r="G72" s="15">
        <v>1.48434931645501</v>
      </c>
      <c r="I72" s="14">
        <v>0.002312</v>
      </c>
      <c r="J72" s="13">
        <f t="shared" si="5"/>
        <v>1.42719031141869</v>
      </c>
      <c r="M72" s="14">
        <v>9.865</v>
      </c>
      <c r="N72" s="16">
        <f t="shared" si="6"/>
        <v>0.334481905727319</v>
      </c>
      <c r="Q72" s="14">
        <v>0.00893084</v>
      </c>
      <c r="R72" s="17">
        <v>0.221681096067111</v>
      </c>
      <c r="S72" s="17">
        <f t="shared" si="7"/>
        <v>6.69587683744419</v>
      </c>
      <c r="V72" s="18">
        <v>0.776135</v>
      </c>
      <c r="Y72" s="14">
        <v>5.6937</v>
      </c>
      <c r="Z72" s="19">
        <f t="shared" si="8"/>
        <v>0.579528953053375</v>
      </c>
    </row>
    <row r="73" spans="1:26">
      <c r="A73" s="1" t="s">
        <v>93</v>
      </c>
      <c r="B73" s="1">
        <v>3312964</v>
      </c>
      <c r="C73" s="2">
        <v>0.382998</v>
      </c>
      <c r="E73" s="14">
        <f t="shared" si="9"/>
        <v>1.10823387287186</v>
      </c>
      <c r="F73" s="11">
        <v>0.869087428</v>
      </c>
      <c r="G73" s="15">
        <v>0.963152126196685</v>
      </c>
      <c r="I73" s="14">
        <v>0.003498</v>
      </c>
      <c r="J73" s="13">
        <f t="shared" si="5"/>
        <v>0.947102344196684</v>
      </c>
      <c r="M73" s="14">
        <v>9.345</v>
      </c>
      <c r="N73" s="16">
        <f t="shared" si="6"/>
        <v>0.354517281968967</v>
      </c>
      <c r="Q73" s="14">
        <v>0.0102492</v>
      </c>
      <c r="R73" s="17">
        <v>0.193944737150217</v>
      </c>
      <c r="S73" s="17">
        <f t="shared" si="7"/>
        <v>4.96611632957428</v>
      </c>
      <c r="V73" s="18">
        <v>0.521306</v>
      </c>
      <c r="Y73" s="14">
        <v>6.4531</v>
      </c>
      <c r="Z73" s="19">
        <f t="shared" si="8"/>
        <v>0.513391083355287</v>
      </c>
    </row>
    <row r="74" spans="1:26">
      <c r="A74" s="1" t="s">
        <v>94</v>
      </c>
      <c r="B74" s="1">
        <v>3539034</v>
      </c>
      <c r="C74" s="2">
        <v>1</v>
      </c>
      <c r="E74" s="14">
        <f t="shared" si="9"/>
        <v>2.8390604652388</v>
      </c>
      <c r="F74" s="11">
        <v>4.084695779</v>
      </c>
      <c r="G74" s="15">
        <v>11.5966982986867</v>
      </c>
      <c r="I74" s="14">
        <v>0.000746</v>
      </c>
      <c r="J74" s="13">
        <f t="shared" si="5"/>
        <v>4.74401340482574</v>
      </c>
      <c r="M74" s="14">
        <v>4.994</v>
      </c>
      <c r="N74" s="16">
        <f t="shared" si="6"/>
        <v>0.708657188626352</v>
      </c>
      <c r="Q74" s="14">
        <v>0.00411515</v>
      </c>
      <c r="R74" s="17">
        <v>0.516000729013523</v>
      </c>
      <c r="S74" s="17">
        <f t="shared" si="7"/>
        <v>22.4741897571675</v>
      </c>
      <c r="V74" s="18">
        <v>1.59572</v>
      </c>
      <c r="Y74" s="14">
        <v>2.1383</v>
      </c>
      <c r="Z74" s="19">
        <f t="shared" si="8"/>
        <v>1.65506898003087</v>
      </c>
    </row>
    <row r="75" spans="1:26">
      <c r="A75" s="1" t="s">
        <v>95</v>
      </c>
      <c r="B75" s="1">
        <v>3608342</v>
      </c>
      <c r="C75" s="2">
        <v>0</v>
      </c>
      <c r="E75" s="14">
        <f t="shared" si="9"/>
        <v>1.68531047316696</v>
      </c>
      <c r="F75" s="11">
        <v>1.266356791</v>
      </c>
      <c r="G75" s="15">
        <v>2.1342043626384</v>
      </c>
      <c r="I75" s="14">
        <v>0.001679</v>
      </c>
      <c r="J75" s="13">
        <f t="shared" si="5"/>
        <v>2.14910184633711</v>
      </c>
      <c r="M75" s="14">
        <v>9.915</v>
      </c>
      <c r="N75" s="16">
        <f t="shared" si="6"/>
        <v>0.363927584467978</v>
      </c>
      <c r="Q75" s="14">
        <v>0.0119443</v>
      </c>
      <c r="R75" s="17">
        <v>0.181258441264871</v>
      </c>
      <c r="S75" s="17">
        <f t="shared" si="7"/>
        <v>11.7743722595502</v>
      </c>
      <c r="V75" s="18">
        <v>1.04171</v>
      </c>
      <c r="Y75" s="14">
        <v>5.5435</v>
      </c>
      <c r="Z75" s="19">
        <f t="shared" si="8"/>
        <v>0.650914043474339</v>
      </c>
    </row>
    <row r="76" spans="1:26">
      <c r="A76" s="1" t="s">
        <v>96</v>
      </c>
      <c r="B76" s="1">
        <v>3645632</v>
      </c>
      <c r="C76" s="2">
        <v>0</v>
      </c>
      <c r="E76" s="14">
        <f t="shared" si="9"/>
        <v>1.75436227664303</v>
      </c>
      <c r="F76" s="11">
        <v>1.371207999</v>
      </c>
      <c r="G76" s="15">
        <v>2.40559558687677</v>
      </c>
      <c r="I76" s="14">
        <v>0.002198</v>
      </c>
      <c r="J76" s="13">
        <f t="shared" si="5"/>
        <v>1.65861328480437</v>
      </c>
      <c r="M76" s="14">
        <v>9.94</v>
      </c>
      <c r="N76" s="16">
        <f t="shared" si="6"/>
        <v>0.366763782696177</v>
      </c>
      <c r="Q76" s="14">
        <v>0.00939524</v>
      </c>
      <c r="R76" s="17">
        <v>0.232817809869679</v>
      </c>
      <c r="S76" s="17">
        <f t="shared" si="7"/>
        <v>10.3325239088166</v>
      </c>
      <c r="V76" s="18">
        <v>1.39334</v>
      </c>
      <c r="Y76" s="14">
        <v>3.9628</v>
      </c>
      <c r="Z76" s="19">
        <f t="shared" si="8"/>
        <v>0.919963662057131</v>
      </c>
    </row>
    <row r="77" spans="1:26">
      <c r="A77" s="1" t="s">
        <v>97</v>
      </c>
      <c r="B77" s="1">
        <v>3646748</v>
      </c>
      <c r="C77" s="2">
        <v>0.0151286</v>
      </c>
      <c r="E77" s="14">
        <f t="shared" si="9"/>
        <v>1.95461401542912</v>
      </c>
      <c r="F77" s="11">
        <v>1.628660994</v>
      </c>
      <c r="G77" s="15">
        <v>3.18340360525512</v>
      </c>
      <c r="I77" s="14">
        <v>0.001772</v>
      </c>
      <c r="J77" s="13">
        <f t="shared" si="5"/>
        <v>2.0579841986456</v>
      </c>
      <c r="M77" s="14">
        <v>9.146</v>
      </c>
      <c r="N77" s="16">
        <f t="shared" si="6"/>
        <v>0.39872600043735</v>
      </c>
      <c r="Q77" s="14">
        <v>0.00981299</v>
      </c>
      <c r="R77" s="17">
        <v>0.222974730433843</v>
      </c>
      <c r="S77" s="17">
        <f t="shared" si="7"/>
        <v>14.2769703053846</v>
      </c>
      <c r="V77" s="18">
        <v>1.49875</v>
      </c>
      <c r="Y77" s="14">
        <v>4.002</v>
      </c>
      <c r="Z77" s="19">
        <f t="shared" si="8"/>
        <v>0.911231384307846</v>
      </c>
    </row>
    <row r="78" spans="1:26">
      <c r="A78" s="1" t="s">
        <v>98</v>
      </c>
      <c r="B78" s="1">
        <v>3915844</v>
      </c>
      <c r="C78" s="2">
        <v>0.0610972</v>
      </c>
      <c r="E78" s="14">
        <f t="shared" si="9"/>
        <v>1.41995888925713</v>
      </c>
      <c r="F78" s="11">
        <v>1.164236966</v>
      </c>
      <c r="G78" s="15">
        <v>1.65316862907345</v>
      </c>
      <c r="I78" s="14">
        <v>0.001854</v>
      </c>
      <c r="J78" s="13">
        <f t="shared" si="5"/>
        <v>2.11210571736785</v>
      </c>
      <c r="M78" s="14">
        <v>20.652</v>
      </c>
      <c r="N78" s="16">
        <f t="shared" si="6"/>
        <v>0.189610885144296</v>
      </c>
      <c r="Q78" s="14">
        <v>0.0102891</v>
      </c>
      <c r="R78" s="17">
        <v>0.228349068431641</v>
      </c>
      <c r="S78" s="17">
        <f t="shared" si="7"/>
        <v>7.2396556746556</v>
      </c>
      <c r="V78" s="18">
        <v>0.886667</v>
      </c>
      <c r="Y78" s="14">
        <v>5.2822</v>
      </c>
      <c r="Z78" s="19">
        <f t="shared" si="8"/>
        <v>0.741328234447768</v>
      </c>
    </row>
    <row r="79" spans="1:26">
      <c r="A79" s="1" t="s">
        <v>99</v>
      </c>
      <c r="B79" s="1">
        <v>3915844</v>
      </c>
      <c r="C79" s="2">
        <v>0.0610972</v>
      </c>
      <c r="E79" s="14">
        <f t="shared" si="9"/>
        <v>1.83868286452875</v>
      </c>
      <c r="F79" s="11">
        <v>0.918540566</v>
      </c>
      <c r="G79" s="15">
        <v>1.68890479907874</v>
      </c>
      <c r="I79" s="14">
        <v>0.00183</v>
      </c>
      <c r="J79" s="13">
        <f t="shared" si="5"/>
        <v>2.13980546448087</v>
      </c>
      <c r="M79" s="14">
        <v>20.338</v>
      </c>
      <c r="N79" s="16">
        <f t="shared" si="6"/>
        <v>0.19253830268463</v>
      </c>
      <c r="Q79" s="14">
        <v>0.0118225</v>
      </c>
      <c r="R79" s="17">
        <v>0.198731774159442</v>
      </c>
      <c r="S79" s="17">
        <f t="shared" si="7"/>
        <v>8.49841353362918</v>
      </c>
      <c r="V79" s="18">
        <v>0.916375</v>
      </c>
      <c r="Y79" s="14">
        <v>5.2183</v>
      </c>
      <c r="Z79" s="19">
        <f t="shared" si="8"/>
        <v>0.750406070942644</v>
      </c>
    </row>
    <row r="80" spans="1:26">
      <c r="A80" s="1" t="s">
        <v>100</v>
      </c>
      <c r="B80" s="1">
        <v>4058450</v>
      </c>
      <c r="C80" s="2">
        <v>0.195903</v>
      </c>
      <c r="E80" s="14">
        <f t="shared" si="9"/>
        <v>1.39316692004271</v>
      </c>
      <c r="F80" s="11">
        <v>1.31891968</v>
      </c>
      <c r="G80" s="15">
        <v>1.83747526836932</v>
      </c>
      <c r="I80" s="14">
        <v>0.011365</v>
      </c>
      <c r="J80" s="13">
        <f t="shared" si="5"/>
        <v>0.357100747910251</v>
      </c>
      <c r="M80" s="14">
        <v>57.473</v>
      </c>
      <c r="N80" s="16">
        <f t="shared" si="6"/>
        <v>0.0706148974300976</v>
      </c>
      <c r="Q80" s="14">
        <v>0.0127376</v>
      </c>
      <c r="R80" s="17">
        <v>0.19117180630574</v>
      </c>
      <c r="S80" s="17">
        <f t="shared" si="7"/>
        <v>9.61164359890316</v>
      </c>
      <c r="V80" s="18">
        <v>0.926886</v>
      </c>
      <c r="Y80" s="14">
        <v>4.5936</v>
      </c>
      <c r="Z80" s="19">
        <f t="shared" si="8"/>
        <v>0.883500957854406</v>
      </c>
    </row>
    <row r="81" spans="1:26">
      <c r="A81" s="1" t="s">
        <v>101</v>
      </c>
      <c r="B81" s="1">
        <v>4058450</v>
      </c>
      <c r="C81" s="2">
        <v>0.195903</v>
      </c>
      <c r="E81" s="14">
        <f t="shared" si="9"/>
        <v>1.38771116565238</v>
      </c>
      <c r="F81" s="11">
        <v>1.335496589</v>
      </c>
      <c r="G81" s="15">
        <v>1.85328352824597</v>
      </c>
      <c r="I81" s="14">
        <v>0.011277</v>
      </c>
      <c r="J81" s="13">
        <f t="shared" si="5"/>
        <v>0.359887381395761</v>
      </c>
      <c r="M81" s="14">
        <v>53.955</v>
      </c>
      <c r="N81" s="16">
        <f t="shared" si="6"/>
        <v>0.0752191641182467</v>
      </c>
      <c r="Q81" s="14">
        <v>0.0133134</v>
      </c>
      <c r="R81" s="17">
        <v>0.182903691018072</v>
      </c>
      <c r="S81" s="17">
        <f t="shared" si="7"/>
        <v>10.1325649467777</v>
      </c>
      <c r="V81" s="18">
        <v>0.941246</v>
      </c>
      <c r="Y81" s="14">
        <v>4.7037</v>
      </c>
      <c r="Z81" s="19">
        <f t="shared" si="8"/>
        <v>0.862820758126581</v>
      </c>
    </row>
    <row r="82" spans="1:26">
      <c r="A82" s="1" t="s">
        <v>102</v>
      </c>
      <c r="B82" s="1">
        <v>4092266</v>
      </c>
      <c r="C82" s="2">
        <v>0.308342</v>
      </c>
      <c r="E82" s="14">
        <f t="shared" si="9"/>
        <v>2.72949717817231</v>
      </c>
      <c r="F82" s="11">
        <v>2.910766459</v>
      </c>
      <c r="G82" s="15">
        <v>7.94492883615911</v>
      </c>
      <c r="I82" s="14">
        <v>0.001098</v>
      </c>
      <c r="J82" s="13">
        <f t="shared" si="5"/>
        <v>3.72701821493625</v>
      </c>
      <c r="M82" s="14">
        <v>5.684</v>
      </c>
      <c r="N82" s="16">
        <f t="shared" si="6"/>
        <v>0.719962350457424</v>
      </c>
      <c r="Q82" s="14">
        <v>0.00350205</v>
      </c>
      <c r="R82" s="17">
        <v>0.701120657900373</v>
      </c>
      <c r="S82" s="17">
        <f t="shared" si="7"/>
        <v>11.3317568761297</v>
      </c>
      <c r="V82" s="18">
        <v>2.26411</v>
      </c>
      <c r="Y82" s="14">
        <v>2.65</v>
      </c>
      <c r="Z82" s="19">
        <f t="shared" si="8"/>
        <v>1.54425132075472</v>
      </c>
    </row>
    <row r="83" spans="1:26">
      <c r="A83" s="1" t="s">
        <v>103</v>
      </c>
      <c r="B83" s="1">
        <v>4123318</v>
      </c>
      <c r="C83" s="2">
        <v>0.0130902</v>
      </c>
      <c r="E83" s="14">
        <f t="shared" si="9"/>
        <v>1.34545166340667</v>
      </c>
      <c r="F83" s="11">
        <v>0.892625946</v>
      </c>
      <c r="G83" s="15">
        <v>1.20098506384565</v>
      </c>
      <c r="I83" s="14">
        <v>0.003185</v>
      </c>
      <c r="J83" s="13">
        <f t="shared" si="5"/>
        <v>1.29460533751962</v>
      </c>
      <c r="M83" s="14">
        <v>8.775</v>
      </c>
      <c r="N83" s="16">
        <f t="shared" si="6"/>
        <v>0.469893789173789</v>
      </c>
      <c r="Q83" s="14">
        <v>0.00808819</v>
      </c>
      <c r="R83" s="17">
        <v>0.305876939092677</v>
      </c>
      <c r="S83" s="17">
        <f t="shared" si="7"/>
        <v>3.92636681734861</v>
      </c>
      <c r="V83" s="18">
        <v>0.748469</v>
      </c>
      <c r="Y83" s="14">
        <v>7.6481</v>
      </c>
      <c r="Z83" s="19">
        <f t="shared" si="8"/>
        <v>0.539129718492175</v>
      </c>
    </row>
    <row r="84" spans="1:26">
      <c r="A84" s="1" t="s">
        <v>104</v>
      </c>
      <c r="B84" s="1">
        <v>4158036</v>
      </c>
      <c r="C84" s="2">
        <v>0.036194</v>
      </c>
      <c r="E84" s="14">
        <f t="shared" si="9"/>
        <v>3.06205620602493</v>
      </c>
      <c r="F84" s="11">
        <v>1.413181025</v>
      </c>
      <c r="G84" s="15">
        <v>4.32723972783792</v>
      </c>
      <c r="I84" s="14">
        <v>0.001062</v>
      </c>
      <c r="J84" s="13">
        <f t="shared" si="5"/>
        <v>3.91528813559322</v>
      </c>
      <c r="M84" s="14">
        <v>9.461</v>
      </c>
      <c r="N84" s="16">
        <f t="shared" si="6"/>
        <v>0.439492231265194</v>
      </c>
      <c r="Q84" s="14">
        <v>0.00689717</v>
      </c>
      <c r="R84" s="17">
        <v>0.361716704097478</v>
      </c>
      <c r="S84" s="17">
        <f t="shared" si="7"/>
        <v>11.9630630236855</v>
      </c>
      <c r="V84" s="18">
        <v>1.68804</v>
      </c>
      <c r="Y84" s="14">
        <v>4.2927</v>
      </c>
      <c r="Z84" s="19">
        <f t="shared" si="8"/>
        <v>0.968629533859808</v>
      </c>
    </row>
    <row r="85" spans="1:26">
      <c r="A85" s="1" t="s">
        <v>105</v>
      </c>
      <c r="B85" s="1">
        <v>4190266</v>
      </c>
      <c r="C85" s="2">
        <v>0</v>
      </c>
      <c r="E85" s="14">
        <f t="shared" si="9"/>
        <v>2.09336089647405</v>
      </c>
      <c r="F85" s="11">
        <v>3.468297242</v>
      </c>
      <c r="G85" s="15">
        <v>7.2603978237516</v>
      </c>
      <c r="I85" s="14">
        <v>0.001405</v>
      </c>
      <c r="J85" s="13">
        <f t="shared" si="5"/>
        <v>2.98239572953737</v>
      </c>
      <c r="M85" s="14">
        <v>6.6</v>
      </c>
      <c r="N85" s="16">
        <f t="shared" si="6"/>
        <v>0.634888787878788</v>
      </c>
      <c r="Q85" s="14">
        <v>0.00473553</v>
      </c>
      <c r="R85" s="17">
        <v>0.530914089869561</v>
      </c>
      <c r="S85" s="17">
        <f t="shared" si="7"/>
        <v>13.6752780954361</v>
      </c>
      <c r="V85" s="18">
        <v>1.4381</v>
      </c>
      <c r="Y85" s="14">
        <v>3.2033</v>
      </c>
      <c r="Z85" s="19">
        <f t="shared" si="8"/>
        <v>1.308109137452</v>
      </c>
    </row>
    <row r="86" spans="1:26">
      <c r="A86" s="1" t="s">
        <v>106</v>
      </c>
      <c r="B86" s="1">
        <v>4204944</v>
      </c>
      <c r="C86" s="2">
        <v>0.0241357</v>
      </c>
      <c r="E86" s="14">
        <f t="shared" si="9"/>
        <v>1.27009084981998</v>
      </c>
      <c r="F86" s="11">
        <v>2.013196977</v>
      </c>
      <c r="G86" s="15">
        <v>2.55694305937295</v>
      </c>
      <c r="I86" s="14">
        <v>0.001752</v>
      </c>
      <c r="J86" s="13">
        <f t="shared" si="5"/>
        <v>2.40008219178082</v>
      </c>
      <c r="M86" s="14">
        <v>7.388</v>
      </c>
      <c r="N86" s="16">
        <f t="shared" si="6"/>
        <v>0.569158635625338</v>
      </c>
      <c r="Q86" s="14">
        <v>0.00659048</v>
      </c>
      <c r="R86" s="17">
        <v>0.382819824959639</v>
      </c>
      <c r="S86" s="17">
        <f t="shared" si="7"/>
        <v>6.67923365683199</v>
      </c>
      <c r="V86" s="18">
        <v>3.22527</v>
      </c>
      <c r="Y86" s="14">
        <v>4.6757</v>
      </c>
      <c r="Z86" s="19">
        <f t="shared" si="8"/>
        <v>0.8993186047009</v>
      </c>
    </row>
    <row r="87" spans="1:26">
      <c r="A87" s="1" t="s">
        <v>107</v>
      </c>
      <c r="B87" s="1">
        <v>4344174</v>
      </c>
      <c r="C87" s="2">
        <v>0.00292969</v>
      </c>
      <c r="E87" s="14">
        <f t="shared" si="9"/>
        <v>0.968625273266542</v>
      </c>
      <c r="F87" s="11">
        <v>1.521543388</v>
      </c>
      <c r="G87" s="15">
        <v>1.4738053799884</v>
      </c>
      <c r="I87" s="14">
        <v>0.003489</v>
      </c>
      <c r="J87" s="13">
        <f t="shared" si="5"/>
        <v>1.24510576096303</v>
      </c>
      <c r="M87" s="14">
        <v>12.238</v>
      </c>
      <c r="N87" s="16">
        <f t="shared" si="6"/>
        <v>0.354974178787384</v>
      </c>
      <c r="Q87" s="14">
        <v>0.0115053</v>
      </c>
      <c r="R87" s="17">
        <v>0.226548147375557</v>
      </c>
      <c r="S87" s="17">
        <f t="shared" si="7"/>
        <v>6.50548414128154</v>
      </c>
      <c r="V87" s="18">
        <v>1.39225</v>
      </c>
      <c r="Y87" s="14">
        <v>4.2131</v>
      </c>
      <c r="Z87" s="19">
        <f t="shared" si="8"/>
        <v>1.03111105836557</v>
      </c>
    </row>
    <row r="88" spans="1:26">
      <c r="A88" s="1" t="s">
        <v>108</v>
      </c>
      <c r="B88" s="1">
        <v>4347284</v>
      </c>
      <c r="C88" s="2">
        <v>0</v>
      </c>
      <c r="E88" s="14">
        <f t="shared" si="9"/>
        <v>1.95593855570596</v>
      </c>
      <c r="F88" s="11">
        <v>1.615901336</v>
      </c>
      <c r="G88" s="15">
        <v>3.16060372529917</v>
      </c>
      <c r="I88" s="14">
        <v>0.002204</v>
      </c>
      <c r="J88" s="13">
        <f t="shared" si="5"/>
        <v>1.97245190562613</v>
      </c>
      <c r="M88" s="14">
        <v>11.464</v>
      </c>
      <c r="N88" s="16">
        <f t="shared" si="6"/>
        <v>0.379211793440335</v>
      </c>
      <c r="Q88" s="14">
        <v>0.00944438</v>
      </c>
      <c r="R88" s="17">
        <v>0.276182279832027</v>
      </c>
      <c r="S88" s="17">
        <f t="shared" si="7"/>
        <v>11.4439048269912</v>
      </c>
      <c r="V88" s="18">
        <v>1.55851</v>
      </c>
      <c r="Y88" s="14">
        <v>4.5551</v>
      </c>
      <c r="Z88" s="19">
        <f t="shared" si="8"/>
        <v>0.954377291387675</v>
      </c>
    </row>
    <row r="89" spans="1:26">
      <c r="A89" s="1" t="s">
        <v>109</v>
      </c>
      <c r="B89" s="1">
        <v>4449732</v>
      </c>
      <c r="C89" s="2">
        <v>0.00349528</v>
      </c>
      <c r="E89" s="14">
        <f t="shared" si="9"/>
        <v>2.10544249734677</v>
      </c>
      <c r="F89" s="11">
        <v>1.102882478</v>
      </c>
      <c r="G89" s="15">
        <v>2.32205563876031</v>
      </c>
      <c r="I89" s="14">
        <v>0.002313</v>
      </c>
      <c r="J89" s="13">
        <f t="shared" si="5"/>
        <v>1.92379247730221</v>
      </c>
      <c r="M89" s="14">
        <v>15.214</v>
      </c>
      <c r="N89" s="16">
        <f t="shared" si="6"/>
        <v>0.292476140397003</v>
      </c>
      <c r="Q89" s="14">
        <v>0.00597257</v>
      </c>
      <c r="R89" s="17">
        <v>0.447016811858212</v>
      </c>
      <c r="S89" s="17">
        <f t="shared" si="7"/>
        <v>5.19455997439496</v>
      </c>
      <c r="V89" s="18">
        <v>1.06313</v>
      </c>
      <c r="Y89" s="14">
        <v>5.4343</v>
      </c>
      <c r="Z89" s="19">
        <f t="shared" si="8"/>
        <v>0.818823399517877</v>
      </c>
    </row>
    <row r="90" spans="1:26">
      <c r="A90" s="1" t="s">
        <v>110</v>
      </c>
      <c r="B90" s="1">
        <v>4489996</v>
      </c>
      <c r="C90" s="2">
        <v>0</v>
      </c>
      <c r="E90" s="14">
        <f t="shared" si="9"/>
        <v>1.19147974548208</v>
      </c>
      <c r="F90" s="11">
        <v>1.126906351</v>
      </c>
      <c r="G90" s="15">
        <v>1.34268609227162</v>
      </c>
      <c r="I90" s="14">
        <v>0.004117</v>
      </c>
      <c r="J90" s="13">
        <f t="shared" si="5"/>
        <v>1.09059897983969</v>
      </c>
      <c r="M90" s="14">
        <v>11.864</v>
      </c>
      <c r="N90" s="16">
        <f t="shared" si="6"/>
        <v>0.378455495616993</v>
      </c>
      <c r="Q90" s="14">
        <v>0.0093645</v>
      </c>
      <c r="R90" s="17">
        <v>0.287681947781515</v>
      </c>
      <c r="S90" s="17">
        <f t="shared" si="7"/>
        <v>4.6672587648473</v>
      </c>
      <c r="V90" s="18">
        <v>0.79098</v>
      </c>
      <c r="Y90" s="14">
        <v>6.5041</v>
      </c>
      <c r="Z90" s="19">
        <f t="shared" si="8"/>
        <v>0.690333174459187</v>
      </c>
    </row>
    <row r="91" spans="1:26">
      <c r="A91" s="1" t="s">
        <v>111</v>
      </c>
      <c r="B91" s="1">
        <v>4527402</v>
      </c>
      <c r="C91" s="2">
        <v>0.0437615</v>
      </c>
      <c r="E91" s="14">
        <f t="shared" si="9"/>
        <v>0.889576155356106</v>
      </c>
      <c r="F91" s="11">
        <v>1.149438596</v>
      </c>
      <c r="G91" s="15">
        <v>1.0225131670476</v>
      </c>
      <c r="I91" s="14">
        <v>0.013245</v>
      </c>
      <c r="J91" s="13">
        <f t="shared" si="5"/>
        <v>0.341819705549264</v>
      </c>
      <c r="M91" s="14">
        <v>8.956</v>
      </c>
      <c r="N91" s="16">
        <f t="shared" si="6"/>
        <v>0.505516078606521</v>
      </c>
      <c r="Q91" s="14">
        <v>0.00870129</v>
      </c>
      <c r="R91" s="17">
        <v>0.312188330695793</v>
      </c>
      <c r="S91" s="17">
        <f t="shared" si="7"/>
        <v>3.27530873677649</v>
      </c>
      <c r="V91" s="18">
        <v>0.744566</v>
      </c>
      <c r="Y91" s="14">
        <v>8.154</v>
      </c>
      <c r="Z91" s="19">
        <f t="shared" si="8"/>
        <v>0.555236938925681</v>
      </c>
    </row>
    <row r="92" spans="1:26">
      <c r="A92" s="1" t="s">
        <v>112</v>
      </c>
      <c r="B92" s="1">
        <v>4572198</v>
      </c>
      <c r="C92" s="2">
        <v>1</v>
      </c>
      <c r="E92" s="14">
        <f t="shared" si="9"/>
        <v>2.88874819759094</v>
      </c>
      <c r="F92" s="11">
        <v>6.350272645</v>
      </c>
      <c r="G92" s="15">
        <v>18.3443386574548</v>
      </c>
      <c r="I92" s="14">
        <v>0.000969</v>
      </c>
      <c r="J92" s="13">
        <f t="shared" si="5"/>
        <v>4.71847058823529</v>
      </c>
      <c r="M92" s="14">
        <v>3.888</v>
      </c>
      <c r="N92" s="16">
        <f t="shared" si="6"/>
        <v>1.17597685185185</v>
      </c>
      <c r="Q92" s="14">
        <v>0.00488856</v>
      </c>
      <c r="R92" s="17">
        <v>0.561171142422308</v>
      </c>
      <c r="S92" s="17">
        <f t="shared" si="7"/>
        <v>32.689383453096</v>
      </c>
      <c r="V92" s="18">
        <v>2.71999</v>
      </c>
      <c r="Y92" s="14">
        <v>1.8936</v>
      </c>
      <c r="Z92" s="19">
        <f t="shared" si="8"/>
        <v>2.41455323193916</v>
      </c>
    </row>
    <row r="93" spans="1:26">
      <c r="A93" s="1" t="s">
        <v>113</v>
      </c>
      <c r="B93" s="1">
        <v>4595084</v>
      </c>
      <c r="C93" s="2">
        <v>0</v>
      </c>
      <c r="E93" s="14">
        <f t="shared" si="9"/>
        <v>1.52418924811567</v>
      </c>
      <c r="F93" s="11">
        <v>1.1949395</v>
      </c>
      <c r="G93" s="15">
        <v>1.82131393804871</v>
      </c>
      <c r="I93" s="14">
        <v>0.002307</v>
      </c>
      <c r="J93" s="13">
        <f t="shared" si="5"/>
        <v>1.99180060684872</v>
      </c>
      <c r="M93" s="14">
        <v>12.206</v>
      </c>
      <c r="N93" s="16">
        <f t="shared" si="6"/>
        <v>0.376461084712437</v>
      </c>
      <c r="Q93" s="14">
        <v>0.0101523</v>
      </c>
      <c r="R93" s="17">
        <v>0.271569043467983</v>
      </c>
      <c r="S93" s="17">
        <f t="shared" si="7"/>
        <v>6.70663310806792</v>
      </c>
      <c r="V93" s="18">
        <v>1.34231</v>
      </c>
      <c r="Y93" s="14">
        <v>5.3826</v>
      </c>
      <c r="Z93" s="19">
        <f t="shared" si="8"/>
        <v>0.853692267677331</v>
      </c>
    </row>
    <row r="94" spans="1:26">
      <c r="A94" s="1" t="s">
        <v>114</v>
      </c>
      <c r="B94" s="1">
        <v>4704084</v>
      </c>
      <c r="C94" s="2">
        <v>0.0603407</v>
      </c>
      <c r="E94" s="14">
        <f t="shared" si="9"/>
        <v>1.14425443857484</v>
      </c>
      <c r="F94" s="11">
        <v>1.440708464</v>
      </c>
      <c r="G94" s="15">
        <v>1.64853705462434</v>
      </c>
      <c r="I94" s="14">
        <v>0.001965</v>
      </c>
      <c r="J94" s="13">
        <f t="shared" si="5"/>
        <v>2.39393587786259</v>
      </c>
      <c r="M94" s="14">
        <v>24.724</v>
      </c>
      <c r="N94" s="16">
        <f t="shared" si="6"/>
        <v>0.190263873159683</v>
      </c>
      <c r="Q94" s="14">
        <v>0.0125959</v>
      </c>
      <c r="R94" s="17">
        <v>0.224076913916433</v>
      </c>
      <c r="S94" s="17">
        <f t="shared" si="7"/>
        <v>7.35701427608533</v>
      </c>
      <c r="V94" s="18">
        <v>0.900469</v>
      </c>
      <c r="Y94" s="14">
        <v>5.9483</v>
      </c>
      <c r="Z94" s="19">
        <f t="shared" si="8"/>
        <v>0.790828303885144</v>
      </c>
    </row>
    <row r="95" spans="1:26">
      <c r="A95" s="1" t="s">
        <v>115</v>
      </c>
      <c r="B95" s="1">
        <v>4704084</v>
      </c>
      <c r="C95" s="2">
        <v>0.0563232</v>
      </c>
      <c r="E95" s="14">
        <f t="shared" si="9"/>
        <v>0.996419951571641</v>
      </c>
      <c r="F95" s="11">
        <v>1.452727097</v>
      </c>
      <c r="G95" s="15">
        <v>1.44752626363955</v>
      </c>
      <c r="I95" s="14">
        <v>0.001998</v>
      </c>
      <c r="J95" s="13">
        <f t="shared" si="5"/>
        <v>2.3543963963964</v>
      </c>
      <c r="M95" s="14">
        <v>24.28</v>
      </c>
      <c r="N95" s="16">
        <f t="shared" si="6"/>
        <v>0.193743163097199</v>
      </c>
      <c r="Q95" s="14">
        <v>0.0129382</v>
      </c>
      <c r="R95" s="17">
        <v>0.218148614181262</v>
      </c>
      <c r="S95" s="17">
        <f t="shared" si="7"/>
        <v>6.63550519939029</v>
      </c>
      <c r="V95" s="18">
        <v>1.0286</v>
      </c>
      <c r="Y95" s="14">
        <v>5.5177</v>
      </c>
      <c r="Z95" s="19">
        <f t="shared" si="8"/>
        <v>0.852544357250304</v>
      </c>
    </row>
    <row r="96" spans="1:26">
      <c r="A96" s="1" t="s">
        <v>116</v>
      </c>
      <c r="B96" s="1">
        <v>4726912</v>
      </c>
      <c r="C96" s="2">
        <v>0.000166016</v>
      </c>
      <c r="E96" s="14">
        <f t="shared" si="9"/>
        <v>1.04532276134017</v>
      </c>
      <c r="F96" s="11">
        <v>1.323876248</v>
      </c>
      <c r="G96" s="15">
        <v>1.38387797523202</v>
      </c>
      <c r="I96" s="14">
        <v>0.003986</v>
      </c>
      <c r="J96" s="13">
        <f t="shared" si="5"/>
        <v>1.18587857501254</v>
      </c>
      <c r="M96" s="14">
        <v>12.017</v>
      </c>
      <c r="N96" s="16">
        <f t="shared" si="6"/>
        <v>0.393352084546892</v>
      </c>
      <c r="Q96" s="14">
        <v>0.00929607</v>
      </c>
      <c r="R96" s="17">
        <v>0.305090990063543</v>
      </c>
      <c r="S96" s="17">
        <f t="shared" si="7"/>
        <v>4.53595163509677</v>
      </c>
      <c r="V96" s="18">
        <v>0.796662</v>
      </c>
      <c r="Y96" s="14">
        <v>7.2372</v>
      </c>
      <c r="Z96" s="19">
        <f t="shared" si="8"/>
        <v>0.653140993754491</v>
      </c>
    </row>
    <row r="97" spans="1:26">
      <c r="A97" s="1" t="s">
        <v>117</v>
      </c>
      <c r="B97" s="1">
        <v>4782408</v>
      </c>
      <c r="C97" s="2">
        <v>0.000944485</v>
      </c>
      <c r="E97" s="14">
        <f t="shared" si="9"/>
        <v>1.12001289756492</v>
      </c>
      <c r="F97" s="11">
        <v>1.436346991</v>
      </c>
      <c r="G97" s="15">
        <v>1.60872715529856</v>
      </c>
      <c r="I97" s="14">
        <v>0.003268</v>
      </c>
      <c r="J97" s="13">
        <f t="shared" si="5"/>
        <v>1.46340514075887</v>
      </c>
      <c r="M97" s="14">
        <v>11.475</v>
      </c>
      <c r="N97" s="16">
        <f t="shared" si="6"/>
        <v>0.416767581699346</v>
      </c>
      <c r="Q97" s="14">
        <v>0.0159115</v>
      </c>
      <c r="R97" s="17">
        <v>0.180337793419854</v>
      </c>
      <c r="S97" s="17">
        <f t="shared" si="7"/>
        <v>8.92063235770661</v>
      </c>
      <c r="V97" s="18">
        <v>0.86915</v>
      </c>
      <c r="Y97" s="14">
        <v>6.05</v>
      </c>
      <c r="Z97" s="19">
        <f t="shared" si="8"/>
        <v>0.790480661157025</v>
      </c>
    </row>
    <row r="98" spans="1:26">
      <c r="A98" s="1" t="s">
        <v>118</v>
      </c>
      <c r="B98" s="1">
        <v>4831050</v>
      </c>
      <c r="C98" s="2">
        <v>0.248252</v>
      </c>
      <c r="E98" s="14">
        <f t="shared" si="9"/>
        <v>1.67213635854805</v>
      </c>
      <c r="F98" s="11">
        <v>4.613381071</v>
      </c>
      <c r="G98" s="15">
        <v>7.71420222465645</v>
      </c>
      <c r="I98" s="14">
        <v>0.001208</v>
      </c>
      <c r="J98" s="13">
        <f t="shared" si="5"/>
        <v>3.99921357615894</v>
      </c>
      <c r="M98" s="14">
        <v>6.391</v>
      </c>
      <c r="N98" s="16">
        <f t="shared" si="6"/>
        <v>0.755914567360351</v>
      </c>
      <c r="Q98" s="14">
        <v>0.00375964</v>
      </c>
      <c r="R98" s="17">
        <v>0.770986051856029</v>
      </c>
      <c r="S98" s="17">
        <f t="shared" si="7"/>
        <v>10.0056313678901</v>
      </c>
      <c r="V98" s="18">
        <v>2.89816</v>
      </c>
      <c r="Y98" s="14">
        <v>2.5739</v>
      </c>
      <c r="Z98" s="19">
        <f t="shared" si="8"/>
        <v>1.87693772096818</v>
      </c>
    </row>
    <row r="99" spans="1:26">
      <c r="A99" s="1" t="s">
        <v>119</v>
      </c>
      <c r="B99" s="1">
        <v>4844058</v>
      </c>
      <c r="C99" s="2">
        <v>0</v>
      </c>
      <c r="E99" s="14">
        <f t="shared" si="9"/>
        <v>1.07572230789032</v>
      </c>
      <c r="F99" s="11">
        <v>1.329415157</v>
      </c>
      <c r="G99" s="15">
        <v>1.43008154083241</v>
      </c>
      <c r="I99" s="14">
        <v>0.002007</v>
      </c>
      <c r="J99" s="13">
        <f t="shared" si="5"/>
        <v>2.41358146487294</v>
      </c>
      <c r="M99" s="14">
        <v>5.816</v>
      </c>
      <c r="N99" s="16">
        <f t="shared" si="6"/>
        <v>0.832884800550206</v>
      </c>
      <c r="Q99" s="14">
        <v>0.00820882</v>
      </c>
      <c r="R99" s="17">
        <v>0.354062435283025</v>
      </c>
      <c r="S99" s="17">
        <f t="shared" si="7"/>
        <v>4.03906599040718</v>
      </c>
      <c r="V99" s="18">
        <v>0.888674</v>
      </c>
      <c r="Y99" s="14">
        <v>6.3628</v>
      </c>
      <c r="Z99" s="19">
        <f t="shared" si="8"/>
        <v>0.761309172062614</v>
      </c>
    </row>
    <row r="100" spans="1:26">
      <c r="A100" s="1" t="s">
        <v>120</v>
      </c>
      <c r="B100" s="1">
        <v>4855132</v>
      </c>
      <c r="C100" s="2">
        <v>0.00197726</v>
      </c>
      <c r="E100" s="14">
        <f t="shared" si="9"/>
        <v>1.19860550062566</v>
      </c>
      <c r="F100" s="11">
        <v>1.034567001</v>
      </c>
      <c r="G100" s="15">
        <v>1.24003769816439</v>
      </c>
      <c r="I100" s="14">
        <v>0.004017</v>
      </c>
      <c r="J100" s="13">
        <f t="shared" si="5"/>
        <v>1.20864625342295</v>
      </c>
      <c r="M100" s="14">
        <v>11.975</v>
      </c>
      <c r="N100" s="16">
        <f t="shared" si="6"/>
        <v>0.405438997912317</v>
      </c>
      <c r="Q100" s="14">
        <v>0.009587</v>
      </c>
      <c r="R100" s="17">
        <v>0.30385722332325</v>
      </c>
      <c r="S100" s="17">
        <f t="shared" si="7"/>
        <v>4.08098805288302</v>
      </c>
      <c r="V100" s="18">
        <v>0.719156</v>
      </c>
      <c r="Y100" s="14">
        <v>7.7472</v>
      </c>
      <c r="Z100" s="19">
        <f t="shared" si="8"/>
        <v>0.626695064023131</v>
      </c>
    </row>
    <row r="101" spans="1:26">
      <c r="A101" s="1" t="s">
        <v>121</v>
      </c>
      <c r="B101" s="1">
        <v>4922970</v>
      </c>
      <c r="C101" s="2">
        <v>0.143479</v>
      </c>
      <c r="E101" s="14">
        <f t="shared" si="9"/>
        <v>1.09601995552646</v>
      </c>
      <c r="F101" s="11">
        <v>1.791776533</v>
      </c>
      <c r="G101" s="15">
        <v>1.96382283601202</v>
      </c>
      <c r="I101" s="14">
        <v>0.011511</v>
      </c>
      <c r="J101" s="13">
        <f t="shared" si="5"/>
        <v>0.427675267135783</v>
      </c>
      <c r="M101" s="14">
        <v>68.685</v>
      </c>
      <c r="N101" s="16">
        <f t="shared" si="6"/>
        <v>0.0716746014413627</v>
      </c>
      <c r="Q101" s="14">
        <v>0.014237</v>
      </c>
      <c r="R101" s="17">
        <v>0.207472220271125</v>
      </c>
      <c r="S101" s="17">
        <f t="shared" si="7"/>
        <v>9.46547365929614</v>
      </c>
      <c r="V101" s="18">
        <v>0.982695</v>
      </c>
      <c r="Y101" s="14">
        <v>4.8246</v>
      </c>
      <c r="Z101" s="19">
        <f t="shared" si="8"/>
        <v>1.02038925506778</v>
      </c>
    </row>
    <row r="102" spans="1:26">
      <c r="A102" s="1" t="s">
        <v>122</v>
      </c>
      <c r="B102" s="1">
        <v>4922970</v>
      </c>
      <c r="C102" s="2">
        <v>0.143479</v>
      </c>
      <c r="E102" s="14">
        <f t="shared" si="9"/>
        <v>1.11169554336568</v>
      </c>
      <c r="F102" s="11">
        <v>1.829334724</v>
      </c>
      <c r="G102" s="15">
        <v>2.03366325999488</v>
      </c>
      <c r="I102" s="14">
        <v>0.011596</v>
      </c>
      <c r="J102" s="13">
        <f t="shared" si="5"/>
        <v>0.424540358744395</v>
      </c>
      <c r="M102" s="14">
        <v>69.503</v>
      </c>
      <c r="N102" s="16">
        <f t="shared" si="6"/>
        <v>0.0708310432643195</v>
      </c>
      <c r="Q102" s="14">
        <v>0.0149169</v>
      </c>
      <c r="R102" s="17">
        <v>0.19801580757396</v>
      </c>
      <c r="S102" s="17">
        <f t="shared" si="7"/>
        <v>10.2702066310302</v>
      </c>
      <c r="V102" s="18">
        <v>1.0242</v>
      </c>
      <c r="Y102" s="14">
        <v>5.1555</v>
      </c>
      <c r="Z102" s="19">
        <f t="shared" si="8"/>
        <v>0.954896712249054</v>
      </c>
    </row>
    <row r="103" spans="1:26">
      <c r="A103" s="1" t="s">
        <v>123</v>
      </c>
      <c r="B103" s="1">
        <v>4957020</v>
      </c>
      <c r="C103" s="2">
        <v>0.0004995</v>
      </c>
      <c r="E103" s="14">
        <f t="shared" si="9"/>
        <v>1.20550787943881</v>
      </c>
      <c r="F103" s="11">
        <v>1.345154681</v>
      </c>
      <c r="G103" s="15">
        <v>1.6215945670095</v>
      </c>
      <c r="I103" s="14">
        <v>0.003465</v>
      </c>
      <c r="J103" s="13">
        <f t="shared" si="5"/>
        <v>1.4305974025974</v>
      </c>
      <c r="M103" s="14">
        <v>11.68</v>
      </c>
      <c r="N103" s="16">
        <f t="shared" si="6"/>
        <v>0.424402397260274</v>
      </c>
      <c r="Q103" s="14">
        <v>0.0102319</v>
      </c>
      <c r="R103" s="17">
        <v>0.290680323302612</v>
      </c>
      <c r="S103" s="17">
        <f t="shared" si="7"/>
        <v>5.57861828618287</v>
      </c>
      <c r="V103" s="18">
        <v>0.92548</v>
      </c>
      <c r="Y103" s="14">
        <v>6.6872</v>
      </c>
      <c r="Z103" s="19">
        <f t="shared" si="8"/>
        <v>0.741269888742673</v>
      </c>
    </row>
    <row r="104" spans="1:26">
      <c r="A104" s="1" t="s">
        <v>124</v>
      </c>
      <c r="B104" s="1">
        <v>4960296</v>
      </c>
      <c r="C104" s="2">
        <v>0</v>
      </c>
      <c r="E104" s="14">
        <f t="shared" si="9"/>
        <v>1.14157926090335</v>
      </c>
      <c r="F104" s="11">
        <v>1.879538662</v>
      </c>
      <c r="G104" s="15">
        <v>2.14564235660524</v>
      </c>
      <c r="I104" s="14">
        <v>0.001808</v>
      </c>
      <c r="J104" s="13">
        <f t="shared" si="5"/>
        <v>2.74352654867257</v>
      </c>
      <c r="M104" s="14">
        <v>10.647</v>
      </c>
      <c r="N104" s="16">
        <f t="shared" si="6"/>
        <v>0.465886728655959</v>
      </c>
      <c r="Q104" s="14">
        <v>0.00889743</v>
      </c>
      <c r="R104" s="17">
        <v>0.334498568687812</v>
      </c>
      <c r="S104" s="17">
        <f t="shared" si="7"/>
        <v>6.41450384981399</v>
      </c>
      <c r="V104" s="18">
        <v>0.950572</v>
      </c>
      <c r="Y104" s="14">
        <v>5.0559</v>
      </c>
      <c r="Z104" s="19">
        <f t="shared" si="8"/>
        <v>0.981090607013588</v>
      </c>
    </row>
    <row r="105" spans="1:26">
      <c r="A105" s="1" t="s">
        <v>125</v>
      </c>
      <c r="B105" s="1">
        <v>5057868</v>
      </c>
      <c r="C105" s="2">
        <v>0.382739</v>
      </c>
      <c r="E105" s="14">
        <f t="shared" si="9"/>
        <v>1.5938433127252</v>
      </c>
      <c r="F105" s="11">
        <v>5.861419607</v>
      </c>
      <c r="G105" s="15">
        <v>9.34218444369331</v>
      </c>
      <c r="I105" s="14">
        <v>0.001241</v>
      </c>
      <c r="J105" s="13">
        <f t="shared" si="5"/>
        <v>4.0756390008058</v>
      </c>
      <c r="M105" s="14">
        <v>6.702</v>
      </c>
      <c r="N105" s="16">
        <f t="shared" si="6"/>
        <v>0.754680393912265</v>
      </c>
      <c r="Q105" s="14">
        <v>0.00535895</v>
      </c>
      <c r="R105" s="17">
        <v>0.566290187443436</v>
      </c>
      <c r="S105" s="17">
        <f t="shared" si="7"/>
        <v>16.4971681495478</v>
      </c>
      <c r="V105" s="18">
        <v>2.81297</v>
      </c>
      <c r="Y105" s="14">
        <v>2.3407</v>
      </c>
      <c r="Z105" s="19">
        <f t="shared" si="8"/>
        <v>2.16083564745589</v>
      </c>
    </row>
    <row r="106" spans="1:26">
      <c r="A106" s="1" t="s">
        <v>126</v>
      </c>
      <c r="B106" s="1">
        <v>5057868</v>
      </c>
      <c r="C106" s="2">
        <v>0.382739</v>
      </c>
      <c r="E106" s="14">
        <f t="shared" si="9"/>
        <v>1.77528137326439</v>
      </c>
      <c r="F106" s="11">
        <v>5.347138172</v>
      </c>
      <c r="G106" s="15">
        <v>9.49267479702262</v>
      </c>
      <c r="I106" s="14">
        <v>0.001255</v>
      </c>
      <c r="J106" s="13">
        <f t="shared" si="5"/>
        <v>4.03017370517928</v>
      </c>
      <c r="M106" s="14">
        <v>6.55</v>
      </c>
      <c r="N106" s="16">
        <f t="shared" si="6"/>
        <v>0.77219358778626</v>
      </c>
      <c r="Q106" s="14">
        <v>0.00717923</v>
      </c>
      <c r="R106" s="17">
        <v>0.422708396304339</v>
      </c>
      <c r="S106" s="17">
        <f t="shared" si="7"/>
        <v>22.4567926258747</v>
      </c>
      <c r="V106" s="18">
        <v>2.93458</v>
      </c>
      <c r="Y106" s="14">
        <v>2.4248</v>
      </c>
      <c r="Z106" s="19">
        <f t="shared" si="8"/>
        <v>2.08589079511712</v>
      </c>
    </row>
    <row r="107" spans="1:26">
      <c r="A107" s="1" t="s">
        <v>127</v>
      </c>
      <c r="B107" s="1">
        <v>5075784</v>
      </c>
      <c r="C107" s="2">
        <v>0.0132516</v>
      </c>
      <c r="E107" s="14">
        <f t="shared" si="9"/>
        <v>1.02226551368397</v>
      </c>
      <c r="F107" s="11">
        <v>1.718756803</v>
      </c>
      <c r="G107" s="15">
        <v>1.75702580611662</v>
      </c>
      <c r="I107" s="14">
        <v>0.003489</v>
      </c>
      <c r="J107" s="13">
        <f t="shared" si="5"/>
        <v>1.454796216681</v>
      </c>
      <c r="M107" s="14">
        <v>16.654</v>
      </c>
      <c r="N107" s="16">
        <f t="shared" si="6"/>
        <v>0.304778671790561</v>
      </c>
      <c r="Q107" s="14">
        <v>0.0115549</v>
      </c>
      <c r="R107" s="17">
        <v>0.263565275337735</v>
      </c>
      <c r="S107" s="17">
        <f t="shared" si="7"/>
        <v>6.66637820124503</v>
      </c>
      <c r="V107" s="18">
        <v>0.681598</v>
      </c>
      <c r="Y107" s="14">
        <v>9.0634</v>
      </c>
      <c r="Z107" s="19">
        <f t="shared" si="8"/>
        <v>0.560030893483682</v>
      </c>
    </row>
    <row r="108" spans="1:26">
      <c r="A108" s="1" t="s">
        <v>128</v>
      </c>
      <c r="B108" s="1">
        <v>5109908</v>
      </c>
      <c r="C108" s="2">
        <v>0.331809</v>
      </c>
      <c r="E108" s="14">
        <f t="shared" si="9"/>
        <v>1.41584859585779</v>
      </c>
      <c r="F108" s="11">
        <v>3.197354631</v>
      </c>
      <c r="G108" s="15">
        <v>4.52697006476076</v>
      </c>
      <c r="I108" s="14">
        <v>0.00155</v>
      </c>
      <c r="J108" s="13">
        <f t="shared" si="5"/>
        <v>3.29671483870968</v>
      </c>
      <c r="M108" s="14">
        <v>11.238</v>
      </c>
      <c r="N108" s="16">
        <f t="shared" si="6"/>
        <v>0.454699056771668</v>
      </c>
      <c r="Q108" s="14">
        <v>0.00773882</v>
      </c>
      <c r="R108" s="17">
        <v>0.39617729834781</v>
      </c>
      <c r="S108" s="17">
        <f t="shared" si="7"/>
        <v>11.4266266230794</v>
      </c>
      <c r="V108" s="18">
        <v>1.9685</v>
      </c>
      <c r="Y108" s="14">
        <v>3.4886</v>
      </c>
      <c r="Z108" s="19">
        <f t="shared" si="8"/>
        <v>1.46474459668635</v>
      </c>
    </row>
    <row r="109" spans="1:26">
      <c r="A109" s="1" t="s">
        <v>129</v>
      </c>
      <c r="B109" s="1">
        <v>5136112</v>
      </c>
      <c r="C109" s="2">
        <v>0.056447</v>
      </c>
      <c r="E109" s="14">
        <f t="shared" si="9"/>
        <v>1.13767768309623</v>
      </c>
      <c r="F109" s="11">
        <v>3.409581068</v>
      </c>
      <c r="G109" s="15">
        <v>3.87900428977101</v>
      </c>
      <c r="I109" s="14">
        <v>0.00113</v>
      </c>
      <c r="J109" s="13">
        <f t="shared" si="5"/>
        <v>4.54523185840708</v>
      </c>
      <c r="M109" s="14">
        <v>14.022</v>
      </c>
      <c r="N109" s="16">
        <f t="shared" si="6"/>
        <v>0.366289545000713</v>
      </c>
      <c r="Q109" s="14">
        <v>0.0122353</v>
      </c>
      <c r="R109" s="17">
        <v>0.25186690967937</v>
      </c>
      <c r="S109" s="17">
        <f t="shared" si="7"/>
        <v>15.4010079954887</v>
      </c>
      <c r="V109" s="18">
        <v>1.50373</v>
      </c>
      <c r="Y109" s="14">
        <v>4.6561</v>
      </c>
      <c r="Z109" s="19">
        <f t="shared" si="8"/>
        <v>1.10309314662486</v>
      </c>
    </row>
    <row r="110" spans="1:26">
      <c r="A110" s="1" t="s">
        <v>130</v>
      </c>
      <c r="B110" s="1">
        <v>5209580</v>
      </c>
      <c r="C110" s="2">
        <v>0.0955726</v>
      </c>
      <c r="E110" s="14">
        <f t="shared" si="9"/>
        <v>1.54942867646876</v>
      </c>
      <c r="F110" s="11">
        <v>0.47102794</v>
      </c>
      <c r="G110" s="15">
        <v>0.729824197654007</v>
      </c>
      <c r="I110" s="14">
        <v>0.006713</v>
      </c>
      <c r="J110" s="13">
        <f t="shared" si="5"/>
        <v>0.776043497691047</v>
      </c>
      <c r="M110" s="14">
        <v>36.333</v>
      </c>
      <c r="N110" s="16">
        <f t="shared" si="6"/>
        <v>0.143384251231663</v>
      </c>
      <c r="Q110" s="14">
        <v>0.0204113</v>
      </c>
      <c r="R110" s="17">
        <v>0.153138114671775</v>
      </c>
      <c r="S110" s="17">
        <f t="shared" si="7"/>
        <v>4.76579066693004</v>
      </c>
      <c r="V110" s="18">
        <v>0.36697</v>
      </c>
      <c r="Y110" s="14">
        <v>21.9111</v>
      </c>
      <c r="Z110" s="19">
        <f t="shared" si="8"/>
        <v>0.237759856876195</v>
      </c>
    </row>
    <row r="111" spans="1:26">
      <c r="A111" s="1" t="s">
        <v>131</v>
      </c>
      <c r="B111" s="1">
        <v>5270104</v>
      </c>
      <c r="C111" s="2">
        <v>0.275383</v>
      </c>
      <c r="E111" s="14">
        <f t="shared" si="9"/>
        <v>1.43148961710332</v>
      </c>
      <c r="F111" s="11">
        <v>1.596620917</v>
      </c>
      <c r="G111" s="15">
        <v>2.28554626513548</v>
      </c>
      <c r="I111" s="14">
        <v>0.003546</v>
      </c>
      <c r="J111" s="13">
        <f t="shared" si="5"/>
        <v>1.48621094190637</v>
      </c>
      <c r="M111" s="14">
        <v>15.905</v>
      </c>
      <c r="N111" s="16">
        <f t="shared" si="6"/>
        <v>0.331348883998743</v>
      </c>
      <c r="Q111" s="14">
        <v>0.00806936</v>
      </c>
      <c r="R111" s="17">
        <v>0.391860370587011</v>
      </c>
      <c r="S111" s="17">
        <f t="shared" si="7"/>
        <v>5.83255270675039</v>
      </c>
      <c r="V111" s="18">
        <v>1.24876</v>
      </c>
      <c r="Y111" s="14">
        <v>5.0641</v>
      </c>
      <c r="Z111" s="19">
        <f t="shared" si="8"/>
        <v>1.04067929148319</v>
      </c>
    </row>
    <row r="112" spans="1:26">
      <c r="A112" s="1" t="s">
        <v>132</v>
      </c>
      <c r="B112" s="1">
        <v>5299092</v>
      </c>
      <c r="C112" s="2">
        <v>0</v>
      </c>
      <c r="E112" s="14">
        <f t="shared" si="9"/>
        <v>1.7212427787066</v>
      </c>
      <c r="F112" s="11">
        <v>1.082378972</v>
      </c>
      <c r="G112" s="15">
        <v>1.86303698937887</v>
      </c>
      <c r="I112" s="14">
        <v>0.001896</v>
      </c>
      <c r="J112" s="13">
        <f t="shared" si="5"/>
        <v>2.79487974683544</v>
      </c>
      <c r="M112" s="14">
        <v>10.745</v>
      </c>
      <c r="N112" s="16">
        <f t="shared" si="6"/>
        <v>0.493168171242438</v>
      </c>
      <c r="Q112" s="14">
        <v>0.008037</v>
      </c>
      <c r="R112" s="17">
        <v>0.395602239641657</v>
      </c>
      <c r="S112" s="17">
        <f t="shared" si="7"/>
        <v>4.70936916602504</v>
      </c>
      <c r="V112" s="18">
        <v>1.11063</v>
      </c>
      <c r="Y112" s="14">
        <v>6.1718</v>
      </c>
      <c r="Z112" s="19">
        <f t="shared" si="8"/>
        <v>0.858597491817622</v>
      </c>
    </row>
    <row r="113" spans="1:26">
      <c r="A113" s="1" t="s">
        <v>133</v>
      </c>
      <c r="B113" s="1">
        <v>5299092</v>
      </c>
      <c r="C113" s="2">
        <v>0</v>
      </c>
      <c r="E113" s="14">
        <f t="shared" si="9"/>
        <v>1.28385453908614</v>
      </c>
      <c r="F113" s="11">
        <v>1.385764694</v>
      </c>
      <c r="G113" s="15">
        <v>1.77912029249721</v>
      </c>
      <c r="I113" s="14">
        <v>0.001859</v>
      </c>
      <c r="J113" s="13">
        <f t="shared" si="5"/>
        <v>2.85050672404519</v>
      </c>
      <c r="M113" s="14">
        <v>10.684</v>
      </c>
      <c r="N113" s="16">
        <f t="shared" si="6"/>
        <v>0.495983901160614</v>
      </c>
      <c r="Q113" s="14">
        <v>0.00846745</v>
      </c>
      <c r="R113" s="17">
        <v>0.375491464372391</v>
      </c>
      <c r="S113" s="17">
        <f t="shared" si="7"/>
        <v>4.73811114580432</v>
      </c>
      <c r="V113" s="18">
        <v>1.15082</v>
      </c>
      <c r="Y113" s="14">
        <v>5.9418</v>
      </c>
      <c r="Z113" s="19">
        <f t="shared" si="8"/>
        <v>0.891832777946077</v>
      </c>
    </row>
    <row r="114" spans="1:26">
      <c r="A114" s="1" t="s">
        <v>134</v>
      </c>
      <c r="B114" s="1">
        <v>5299604</v>
      </c>
      <c r="C114" s="2">
        <v>0.00698975</v>
      </c>
      <c r="E114" s="14">
        <f t="shared" si="9"/>
        <v>1.60591169814653</v>
      </c>
      <c r="F114" s="11">
        <v>1.157679982</v>
      </c>
      <c r="G114" s="15">
        <v>1.85913182580387</v>
      </c>
      <c r="I114" s="14">
        <v>0.002464</v>
      </c>
      <c r="J114" s="13">
        <f t="shared" si="5"/>
        <v>2.15081331168831</v>
      </c>
      <c r="M114" s="14">
        <v>29.041</v>
      </c>
      <c r="N114" s="16">
        <f t="shared" si="6"/>
        <v>0.182486966702249</v>
      </c>
      <c r="Q114" s="14">
        <v>0.00941253</v>
      </c>
      <c r="R114" s="17">
        <v>0.337822285825384</v>
      </c>
      <c r="S114" s="17">
        <f t="shared" si="7"/>
        <v>5.50328354229665</v>
      </c>
      <c r="V114" s="18">
        <v>1.36008</v>
      </c>
      <c r="Y114" s="14">
        <v>4.8924</v>
      </c>
      <c r="Z114" s="19">
        <f t="shared" si="8"/>
        <v>1.0832319515984</v>
      </c>
    </row>
    <row r="115" spans="1:26">
      <c r="A115" s="1" t="s">
        <v>135</v>
      </c>
      <c r="B115" s="1">
        <v>5468718</v>
      </c>
      <c r="C115" s="2">
        <v>0.000230521</v>
      </c>
      <c r="E115" s="14">
        <f t="shared" si="9"/>
        <v>1.35043777732852</v>
      </c>
      <c r="F115" s="11">
        <v>2.234749199</v>
      </c>
      <c r="G115" s="15">
        <v>3.01788974118426</v>
      </c>
      <c r="I115" s="14">
        <v>0.001936</v>
      </c>
      <c r="J115" s="13">
        <f t="shared" si="5"/>
        <v>2.82475103305785</v>
      </c>
      <c r="M115" s="14">
        <v>44.33</v>
      </c>
      <c r="N115" s="16">
        <f t="shared" si="6"/>
        <v>0.123363816828333</v>
      </c>
      <c r="Q115" s="14">
        <v>0.00954439</v>
      </c>
      <c r="R115" s="17">
        <v>0.343786328932493</v>
      </c>
      <c r="S115" s="17">
        <f t="shared" si="7"/>
        <v>8.77838787410555</v>
      </c>
      <c r="V115" s="18">
        <v>0.976246</v>
      </c>
      <c r="Y115" s="14">
        <v>6.9401</v>
      </c>
      <c r="Z115" s="19">
        <f t="shared" si="8"/>
        <v>0.787988357516462</v>
      </c>
    </row>
    <row r="116" spans="1:26">
      <c r="A116" s="1" t="s">
        <v>136</v>
      </c>
      <c r="B116" s="1">
        <v>5492324</v>
      </c>
      <c r="C116" s="2">
        <v>0.0604692</v>
      </c>
      <c r="E116" s="14">
        <f t="shared" si="9"/>
        <v>1.06258556970465</v>
      </c>
      <c r="F116" s="11">
        <v>1.291477775</v>
      </c>
      <c r="G116" s="15">
        <v>1.37230564730927</v>
      </c>
      <c r="I116" s="14">
        <v>0.002179</v>
      </c>
      <c r="J116" s="13">
        <f t="shared" si="5"/>
        <v>2.52057090408444</v>
      </c>
      <c r="M116" s="14">
        <v>23.259</v>
      </c>
      <c r="N116" s="16">
        <f t="shared" si="6"/>
        <v>0.236137581151382</v>
      </c>
      <c r="Q116" s="14">
        <v>0.010876</v>
      </c>
      <c r="R116" s="17">
        <v>0.302996910628908</v>
      </c>
      <c r="S116" s="17">
        <f t="shared" si="7"/>
        <v>4.52910772080441</v>
      </c>
      <c r="V116" s="18">
        <v>0.924746</v>
      </c>
      <c r="Y116" s="14">
        <v>6.3004</v>
      </c>
      <c r="Z116" s="19">
        <f t="shared" si="8"/>
        <v>0.871742111611961</v>
      </c>
    </row>
    <row r="117" spans="1:26">
      <c r="A117" s="1" t="s">
        <v>137</v>
      </c>
      <c r="B117" s="1">
        <v>5492324</v>
      </c>
      <c r="C117" s="2">
        <v>0.0600351</v>
      </c>
      <c r="E117" s="14">
        <f t="shared" si="9"/>
        <v>0.926944621041542</v>
      </c>
      <c r="F117" s="11">
        <v>1.485371401</v>
      </c>
      <c r="G117" s="15">
        <v>1.37685703040589</v>
      </c>
      <c r="I117" s="14">
        <v>0.002161</v>
      </c>
      <c r="J117" s="13">
        <f t="shared" si="5"/>
        <v>2.54156594169366</v>
      </c>
      <c r="M117" s="14">
        <v>23.093</v>
      </c>
      <c r="N117" s="16">
        <f t="shared" si="6"/>
        <v>0.237835014939592</v>
      </c>
      <c r="Q117" s="14">
        <v>0.0114771</v>
      </c>
      <c r="R117" s="17">
        <v>0.287127793606399</v>
      </c>
      <c r="S117" s="17">
        <f t="shared" si="7"/>
        <v>4.79527604455219</v>
      </c>
      <c r="V117" s="18">
        <v>0.863707</v>
      </c>
      <c r="Y117" s="14">
        <v>6.6163</v>
      </c>
      <c r="Z117" s="19">
        <f t="shared" si="8"/>
        <v>0.830120157792119</v>
      </c>
    </row>
    <row r="118" spans="1:26">
      <c r="A118" s="1" t="s">
        <v>138</v>
      </c>
      <c r="B118" s="1">
        <v>5556240</v>
      </c>
      <c r="C118" s="2">
        <v>0.483287</v>
      </c>
      <c r="E118" s="14">
        <f t="shared" si="9"/>
        <v>1.83521103654434</v>
      </c>
      <c r="F118" s="11">
        <v>8.370289367</v>
      </c>
      <c r="G118" s="15">
        <v>15.3612474253881</v>
      </c>
      <c r="I118" s="14">
        <v>0.000928</v>
      </c>
      <c r="J118" s="13">
        <f t="shared" si="5"/>
        <v>5.9873275862069</v>
      </c>
      <c r="M118" s="14">
        <v>10.264</v>
      </c>
      <c r="N118" s="16">
        <f t="shared" si="6"/>
        <v>0.541332813717849</v>
      </c>
      <c r="Q118" s="14">
        <v>0.0074223</v>
      </c>
      <c r="R118" s="17">
        <v>0.449152419061477</v>
      </c>
      <c r="S118" s="17">
        <f t="shared" si="7"/>
        <v>34.2005225252623</v>
      </c>
      <c r="V118" s="18">
        <v>3.12272</v>
      </c>
      <c r="Y118" s="14">
        <v>1.8191</v>
      </c>
      <c r="Z118" s="19">
        <f t="shared" si="8"/>
        <v>3.05438953328569</v>
      </c>
    </row>
    <row r="119" spans="1:26">
      <c r="A119" s="1" t="s">
        <v>139</v>
      </c>
      <c r="B119" s="1">
        <v>5762866</v>
      </c>
      <c r="C119" s="2">
        <v>0.606324</v>
      </c>
      <c r="E119" s="14">
        <f t="shared" si="9"/>
        <v>1.9297284334747</v>
      </c>
      <c r="F119" s="11">
        <v>3.643205606</v>
      </c>
      <c r="G119" s="15">
        <v>7.03039744689261</v>
      </c>
      <c r="I119" s="14">
        <v>0.000952</v>
      </c>
      <c r="J119" s="13">
        <f t="shared" si="5"/>
        <v>6.05343067226891</v>
      </c>
      <c r="M119" s="14">
        <v>4.975</v>
      </c>
      <c r="N119" s="16">
        <f t="shared" si="6"/>
        <v>1.15836502512563</v>
      </c>
      <c r="Q119" s="14">
        <v>0.00506313</v>
      </c>
      <c r="R119" s="17">
        <v>0.682921354972122</v>
      </c>
      <c r="S119" s="17">
        <f t="shared" si="7"/>
        <v>10.2945930680109</v>
      </c>
      <c r="V119" s="18">
        <v>2.53394</v>
      </c>
      <c r="Y119" s="14">
        <v>3.4167</v>
      </c>
      <c r="Z119" s="19">
        <f t="shared" si="8"/>
        <v>1.68667603242895</v>
      </c>
    </row>
    <row r="120" spans="1:26">
      <c r="A120" s="1" t="s">
        <v>140</v>
      </c>
      <c r="B120" s="1">
        <v>5762866</v>
      </c>
      <c r="C120" s="2">
        <v>0.569527</v>
      </c>
      <c r="E120" s="14">
        <f t="shared" si="9"/>
        <v>1.93683578588493</v>
      </c>
      <c r="F120" s="11">
        <v>3.820991782</v>
      </c>
      <c r="G120" s="15">
        <v>7.40063362094982</v>
      </c>
      <c r="I120" s="14">
        <v>0.001035</v>
      </c>
      <c r="J120" s="13">
        <f t="shared" si="5"/>
        <v>5.56798647342995</v>
      </c>
      <c r="M120" s="14">
        <v>4.076</v>
      </c>
      <c r="N120" s="16">
        <f t="shared" si="6"/>
        <v>1.4138532875368</v>
      </c>
      <c r="Q120" s="14">
        <v>0.00509343</v>
      </c>
      <c r="R120" s="17">
        <v>0.67885876511506</v>
      </c>
      <c r="S120" s="17">
        <f t="shared" si="7"/>
        <v>10.9015807134721</v>
      </c>
      <c r="V120" s="18">
        <v>2.57102</v>
      </c>
      <c r="Y120" s="14">
        <v>3.2272</v>
      </c>
      <c r="Z120" s="19">
        <f t="shared" si="8"/>
        <v>1.78571703024294</v>
      </c>
    </row>
    <row r="121" spans="1:26">
      <c r="A121" s="1" t="s">
        <v>141</v>
      </c>
      <c r="B121" s="1">
        <v>5762866</v>
      </c>
      <c r="C121" s="2">
        <v>0.607636</v>
      </c>
      <c r="E121" s="14">
        <f t="shared" si="9"/>
        <v>1.67472706180843</v>
      </c>
      <c r="F121" s="11">
        <v>4.225219277</v>
      </c>
      <c r="G121" s="15">
        <v>7.07608906526656</v>
      </c>
      <c r="I121" s="14">
        <v>0.000953</v>
      </c>
      <c r="J121" s="13">
        <f t="shared" si="5"/>
        <v>6.04707869884575</v>
      </c>
      <c r="M121" s="14">
        <v>4.672</v>
      </c>
      <c r="N121" s="16">
        <f t="shared" si="6"/>
        <v>1.23349015410959</v>
      </c>
      <c r="Q121" s="14">
        <v>0.00520814</v>
      </c>
      <c r="R121" s="17">
        <v>0.663906807420691</v>
      </c>
      <c r="S121" s="17">
        <f t="shared" si="7"/>
        <v>10.6582565296438</v>
      </c>
      <c r="V121" s="18">
        <v>2.42727</v>
      </c>
      <c r="Y121" s="14">
        <v>3.1971</v>
      </c>
      <c r="Z121" s="19">
        <f t="shared" si="8"/>
        <v>1.80252916705765</v>
      </c>
    </row>
    <row r="122" spans="1:26">
      <c r="A122" s="1" t="s">
        <v>142</v>
      </c>
      <c r="B122" s="1">
        <v>5869910</v>
      </c>
      <c r="C122" s="2">
        <v>0.153797</v>
      </c>
      <c r="E122" s="14">
        <f t="shared" si="9"/>
        <v>2.01030207491546</v>
      </c>
      <c r="F122" s="11">
        <v>1.922881253</v>
      </c>
      <c r="G122" s="15">
        <v>3.86557217272194</v>
      </c>
      <c r="I122" s="14">
        <v>0.001905</v>
      </c>
      <c r="J122" s="13">
        <f t="shared" si="5"/>
        <v>3.08131758530184</v>
      </c>
      <c r="M122" s="14">
        <v>16.861</v>
      </c>
      <c r="N122" s="16">
        <f t="shared" si="6"/>
        <v>0.348135341913291</v>
      </c>
      <c r="Q122" s="14">
        <v>0.00570147</v>
      </c>
      <c r="R122" s="17">
        <v>0.617725954885319</v>
      </c>
      <c r="S122" s="17">
        <f t="shared" si="7"/>
        <v>6.25774608003898</v>
      </c>
      <c r="V122" s="18">
        <v>1.74832</v>
      </c>
      <c r="Y122" s="14">
        <v>4.0467</v>
      </c>
      <c r="Z122" s="19">
        <f t="shared" si="8"/>
        <v>1.45054241727828</v>
      </c>
    </row>
    <row r="123" spans="1:26">
      <c r="A123" s="1" t="s">
        <v>143</v>
      </c>
      <c r="B123" s="1">
        <v>5869910</v>
      </c>
      <c r="C123" s="2">
        <v>0.151287</v>
      </c>
      <c r="E123" s="14">
        <f t="shared" si="9"/>
        <v>2.2238374083795</v>
      </c>
      <c r="F123" s="11">
        <v>1.797330087</v>
      </c>
      <c r="G123" s="15">
        <v>3.99696988267658</v>
      </c>
      <c r="I123" s="14">
        <v>0.001824</v>
      </c>
      <c r="J123" s="13">
        <f t="shared" si="5"/>
        <v>3.2181524122807</v>
      </c>
      <c r="M123" s="14">
        <v>16.413</v>
      </c>
      <c r="N123" s="16">
        <f t="shared" si="6"/>
        <v>0.35763784804728</v>
      </c>
      <c r="Q123" s="14">
        <v>0.00573519</v>
      </c>
      <c r="R123" s="17">
        <v>0.614094040476427</v>
      </c>
      <c r="S123" s="17">
        <f t="shared" si="7"/>
        <v>6.5087260569662</v>
      </c>
      <c r="V123" s="18">
        <v>1.7403</v>
      </c>
      <c r="Y123" s="14">
        <v>4.1136</v>
      </c>
      <c r="Z123" s="19">
        <f t="shared" si="8"/>
        <v>1.42695206145469</v>
      </c>
    </row>
    <row r="124" spans="1:26">
      <c r="A124" s="1" t="s">
        <v>144</v>
      </c>
      <c r="B124" s="1">
        <v>5869910</v>
      </c>
      <c r="C124" s="2">
        <v>0.153797</v>
      </c>
      <c r="E124" s="14">
        <f t="shared" si="9"/>
        <v>1.98960898712544</v>
      </c>
      <c r="F124" s="11">
        <v>1.90571998</v>
      </c>
      <c r="G124" s="15">
        <v>3.79163759915252</v>
      </c>
      <c r="I124" s="14">
        <v>0.001705</v>
      </c>
      <c r="J124" s="13">
        <f t="shared" si="5"/>
        <v>3.44276246334311</v>
      </c>
      <c r="M124" s="14">
        <v>16.484</v>
      </c>
      <c r="N124" s="16">
        <f t="shared" si="6"/>
        <v>0.356097427808784</v>
      </c>
      <c r="Q124" s="14">
        <v>0.00578391</v>
      </c>
      <c r="R124" s="17">
        <v>0.608921300642645</v>
      </c>
      <c r="S124" s="17">
        <f t="shared" si="7"/>
        <v>6.22681058315893</v>
      </c>
      <c r="V124" s="18">
        <v>1.71488</v>
      </c>
      <c r="Y124" s="14">
        <v>4.0666</v>
      </c>
      <c r="Z124" s="19">
        <f t="shared" si="8"/>
        <v>1.44344415482221</v>
      </c>
    </row>
    <row r="125" spans="1:26">
      <c r="A125" s="1" t="s">
        <v>145</v>
      </c>
      <c r="B125" s="1">
        <v>5881648</v>
      </c>
      <c r="C125" s="2">
        <v>0.0285302</v>
      </c>
      <c r="E125" s="14">
        <f t="shared" si="9"/>
        <v>2.44475266528089</v>
      </c>
      <c r="F125" s="11">
        <v>2.277920159</v>
      </c>
      <c r="G125" s="15">
        <v>5.56895138001231</v>
      </c>
      <c r="I125" s="14">
        <v>0.001796</v>
      </c>
      <c r="J125" s="13">
        <f t="shared" si="5"/>
        <v>3.27485968819599</v>
      </c>
      <c r="M125" s="14">
        <v>9.92</v>
      </c>
      <c r="N125" s="16">
        <f t="shared" si="6"/>
        <v>0.592908064516129</v>
      </c>
      <c r="Q125" s="14">
        <v>0.008675</v>
      </c>
      <c r="R125" s="17">
        <v>0.40679986167147</v>
      </c>
      <c r="S125" s="17">
        <f t="shared" si="7"/>
        <v>13.6896589815209</v>
      </c>
      <c r="V125" s="18">
        <v>1.99535</v>
      </c>
      <c r="Y125" s="14">
        <v>4.7781</v>
      </c>
      <c r="Z125" s="19">
        <f t="shared" si="8"/>
        <v>1.2309595864465</v>
      </c>
    </row>
    <row r="126" spans="1:26">
      <c r="A126" s="1" t="s">
        <v>146</v>
      </c>
      <c r="B126" s="1">
        <v>6011316</v>
      </c>
      <c r="C126" s="2">
        <v>0.000327439</v>
      </c>
      <c r="E126" s="14">
        <f t="shared" si="9"/>
        <v>0.854889720624959</v>
      </c>
      <c r="F126" s="11">
        <v>1.535289191</v>
      </c>
      <c r="G126" s="15">
        <v>1.31250294757251</v>
      </c>
      <c r="I126" s="14">
        <v>0.005506</v>
      </c>
      <c r="J126" s="13">
        <f t="shared" si="5"/>
        <v>1.09177551761715</v>
      </c>
      <c r="M126" s="14">
        <v>16.992</v>
      </c>
      <c r="N126" s="16">
        <f t="shared" si="6"/>
        <v>0.353773305084746</v>
      </c>
      <c r="Q126" s="14">
        <v>0.0105146</v>
      </c>
      <c r="R126" s="17">
        <v>0.343026800829323</v>
      </c>
      <c r="S126" s="17">
        <f t="shared" si="7"/>
        <v>3.82624023662093</v>
      </c>
      <c r="V126" s="18">
        <v>1.33889</v>
      </c>
      <c r="Y126" s="14">
        <v>6.0914</v>
      </c>
      <c r="Z126" s="19">
        <f t="shared" si="8"/>
        <v>0.986852940210789</v>
      </c>
    </row>
    <row r="127" spans="1:26">
      <c r="A127" s="1" t="s">
        <v>147</v>
      </c>
      <c r="B127" s="1">
        <v>6074024</v>
      </c>
      <c r="C127" s="2">
        <v>0.0605639</v>
      </c>
      <c r="E127" s="14">
        <f t="shared" si="9"/>
        <v>2.25942395184176</v>
      </c>
      <c r="F127" s="11">
        <v>2.761658879</v>
      </c>
      <c r="G127" s="15">
        <v>6.23975821802907</v>
      </c>
      <c r="I127" s="14">
        <v>0.001166</v>
      </c>
      <c r="J127" s="13">
        <f t="shared" si="5"/>
        <v>5.20928301886793</v>
      </c>
      <c r="M127" s="14">
        <v>7.76</v>
      </c>
      <c r="N127" s="16">
        <f t="shared" si="6"/>
        <v>0.782735051546392</v>
      </c>
      <c r="Q127" s="14">
        <v>0.00683084</v>
      </c>
      <c r="R127" s="17">
        <v>0.533523607638299</v>
      </c>
      <c r="S127" s="17">
        <f t="shared" si="7"/>
        <v>11.6953741665716</v>
      </c>
      <c r="V127" s="18">
        <v>2.31785</v>
      </c>
      <c r="Y127" s="14">
        <v>3.5138</v>
      </c>
      <c r="Z127" s="19">
        <f t="shared" si="8"/>
        <v>1.72861972792988</v>
      </c>
    </row>
    <row r="128" spans="1:26">
      <c r="A128" s="1" t="s">
        <v>148</v>
      </c>
      <c r="B128" s="1">
        <v>6274168</v>
      </c>
      <c r="C128" s="2">
        <v>0</v>
      </c>
      <c r="E128" s="14">
        <f t="shared" si="9"/>
        <v>1.34290484916186</v>
      </c>
      <c r="F128" s="11">
        <v>1.34977575</v>
      </c>
      <c r="G128" s="15">
        <v>1.81262039995609</v>
      </c>
      <c r="I128" s="14">
        <v>0.004641</v>
      </c>
      <c r="J128" s="13">
        <f t="shared" si="5"/>
        <v>1.35190002154708</v>
      </c>
      <c r="M128" s="14">
        <v>15.591</v>
      </c>
      <c r="N128" s="16">
        <f t="shared" si="6"/>
        <v>0.402422423192868</v>
      </c>
      <c r="Q128" s="14">
        <v>0.0098119</v>
      </c>
      <c r="R128" s="17">
        <v>0.38366685351461</v>
      </c>
      <c r="S128" s="17">
        <f t="shared" si="7"/>
        <v>4.72446442363066</v>
      </c>
      <c r="V128" s="18">
        <v>1.5111</v>
      </c>
      <c r="Y128" s="14">
        <v>6.5034</v>
      </c>
      <c r="Z128" s="19">
        <f t="shared" si="8"/>
        <v>0.964751975889535</v>
      </c>
    </row>
    <row r="129" spans="1:26">
      <c r="A129" s="1" t="s">
        <v>149</v>
      </c>
      <c r="B129" s="1">
        <v>6312052</v>
      </c>
      <c r="C129" s="2">
        <v>0</v>
      </c>
      <c r="E129" s="14">
        <f t="shared" si="9"/>
        <v>1.95407371866692</v>
      </c>
      <c r="F129" s="11">
        <v>2.100930448</v>
      </c>
      <c r="G129" s="15">
        <v>4.10537297318391</v>
      </c>
      <c r="I129" s="14">
        <v>0.001996</v>
      </c>
      <c r="J129" s="13">
        <f t="shared" si="5"/>
        <v>3.16235070140281</v>
      </c>
      <c r="M129" s="14">
        <v>10.361</v>
      </c>
      <c r="N129" s="16">
        <f t="shared" si="6"/>
        <v>0.609212624264067</v>
      </c>
      <c r="Q129" s="14">
        <v>0.00513693</v>
      </c>
      <c r="R129" s="17">
        <v>0.737255753923063</v>
      </c>
      <c r="S129" s="17">
        <f t="shared" si="7"/>
        <v>5.56845158730674</v>
      </c>
      <c r="V129" s="18">
        <v>1.89391</v>
      </c>
      <c r="Y129" s="14">
        <v>4.9719</v>
      </c>
      <c r="Z129" s="19">
        <f t="shared" si="8"/>
        <v>1.26954524427281</v>
      </c>
    </row>
    <row r="130" spans="1:26">
      <c r="A130" s="1" t="s">
        <v>150</v>
      </c>
      <c r="B130" s="1">
        <v>6334728</v>
      </c>
      <c r="C130" s="2">
        <v>7.15871e-5</v>
      </c>
      <c r="E130" s="14">
        <f t="shared" si="9"/>
        <v>1.09591912115897</v>
      </c>
      <c r="F130" s="11">
        <v>1.034020416</v>
      </c>
      <c r="G130" s="15">
        <v>1.13320274556315</v>
      </c>
      <c r="I130" s="14">
        <v>0.005089</v>
      </c>
      <c r="J130" s="13">
        <f t="shared" ref="J130:J193" si="10">B130/I130/1000000000</f>
        <v>1.24478836706622</v>
      </c>
      <c r="M130" s="14">
        <v>17.537</v>
      </c>
      <c r="N130" s="16">
        <f t="shared" ref="N130:N193" si="11">B130/M130/1000000</f>
        <v>0.361220733306723</v>
      </c>
      <c r="Q130" s="14">
        <v>0.00971671</v>
      </c>
      <c r="R130" s="17">
        <v>0.391164993089225</v>
      </c>
      <c r="S130" s="17">
        <f t="shared" ref="S130:S193" si="12">G130/R130</f>
        <v>2.89699427500831</v>
      </c>
      <c r="V130" s="18">
        <v>0.805145</v>
      </c>
      <c r="Y130" s="14">
        <v>9.0298</v>
      </c>
      <c r="Z130" s="19">
        <f t="shared" ref="Z130:Z193" si="13">B130/Y130/1000000</f>
        <v>0.701535803672285</v>
      </c>
    </row>
    <row r="131" spans="1:26">
      <c r="A131" s="1" t="s">
        <v>151</v>
      </c>
      <c r="B131" s="1">
        <v>6389468</v>
      </c>
      <c r="C131" s="2">
        <v>6.89655e-5</v>
      </c>
      <c r="E131" s="14">
        <f t="shared" ref="E131:E194" si="14">G131/F131</f>
        <v>0.881622137862404</v>
      </c>
      <c r="F131" s="11">
        <v>1.412977086</v>
      </c>
      <c r="G131" s="15">
        <v>1.24571187930991</v>
      </c>
      <c r="I131" s="14">
        <v>0.005007</v>
      </c>
      <c r="J131" s="13">
        <f t="shared" si="10"/>
        <v>1.27610705012982</v>
      </c>
      <c r="M131" s="14">
        <v>16.899</v>
      </c>
      <c r="N131" s="16">
        <f t="shared" si="11"/>
        <v>0.378097402213149</v>
      </c>
      <c r="Q131" s="14">
        <v>0.00973153</v>
      </c>
      <c r="R131" s="17">
        <v>0.393944302694438</v>
      </c>
      <c r="S131" s="17">
        <f t="shared" si="12"/>
        <v>3.16215229104644</v>
      </c>
      <c r="V131" s="18">
        <v>0.793997</v>
      </c>
      <c r="Y131" s="14">
        <v>8.9609</v>
      </c>
      <c r="Z131" s="19">
        <f t="shared" si="13"/>
        <v>0.713038645671752</v>
      </c>
    </row>
    <row r="132" spans="1:26">
      <c r="A132" s="1" t="s">
        <v>152</v>
      </c>
      <c r="B132" s="1">
        <v>6406400</v>
      </c>
      <c r="C132" s="2">
        <v>0</v>
      </c>
      <c r="E132" s="14">
        <f t="shared" si="14"/>
        <v>2.44987576389903</v>
      </c>
      <c r="F132" s="11">
        <v>0.320731706</v>
      </c>
      <c r="G132" s="15">
        <v>0.785752833243389</v>
      </c>
      <c r="I132" s="14">
        <v>0.004296</v>
      </c>
      <c r="J132" s="13">
        <f t="shared" si="10"/>
        <v>1.49124767225326</v>
      </c>
      <c r="M132" s="14">
        <v>16.567</v>
      </c>
      <c r="N132" s="16">
        <f t="shared" si="11"/>
        <v>0.386696444739542</v>
      </c>
      <c r="Q132" s="14">
        <v>0.027412</v>
      </c>
      <c r="R132" s="17">
        <v>0.140224719101124</v>
      </c>
      <c r="S132" s="17">
        <f t="shared" si="12"/>
        <v>5.60352581399531</v>
      </c>
      <c r="V132" s="18">
        <v>0.441503</v>
      </c>
      <c r="Y132" s="14">
        <v>18.3377</v>
      </c>
      <c r="Z132" s="19">
        <f t="shared" si="13"/>
        <v>0.349356789564667</v>
      </c>
    </row>
    <row r="133" spans="1:26">
      <c r="A133" s="1" t="s">
        <v>153</v>
      </c>
      <c r="B133" s="1">
        <v>6406400</v>
      </c>
      <c r="C133" s="2">
        <v>0</v>
      </c>
      <c r="E133" s="14">
        <f t="shared" si="14"/>
        <v>2.29806367684156</v>
      </c>
      <c r="F133" s="11">
        <v>0.3348719</v>
      </c>
      <c r="G133" s="15">
        <v>0.76955694978492</v>
      </c>
      <c r="I133" s="14">
        <v>0.00429</v>
      </c>
      <c r="J133" s="13">
        <f t="shared" si="10"/>
        <v>1.49333333333333</v>
      </c>
      <c r="M133" s="14">
        <v>26.461</v>
      </c>
      <c r="N133" s="16">
        <f t="shared" si="11"/>
        <v>0.242107252182457</v>
      </c>
      <c r="Q133" s="14">
        <v>0.0310743</v>
      </c>
      <c r="R133" s="17">
        <v>0.123698361668646</v>
      </c>
      <c r="S133" s="17">
        <f t="shared" si="12"/>
        <v>6.22123801321114</v>
      </c>
      <c r="V133" s="18">
        <v>0.441235</v>
      </c>
      <c r="Y133" s="14">
        <v>18.5092</v>
      </c>
      <c r="Z133" s="19">
        <f t="shared" si="13"/>
        <v>0.346119767466989</v>
      </c>
    </row>
    <row r="134" spans="1:26">
      <c r="A134" s="1" t="s">
        <v>154</v>
      </c>
      <c r="B134" s="1">
        <v>6408660</v>
      </c>
      <c r="C134" s="2">
        <v>0.0992634</v>
      </c>
      <c r="E134" s="14">
        <f t="shared" si="14"/>
        <v>1.72537949368322</v>
      </c>
      <c r="F134" s="11">
        <v>1.062013025</v>
      </c>
      <c r="G134" s="15">
        <v>1.83237549535949</v>
      </c>
      <c r="I134" s="14">
        <v>0.003582</v>
      </c>
      <c r="J134" s="13">
        <f t="shared" si="10"/>
        <v>1.78912897822446</v>
      </c>
      <c r="M134" s="14">
        <v>13.088</v>
      </c>
      <c r="N134" s="16">
        <f t="shared" si="11"/>
        <v>0.489659229828851</v>
      </c>
      <c r="Q134" s="14">
        <v>0.00772723</v>
      </c>
      <c r="R134" s="17">
        <v>0.497616351525708</v>
      </c>
      <c r="S134" s="17">
        <f t="shared" si="12"/>
        <v>3.68230563513712</v>
      </c>
      <c r="V134" s="18">
        <v>0.812808</v>
      </c>
      <c r="Y134" s="14">
        <v>6.9963</v>
      </c>
      <c r="Z134" s="19">
        <f t="shared" si="13"/>
        <v>0.916007032288495</v>
      </c>
    </row>
    <row r="135" spans="1:26">
      <c r="A135" s="1" t="s">
        <v>155</v>
      </c>
      <c r="B135" s="1">
        <v>6465434</v>
      </c>
      <c r="C135" s="2">
        <v>0.841077</v>
      </c>
      <c r="E135" s="14">
        <f t="shared" si="14"/>
        <v>2.06365665371091</v>
      </c>
      <c r="F135" s="11">
        <v>1.942174199</v>
      </c>
      <c r="G135" s="15">
        <v>4.007980708432</v>
      </c>
      <c r="I135" s="14">
        <v>0.001691</v>
      </c>
      <c r="J135" s="13">
        <f t="shared" si="10"/>
        <v>3.82343820224719</v>
      </c>
      <c r="M135" s="14">
        <v>13.615</v>
      </c>
      <c r="N135" s="16">
        <f t="shared" si="11"/>
        <v>0.474875798751377</v>
      </c>
      <c r="Q135" s="14">
        <v>0.0086898</v>
      </c>
      <c r="R135" s="17">
        <v>0.446415383553131</v>
      </c>
      <c r="S135" s="17">
        <f t="shared" si="12"/>
        <v>8.97814200875312</v>
      </c>
      <c r="V135" s="18">
        <v>1.80944</v>
      </c>
      <c r="Y135" s="14">
        <v>4.2499</v>
      </c>
      <c r="Z135" s="19">
        <f t="shared" si="13"/>
        <v>1.52131438386786</v>
      </c>
    </row>
    <row r="136" spans="1:26">
      <c r="A136" s="1" t="s">
        <v>156</v>
      </c>
      <c r="B136" s="1">
        <v>6493570</v>
      </c>
      <c r="C136" s="2">
        <v>0</v>
      </c>
      <c r="E136" s="14">
        <f t="shared" si="14"/>
        <v>2.90688050397465</v>
      </c>
      <c r="F136" s="11">
        <v>2.833660018</v>
      </c>
      <c r="G136" s="15">
        <v>8.23711106121667</v>
      </c>
      <c r="I136" s="14">
        <v>0.000971</v>
      </c>
      <c r="J136" s="13">
        <f t="shared" si="10"/>
        <v>6.68750772399588</v>
      </c>
      <c r="M136" s="14">
        <v>3.338</v>
      </c>
      <c r="N136" s="16">
        <f t="shared" si="11"/>
        <v>1.94534751348113</v>
      </c>
      <c r="Q136" s="14">
        <v>0.00814634</v>
      </c>
      <c r="R136" s="17">
        <v>0.478269014060302</v>
      </c>
      <c r="S136" s="17">
        <f t="shared" si="12"/>
        <v>17.2227571075263</v>
      </c>
      <c r="V136" s="18">
        <v>3.10852</v>
      </c>
      <c r="Y136" s="14">
        <v>4.0829</v>
      </c>
      <c r="Z136" s="19">
        <f t="shared" si="13"/>
        <v>1.59043082123001</v>
      </c>
    </row>
    <row r="137" spans="1:26">
      <c r="A137" s="1" t="s">
        <v>157</v>
      </c>
      <c r="B137" s="1">
        <v>6673982</v>
      </c>
      <c r="C137" s="2">
        <v>0.188758</v>
      </c>
      <c r="E137" s="14">
        <f t="shared" si="14"/>
        <v>0.94500259600869</v>
      </c>
      <c r="F137" s="11">
        <v>1.224367292</v>
      </c>
      <c r="G137" s="15">
        <v>1.15703026940813</v>
      </c>
      <c r="I137" s="14">
        <v>0.002425</v>
      </c>
      <c r="J137" s="13">
        <f t="shared" si="10"/>
        <v>2.7521575257732</v>
      </c>
      <c r="M137" s="14">
        <v>16.947</v>
      </c>
      <c r="N137" s="16">
        <f t="shared" si="11"/>
        <v>0.393814952498967</v>
      </c>
      <c r="Q137" s="14">
        <v>0.0139297</v>
      </c>
      <c r="R137" s="17">
        <v>0.287471316683058</v>
      </c>
      <c r="S137" s="17">
        <f t="shared" si="12"/>
        <v>4.02485466292199</v>
      </c>
      <c r="V137" s="18">
        <v>1.08888</v>
      </c>
      <c r="Y137" s="14">
        <v>6.9788</v>
      </c>
      <c r="Z137" s="19">
        <f t="shared" si="13"/>
        <v>0.956322290365106</v>
      </c>
    </row>
    <row r="138" spans="1:26">
      <c r="A138" s="1" t="s">
        <v>158</v>
      </c>
      <c r="B138" s="1">
        <v>6803752</v>
      </c>
      <c r="C138" s="2">
        <v>0</v>
      </c>
      <c r="E138" s="14">
        <f t="shared" si="14"/>
        <v>1.21588739244574</v>
      </c>
      <c r="F138" s="11">
        <v>0.892107559</v>
      </c>
      <c r="G138" s="15">
        <v>1.08470233369364</v>
      </c>
      <c r="I138" s="14">
        <v>0.002717</v>
      </c>
      <c r="J138" s="13">
        <f t="shared" si="10"/>
        <v>2.50414133235186</v>
      </c>
      <c r="M138" s="14">
        <v>15.284</v>
      </c>
      <c r="N138" s="16">
        <f t="shared" si="11"/>
        <v>0.445155194975137</v>
      </c>
      <c r="Q138" s="14">
        <v>0.0126147</v>
      </c>
      <c r="R138" s="17">
        <v>0.323610644724013</v>
      </c>
      <c r="S138" s="17">
        <f t="shared" si="12"/>
        <v>3.35187470306706</v>
      </c>
      <c r="V138" s="18">
        <v>0.987601</v>
      </c>
      <c r="Y138" s="14">
        <v>7.4318</v>
      </c>
      <c r="Z138" s="19">
        <f t="shared" si="13"/>
        <v>0.915491805484539</v>
      </c>
    </row>
    <row r="139" spans="1:26">
      <c r="A139" s="1" t="s">
        <v>159</v>
      </c>
      <c r="B139" s="1">
        <v>6855086</v>
      </c>
      <c r="C139" s="2">
        <v>0.012844</v>
      </c>
      <c r="E139" s="14">
        <f t="shared" si="14"/>
        <v>2.75111564905718</v>
      </c>
      <c r="F139" s="11">
        <v>2.424350717</v>
      </c>
      <c r="G139" s="15">
        <v>6.6696691963417</v>
      </c>
      <c r="I139" s="14">
        <v>0.001121</v>
      </c>
      <c r="J139" s="13">
        <f t="shared" si="10"/>
        <v>6.11515254237288</v>
      </c>
      <c r="M139" s="14">
        <v>6.116</v>
      </c>
      <c r="N139" s="16">
        <f t="shared" si="11"/>
        <v>1.12084466971877</v>
      </c>
      <c r="Q139" s="14">
        <v>0.00841267</v>
      </c>
      <c r="R139" s="17">
        <v>0.488911558399414</v>
      </c>
      <c r="S139" s="17">
        <f t="shared" si="12"/>
        <v>13.6418726081598</v>
      </c>
      <c r="V139" s="18">
        <v>2.5622</v>
      </c>
      <c r="Y139" s="14">
        <v>3.6546</v>
      </c>
      <c r="Z139" s="19">
        <f t="shared" si="13"/>
        <v>1.87574180484868</v>
      </c>
    </row>
    <row r="140" spans="1:26">
      <c r="A140" s="1" t="s">
        <v>160</v>
      </c>
      <c r="B140" s="1">
        <v>6855086</v>
      </c>
      <c r="C140" s="2">
        <v>0.00912281</v>
      </c>
      <c r="E140" s="14">
        <f t="shared" si="14"/>
        <v>1.76424472552172</v>
      </c>
      <c r="F140" s="11">
        <v>4.048196358</v>
      </c>
      <c r="G140" s="15">
        <v>7.14200907247772</v>
      </c>
      <c r="I140" s="14">
        <v>0.001099</v>
      </c>
      <c r="J140" s="13">
        <f t="shared" si="10"/>
        <v>6.23756687898089</v>
      </c>
      <c r="M140" s="14">
        <v>6.12</v>
      </c>
      <c r="N140" s="16">
        <f t="shared" si="11"/>
        <v>1.12011209150327</v>
      </c>
      <c r="Q140" s="14">
        <v>0.00855642</v>
      </c>
      <c r="R140" s="17">
        <v>0.480697721710715</v>
      </c>
      <c r="S140" s="17">
        <f t="shared" si="12"/>
        <v>14.8575887712981</v>
      </c>
      <c r="V140" s="18">
        <v>2.59963</v>
      </c>
      <c r="Y140" s="14">
        <v>3.7052</v>
      </c>
      <c r="Z140" s="19">
        <f t="shared" si="13"/>
        <v>1.85012576918925</v>
      </c>
    </row>
    <row r="141" spans="1:26">
      <c r="A141" s="1" t="s">
        <v>161</v>
      </c>
      <c r="B141" s="1">
        <v>6921148</v>
      </c>
      <c r="C141" s="2">
        <v>0.000754148</v>
      </c>
      <c r="E141" s="14">
        <f t="shared" si="14"/>
        <v>2.09251177045115</v>
      </c>
      <c r="F141" s="11">
        <v>2.298302462</v>
      </c>
      <c r="G141" s="15">
        <v>4.80922495379185</v>
      </c>
      <c r="I141" s="14">
        <v>0.002473</v>
      </c>
      <c r="J141" s="13">
        <f t="shared" si="10"/>
        <v>2.79868499797816</v>
      </c>
      <c r="M141" s="14">
        <v>16.749</v>
      </c>
      <c r="N141" s="16">
        <f t="shared" si="11"/>
        <v>0.413227535972297</v>
      </c>
      <c r="Q141" s="14">
        <v>0.00725278</v>
      </c>
      <c r="R141" s="17">
        <v>0.572565112963581</v>
      </c>
      <c r="S141" s="17">
        <f t="shared" si="12"/>
        <v>8.39943762710137</v>
      </c>
      <c r="V141" s="18">
        <v>1.90545</v>
      </c>
      <c r="Y141" s="14">
        <v>5.2482</v>
      </c>
      <c r="Z141" s="19">
        <f t="shared" si="13"/>
        <v>1.31876605312298</v>
      </c>
    </row>
    <row r="142" spans="1:26">
      <c r="A142" s="1" t="s">
        <v>162</v>
      </c>
      <c r="B142" s="1">
        <v>6967596</v>
      </c>
      <c r="C142" s="2">
        <v>0.053984</v>
      </c>
      <c r="E142" s="14">
        <f t="shared" si="14"/>
        <v>7.46937336988933</v>
      </c>
      <c r="F142" s="11">
        <v>0.11531925</v>
      </c>
      <c r="G142" s="15">
        <v>0.86136253498561</v>
      </c>
      <c r="I142" s="14">
        <v>0.00792</v>
      </c>
      <c r="J142" s="13">
        <f t="shared" si="10"/>
        <v>0.87974696969697</v>
      </c>
      <c r="M142" s="14">
        <v>9646.136</v>
      </c>
      <c r="N142" s="16">
        <f t="shared" si="11"/>
        <v>0.000722319900942719</v>
      </c>
      <c r="Q142" s="14">
        <v>0.0314947</v>
      </c>
      <c r="R142" s="17">
        <v>0.13273844805634</v>
      </c>
      <c r="S142" s="17">
        <f t="shared" si="12"/>
        <v>6.48917135613948</v>
      </c>
      <c r="V142" s="18">
        <v>0.385157</v>
      </c>
      <c r="Y142" s="14">
        <v>13.5648</v>
      </c>
      <c r="Z142" s="19">
        <f t="shared" si="13"/>
        <v>0.513652689313517</v>
      </c>
    </row>
    <row r="143" spans="1:26">
      <c r="A143" s="1" t="s">
        <v>163</v>
      </c>
      <c r="B143" s="1">
        <v>7073754</v>
      </c>
      <c r="C143" s="2">
        <v>1</v>
      </c>
      <c r="E143" s="14">
        <f t="shared" si="14"/>
        <v>1.14188141119782</v>
      </c>
      <c r="F143" s="11">
        <v>8.453323465</v>
      </c>
      <c r="G143" s="15">
        <v>9.65269292752587</v>
      </c>
      <c r="I143" s="14">
        <v>0.001001</v>
      </c>
      <c r="J143" s="13">
        <f t="shared" si="10"/>
        <v>7.06668731268731</v>
      </c>
      <c r="M143" s="14">
        <v>4.352</v>
      </c>
      <c r="N143" s="16">
        <f t="shared" si="11"/>
        <v>1.62540303308824</v>
      </c>
      <c r="Q143" s="14">
        <v>0.00640287</v>
      </c>
      <c r="R143" s="17">
        <v>0.662867182997625</v>
      </c>
      <c r="S143" s="17">
        <f t="shared" si="12"/>
        <v>14.5620316937012</v>
      </c>
      <c r="V143" s="18">
        <v>2.83775</v>
      </c>
      <c r="Y143" s="14">
        <v>2.8092</v>
      </c>
      <c r="Z143" s="19">
        <f t="shared" si="13"/>
        <v>2.51806706535668</v>
      </c>
    </row>
    <row r="144" spans="1:26">
      <c r="A144" s="1" t="s">
        <v>164</v>
      </c>
      <c r="B144" s="1">
        <v>7073754</v>
      </c>
      <c r="C144" s="2">
        <v>1</v>
      </c>
      <c r="E144" s="14">
        <f t="shared" si="14"/>
        <v>1.23294745743789</v>
      </c>
      <c r="F144" s="11">
        <v>7.698958066</v>
      </c>
      <c r="G144" s="15">
        <v>9.49241077239563</v>
      </c>
      <c r="I144" s="14">
        <v>0.000963</v>
      </c>
      <c r="J144" s="13">
        <f t="shared" si="10"/>
        <v>7.34553894080997</v>
      </c>
      <c r="M144" s="14">
        <v>3.817</v>
      </c>
      <c r="N144" s="16">
        <f t="shared" si="11"/>
        <v>1.85322347393241</v>
      </c>
      <c r="Q144" s="14">
        <v>0.00713255</v>
      </c>
      <c r="R144" s="17">
        <v>0.595053998920442</v>
      </c>
      <c r="S144" s="17">
        <f t="shared" si="12"/>
        <v>15.9521838179677</v>
      </c>
      <c r="V144" s="18">
        <v>3.03192</v>
      </c>
      <c r="Y144" s="14">
        <v>2.979</v>
      </c>
      <c r="Z144" s="19">
        <f t="shared" si="13"/>
        <v>2.37453977844914</v>
      </c>
    </row>
    <row r="145" spans="1:26">
      <c r="A145" s="1" t="s">
        <v>165</v>
      </c>
      <c r="B145" s="1">
        <v>7134236</v>
      </c>
      <c r="C145" s="2">
        <v>0.0785204</v>
      </c>
      <c r="E145" s="14">
        <f t="shared" si="14"/>
        <v>1.79357794810737</v>
      </c>
      <c r="F145" s="11">
        <v>3.915208378</v>
      </c>
      <c r="G145" s="15">
        <v>7.02223140902603</v>
      </c>
      <c r="I145" s="14">
        <v>0.001826</v>
      </c>
      <c r="J145" s="13">
        <f t="shared" si="10"/>
        <v>3.9070295728368</v>
      </c>
      <c r="M145" s="14">
        <v>11.431</v>
      </c>
      <c r="N145" s="16">
        <f t="shared" si="11"/>
        <v>0.624113025981979</v>
      </c>
      <c r="Q145" s="14">
        <v>0.00737966</v>
      </c>
      <c r="R145" s="17">
        <v>0.580045909974172</v>
      </c>
      <c r="S145" s="17">
        <f t="shared" si="12"/>
        <v>12.10633725413</v>
      </c>
      <c r="V145" s="18">
        <v>2.46381</v>
      </c>
      <c r="Y145" s="14">
        <v>3.8657</v>
      </c>
      <c r="Z145" s="19">
        <f t="shared" si="13"/>
        <v>1.84552241508653</v>
      </c>
    </row>
    <row r="146" spans="1:26">
      <c r="A146" s="1" t="s">
        <v>166</v>
      </c>
      <c r="B146" s="1">
        <v>7134236</v>
      </c>
      <c r="C146" s="2">
        <v>0.0785204</v>
      </c>
      <c r="E146" s="14">
        <f t="shared" si="14"/>
        <v>1.81121417343984</v>
      </c>
      <c r="F146" s="11">
        <v>3.91597694</v>
      </c>
      <c r="G146" s="15">
        <v>7.09267293659157</v>
      </c>
      <c r="I146" s="14">
        <v>0.001897</v>
      </c>
      <c r="J146" s="13">
        <f t="shared" si="10"/>
        <v>3.76079915656299</v>
      </c>
      <c r="M146" s="14">
        <v>12.732</v>
      </c>
      <c r="N146" s="16">
        <f t="shared" si="11"/>
        <v>0.560338988375746</v>
      </c>
      <c r="Q146" s="14">
        <v>0.00785047</v>
      </c>
      <c r="R146" s="17">
        <v>0.545259277470011</v>
      </c>
      <c r="S146" s="17">
        <f t="shared" si="12"/>
        <v>13.0078904287542</v>
      </c>
      <c r="V146" s="18">
        <v>2.47027</v>
      </c>
      <c r="Y146" s="14">
        <v>3.7664</v>
      </c>
      <c r="Z146" s="19">
        <f t="shared" si="13"/>
        <v>1.89417905692438</v>
      </c>
    </row>
    <row r="147" spans="1:26">
      <c r="A147" s="1" t="s">
        <v>167</v>
      </c>
      <c r="B147" s="1">
        <v>7158776</v>
      </c>
      <c r="C147" s="2">
        <v>0.000476348</v>
      </c>
      <c r="E147" s="14">
        <f t="shared" si="14"/>
        <v>1.09225411104299</v>
      </c>
      <c r="F147" s="11">
        <v>1.194069944</v>
      </c>
      <c r="G147" s="15">
        <v>1.30422780520687</v>
      </c>
      <c r="I147" s="14">
        <v>0.003044</v>
      </c>
      <c r="J147" s="13">
        <f t="shared" si="10"/>
        <v>2.35176609724047</v>
      </c>
      <c r="M147" s="14">
        <v>10.062</v>
      </c>
      <c r="N147" s="16">
        <f t="shared" si="11"/>
        <v>0.711466507652554</v>
      </c>
      <c r="Q147" s="14">
        <v>0.0118959</v>
      </c>
      <c r="R147" s="17">
        <v>0.361071091720677</v>
      </c>
      <c r="S147" s="17">
        <f t="shared" si="12"/>
        <v>3.61210807265572</v>
      </c>
      <c r="V147" s="18">
        <v>0.78793</v>
      </c>
      <c r="Y147" s="14">
        <v>12.9855</v>
      </c>
      <c r="Z147" s="19">
        <f t="shared" si="13"/>
        <v>0.551289977282353</v>
      </c>
    </row>
    <row r="148" spans="1:26">
      <c r="A148" s="1" t="s">
        <v>168</v>
      </c>
      <c r="B148" s="1">
        <v>7312928</v>
      </c>
      <c r="C148" s="2">
        <v>0</v>
      </c>
      <c r="E148" s="14">
        <f t="shared" si="14"/>
        <v>1.33761679318446</v>
      </c>
      <c r="F148" s="11">
        <v>1.35898252</v>
      </c>
      <c r="G148" s="15">
        <v>1.81779784039613</v>
      </c>
      <c r="I148" s="14">
        <v>0.002438</v>
      </c>
      <c r="J148" s="13">
        <f t="shared" si="10"/>
        <v>2.99956029532404</v>
      </c>
      <c r="M148" s="14">
        <v>8.114</v>
      </c>
      <c r="N148" s="16">
        <f t="shared" si="11"/>
        <v>0.901272861720483</v>
      </c>
      <c r="Q148" s="14">
        <v>0.00712722</v>
      </c>
      <c r="R148" s="17">
        <v>0.615633697290107</v>
      </c>
      <c r="S148" s="17">
        <f t="shared" si="12"/>
        <v>2.95272635074672</v>
      </c>
      <c r="V148" s="18">
        <v>1.13722</v>
      </c>
      <c r="Y148" s="14">
        <v>8.9941</v>
      </c>
      <c r="Z148" s="19">
        <f t="shared" si="13"/>
        <v>0.81308057504364</v>
      </c>
    </row>
    <row r="149" spans="1:26">
      <c r="A149" s="1" t="s">
        <v>169</v>
      </c>
      <c r="B149" s="1">
        <v>7365360</v>
      </c>
      <c r="C149" s="2">
        <v>0</v>
      </c>
      <c r="E149" s="14">
        <f t="shared" si="14"/>
        <v>2.44948609392377</v>
      </c>
      <c r="F149" s="11">
        <v>1.510838052</v>
      </c>
      <c r="G149" s="15">
        <v>3.70077679854488</v>
      </c>
      <c r="I149" s="14">
        <v>0.00289</v>
      </c>
      <c r="J149" s="13">
        <f t="shared" si="10"/>
        <v>2.54856747404844</v>
      </c>
      <c r="M149" s="14">
        <v>15.679</v>
      </c>
      <c r="N149" s="16">
        <f t="shared" si="11"/>
        <v>0.469759550991772</v>
      </c>
      <c r="Q149" s="14">
        <v>0.00906778</v>
      </c>
      <c r="R149" s="17">
        <v>0.487353685246003</v>
      </c>
      <c r="S149" s="17">
        <f t="shared" si="12"/>
        <v>7.59361611614125</v>
      </c>
      <c r="V149" s="18">
        <v>2.09041</v>
      </c>
      <c r="Y149" s="14">
        <v>5.6329</v>
      </c>
      <c r="Z149" s="19">
        <f t="shared" si="13"/>
        <v>1.3075609366401</v>
      </c>
    </row>
    <row r="150" spans="1:26">
      <c r="A150" s="1" t="s">
        <v>170</v>
      </c>
      <c r="B150" s="1">
        <v>7428020</v>
      </c>
      <c r="C150" s="2">
        <v>0.00753067</v>
      </c>
      <c r="E150" s="14">
        <f t="shared" si="14"/>
        <v>0.671994125839267</v>
      </c>
      <c r="F150" s="11">
        <v>1.838086006</v>
      </c>
      <c r="G150" s="15">
        <v>1.23518299881936</v>
      </c>
      <c r="I150" s="14">
        <v>0.013291</v>
      </c>
      <c r="J150" s="13">
        <f t="shared" si="10"/>
        <v>0.558875931081183</v>
      </c>
      <c r="M150" s="14">
        <v>49.602</v>
      </c>
      <c r="N150" s="16">
        <f t="shared" si="11"/>
        <v>0.149752429337527</v>
      </c>
      <c r="Q150" s="14">
        <v>0.0134544</v>
      </c>
      <c r="R150" s="17">
        <v>0.331253121655369</v>
      </c>
      <c r="S150" s="17">
        <f t="shared" si="12"/>
        <v>3.72881919616874</v>
      </c>
      <c r="V150" s="18">
        <v>1.06115</v>
      </c>
      <c r="Y150" s="14">
        <v>9.8242</v>
      </c>
      <c r="Z150" s="19">
        <f t="shared" si="13"/>
        <v>0.756094134891391</v>
      </c>
    </row>
    <row r="151" spans="1:26">
      <c r="A151" s="1" t="s">
        <v>171</v>
      </c>
      <c r="B151" s="1">
        <v>7493212</v>
      </c>
      <c r="C151" s="2">
        <v>0.494118</v>
      </c>
      <c r="E151" s="14">
        <f t="shared" si="14"/>
        <v>1.96183829119151</v>
      </c>
      <c r="F151" s="11">
        <v>4.196046657</v>
      </c>
      <c r="G151" s="15">
        <v>8.23196500332873</v>
      </c>
      <c r="I151" s="14">
        <v>0.001536</v>
      </c>
      <c r="J151" s="13">
        <f t="shared" si="10"/>
        <v>4.87839322916667</v>
      </c>
      <c r="M151" s="14">
        <v>9.49</v>
      </c>
      <c r="N151" s="16">
        <f t="shared" si="11"/>
        <v>0.789590305584826</v>
      </c>
      <c r="Q151" s="14">
        <v>0.00748605</v>
      </c>
      <c r="R151" s="17">
        <v>0.600574027691506</v>
      </c>
      <c r="S151" s="17">
        <f t="shared" si="12"/>
        <v>13.7068281739902</v>
      </c>
      <c r="V151" s="18">
        <v>3.50171</v>
      </c>
      <c r="Y151" s="14">
        <v>3.2948</v>
      </c>
      <c r="Z151" s="19">
        <f t="shared" si="13"/>
        <v>2.27425397596212</v>
      </c>
    </row>
    <row r="152" spans="1:26">
      <c r="A152" s="1" t="s">
        <v>172</v>
      </c>
      <c r="B152" s="1">
        <v>7641406</v>
      </c>
      <c r="C152" s="2">
        <v>0.8</v>
      </c>
      <c r="E152" s="14">
        <f t="shared" si="14"/>
        <v>2.07511562815467</v>
      </c>
      <c r="F152" s="11">
        <v>7.251217138</v>
      </c>
      <c r="G152" s="15">
        <v>15.0471140062068</v>
      </c>
      <c r="I152" s="14">
        <v>0.001148</v>
      </c>
      <c r="J152" s="13">
        <f t="shared" si="10"/>
        <v>6.65627700348432</v>
      </c>
      <c r="M152" s="14">
        <v>12.958</v>
      </c>
      <c r="N152" s="16">
        <f t="shared" si="11"/>
        <v>0.589705664454391</v>
      </c>
      <c r="Q152" s="14">
        <v>0.0130842</v>
      </c>
      <c r="R152" s="17">
        <v>0.350410693813913</v>
      </c>
      <c r="S152" s="17">
        <f t="shared" si="12"/>
        <v>42.9413664361443</v>
      </c>
      <c r="V152" s="18">
        <v>3.15445</v>
      </c>
      <c r="Y152" s="14">
        <v>2.7805</v>
      </c>
      <c r="Z152" s="19">
        <f t="shared" si="13"/>
        <v>2.74821291134688</v>
      </c>
    </row>
    <row r="153" spans="1:26">
      <c r="A153" s="1" t="s">
        <v>173</v>
      </c>
      <c r="B153" s="1">
        <v>7654280</v>
      </c>
      <c r="C153" s="2">
        <v>0.0544088</v>
      </c>
      <c r="E153" s="14">
        <f t="shared" si="14"/>
        <v>1.33082117459487</v>
      </c>
      <c r="F153" s="11">
        <v>3.36312353</v>
      </c>
      <c r="G153" s="15">
        <v>4.47571600650224</v>
      </c>
      <c r="I153" s="14">
        <v>0.0014</v>
      </c>
      <c r="J153" s="13">
        <f t="shared" si="10"/>
        <v>5.46734285714286</v>
      </c>
      <c r="M153" s="14">
        <v>22.999</v>
      </c>
      <c r="N153" s="16">
        <f t="shared" si="11"/>
        <v>0.332809252576199</v>
      </c>
      <c r="Q153" s="14">
        <v>0.0139859</v>
      </c>
      <c r="R153" s="17">
        <v>0.328371288225999</v>
      </c>
      <c r="S153" s="17">
        <f t="shared" si="12"/>
        <v>13.6300467397194</v>
      </c>
      <c r="V153" s="18">
        <v>1.73693</v>
      </c>
      <c r="Y153" s="14">
        <v>5.0408</v>
      </c>
      <c r="Z153" s="19">
        <f t="shared" si="13"/>
        <v>1.51846532296461</v>
      </c>
    </row>
    <row r="154" spans="1:26">
      <c r="A154" s="1" t="s">
        <v>174</v>
      </c>
      <c r="B154" s="1">
        <v>7654280</v>
      </c>
      <c r="C154" s="2">
        <v>0.0549041</v>
      </c>
      <c r="E154" s="14">
        <f t="shared" si="14"/>
        <v>1.34044698251515</v>
      </c>
      <c r="F154" s="11">
        <v>3.280844648</v>
      </c>
      <c r="G154" s="15">
        <v>4.39779830851259</v>
      </c>
      <c r="I154" s="14">
        <v>0.001428</v>
      </c>
      <c r="J154" s="13">
        <f t="shared" si="10"/>
        <v>5.36014005602241</v>
      </c>
      <c r="M154" s="14">
        <v>22.973</v>
      </c>
      <c r="N154" s="16">
        <f t="shared" si="11"/>
        <v>0.333185913898925</v>
      </c>
      <c r="Q154" s="14">
        <v>0.0159264</v>
      </c>
      <c r="R154" s="17">
        <v>0.28836196503918</v>
      </c>
      <c r="S154" s="17">
        <f t="shared" si="12"/>
        <v>15.2509652509652</v>
      </c>
      <c r="V154" s="18">
        <v>1.59706</v>
      </c>
      <c r="Y154" s="14">
        <v>4.9993</v>
      </c>
      <c r="Z154" s="19">
        <f t="shared" si="13"/>
        <v>1.53107034984898</v>
      </c>
    </row>
    <row r="155" spans="1:26">
      <c r="A155" s="1" t="s">
        <v>175</v>
      </c>
      <c r="B155" s="1">
        <v>7700220</v>
      </c>
      <c r="C155" s="2">
        <v>0.000270563</v>
      </c>
      <c r="E155" s="14">
        <f t="shared" si="14"/>
        <v>1.50801373470307</v>
      </c>
      <c r="F155" s="11">
        <v>0.797259536</v>
      </c>
      <c r="G155" s="15">
        <v>1.202278330411</v>
      </c>
      <c r="I155" s="14">
        <v>0.006891</v>
      </c>
      <c r="J155" s="13">
        <f t="shared" si="10"/>
        <v>1.117431432303</v>
      </c>
      <c r="M155" s="14">
        <v>25.389</v>
      </c>
      <c r="N155" s="16">
        <f t="shared" si="11"/>
        <v>0.303289613612194</v>
      </c>
      <c r="Q155" s="14">
        <v>0.0117185</v>
      </c>
      <c r="R155" s="17">
        <v>0.394259674873064</v>
      </c>
      <c r="S155" s="17">
        <f t="shared" si="12"/>
        <v>3.04945802737266</v>
      </c>
      <c r="V155" s="18">
        <v>0.751892</v>
      </c>
      <c r="Y155" s="14">
        <v>15.1754</v>
      </c>
      <c r="Z155" s="19">
        <f t="shared" si="13"/>
        <v>0.507414631574786</v>
      </c>
    </row>
    <row r="156" spans="1:26">
      <c r="A156" s="1" t="s">
        <v>176</v>
      </c>
      <c r="B156" s="1">
        <v>7713792</v>
      </c>
      <c r="C156" s="2">
        <v>0.154893</v>
      </c>
      <c r="E156" s="14">
        <f t="shared" si="14"/>
        <v>0.84853638444813</v>
      </c>
      <c r="F156" s="11">
        <v>1.976093658</v>
      </c>
      <c r="G156" s="15">
        <v>1.6767873678902</v>
      </c>
      <c r="I156" s="14">
        <v>0.002592</v>
      </c>
      <c r="J156" s="13">
        <f t="shared" si="10"/>
        <v>2.976</v>
      </c>
      <c r="M156" s="14">
        <v>18.595</v>
      </c>
      <c r="N156" s="16">
        <f t="shared" si="11"/>
        <v>0.414831513847809</v>
      </c>
      <c r="Q156" s="14">
        <v>0.00602736</v>
      </c>
      <c r="R156" s="17">
        <v>0.767877677789281</v>
      </c>
      <c r="S156" s="17">
        <f t="shared" si="12"/>
        <v>2.18366468565367</v>
      </c>
      <c r="V156" s="18">
        <v>1.23827</v>
      </c>
      <c r="Y156" s="14">
        <v>6.5898</v>
      </c>
      <c r="Z156" s="19">
        <f t="shared" si="13"/>
        <v>1.17056541928435</v>
      </c>
    </row>
    <row r="157" spans="1:26">
      <c r="A157" s="1" t="s">
        <v>177</v>
      </c>
      <c r="B157" s="1">
        <v>7720716</v>
      </c>
      <c r="C157" s="2">
        <v>0.0134042</v>
      </c>
      <c r="E157" s="14">
        <f t="shared" si="14"/>
        <v>0.707348449413245</v>
      </c>
      <c r="F157" s="11">
        <v>1.805859292</v>
      </c>
      <c r="G157" s="15">
        <v>1.2773717700547</v>
      </c>
      <c r="I157" s="14">
        <v>0.002779</v>
      </c>
      <c r="J157" s="13">
        <f t="shared" si="10"/>
        <v>2.77823533645196</v>
      </c>
      <c r="M157" s="14">
        <v>51.034</v>
      </c>
      <c r="N157" s="16">
        <f t="shared" si="11"/>
        <v>0.15128573108124</v>
      </c>
      <c r="Q157" s="14">
        <v>0.0124776</v>
      </c>
      <c r="R157" s="17">
        <v>0.371259665320254</v>
      </c>
      <c r="S157" s="17">
        <f t="shared" si="12"/>
        <v>3.44064246503272</v>
      </c>
      <c r="V157" s="18">
        <v>1.01404</v>
      </c>
      <c r="Y157" s="14">
        <v>7.9477</v>
      </c>
      <c r="Z157" s="19">
        <f t="shared" si="13"/>
        <v>0.97144029090177</v>
      </c>
    </row>
    <row r="158" spans="1:26">
      <c r="A158" s="1" t="s">
        <v>178</v>
      </c>
      <c r="B158" s="1">
        <v>8112220</v>
      </c>
      <c r="C158" s="2">
        <v>0.0246201</v>
      </c>
      <c r="E158" s="14">
        <f t="shared" si="14"/>
        <v>2.12527646991569</v>
      </c>
      <c r="F158" s="11">
        <v>1.230684978</v>
      </c>
      <c r="G158" s="15">
        <v>2.61554582562211</v>
      </c>
      <c r="I158" s="14">
        <v>0.004701</v>
      </c>
      <c r="J158" s="13">
        <f t="shared" si="10"/>
        <v>1.72563709848968</v>
      </c>
      <c r="M158" s="14">
        <v>17.432</v>
      </c>
      <c r="N158" s="16">
        <f t="shared" si="11"/>
        <v>0.46536369894447</v>
      </c>
      <c r="Q158" s="14">
        <v>0.0104143</v>
      </c>
      <c r="R158" s="17">
        <v>0.467370058477286</v>
      </c>
      <c r="S158" s="17">
        <f t="shared" si="12"/>
        <v>5.59630592114455</v>
      </c>
      <c r="V158" s="18">
        <v>1.28872</v>
      </c>
      <c r="Y158" s="14">
        <v>8.323</v>
      </c>
      <c r="Z158" s="19">
        <f t="shared" si="13"/>
        <v>0.974674996996275</v>
      </c>
    </row>
    <row r="159" spans="1:26">
      <c r="A159" s="1" t="s">
        <v>179</v>
      </c>
      <c r="B159" s="1">
        <v>8163436</v>
      </c>
      <c r="C159" s="2">
        <v>0</v>
      </c>
      <c r="E159" s="14">
        <f t="shared" si="14"/>
        <v>2.0318890550276</v>
      </c>
      <c r="F159" s="11">
        <v>1.673710486</v>
      </c>
      <c r="G159" s="15">
        <v>3.40079401778833</v>
      </c>
      <c r="I159" s="14">
        <v>0.002588</v>
      </c>
      <c r="J159" s="13">
        <f t="shared" si="10"/>
        <v>3.15434157650695</v>
      </c>
      <c r="M159" s="14">
        <v>16.915</v>
      </c>
      <c r="N159" s="16">
        <f t="shared" si="11"/>
        <v>0.482615193615134</v>
      </c>
      <c r="Q159" s="14">
        <v>0.0137665</v>
      </c>
      <c r="R159" s="17">
        <v>0.355795706969818</v>
      </c>
      <c r="S159" s="17">
        <f t="shared" si="12"/>
        <v>9.55827726745679</v>
      </c>
      <c r="V159" s="18">
        <v>1.90039</v>
      </c>
      <c r="Y159" s="14">
        <v>5.9102</v>
      </c>
      <c r="Z159" s="19">
        <f t="shared" si="13"/>
        <v>1.38124530472742</v>
      </c>
    </row>
    <row r="160" spans="1:26">
      <c r="A160" s="1" t="s">
        <v>180</v>
      </c>
      <c r="B160" s="1">
        <v>8163436</v>
      </c>
      <c r="C160" s="2">
        <v>0</v>
      </c>
      <c r="E160" s="14">
        <f t="shared" si="14"/>
        <v>2.12773707397079</v>
      </c>
      <c r="F160" s="11">
        <v>1.752290534</v>
      </c>
      <c r="G160" s="15">
        <v>3.72841353355987</v>
      </c>
      <c r="I160" s="14">
        <v>0.002619</v>
      </c>
      <c r="J160" s="13">
        <f t="shared" si="10"/>
        <v>3.11700496372661</v>
      </c>
      <c r="M160" s="14">
        <v>15.53</v>
      </c>
      <c r="N160" s="16">
        <f t="shared" si="11"/>
        <v>0.525655891822279</v>
      </c>
      <c r="Q160" s="14">
        <v>0.0140336</v>
      </c>
      <c r="R160" s="17">
        <v>0.349023885531866</v>
      </c>
      <c r="S160" s="17">
        <f t="shared" si="12"/>
        <v>10.6824022312349</v>
      </c>
      <c r="V160" s="18">
        <v>1.94346</v>
      </c>
      <c r="Y160" s="14">
        <v>6.2396</v>
      </c>
      <c r="Z160" s="19">
        <f t="shared" si="13"/>
        <v>1.30832681582153</v>
      </c>
    </row>
    <row r="161" spans="1:26">
      <c r="A161" s="1" t="s">
        <v>181</v>
      </c>
      <c r="B161" s="1">
        <v>8255048</v>
      </c>
      <c r="C161" s="2">
        <v>0.0366912</v>
      </c>
      <c r="E161" s="14">
        <f t="shared" si="14"/>
        <v>0.667716267866448</v>
      </c>
      <c r="F161" s="11">
        <v>1.81197796</v>
      </c>
      <c r="G161" s="15">
        <v>1.20988716090746</v>
      </c>
      <c r="I161" s="14">
        <v>0.013662</v>
      </c>
      <c r="J161" s="13">
        <f t="shared" si="10"/>
        <v>0.604234226321183</v>
      </c>
      <c r="M161" s="14">
        <v>24.333</v>
      </c>
      <c r="N161" s="16">
        <f t="shared" si="11"/>
        <v>0.33925319524925</v>
      </c>
      <c r="Q161" s="14">
        <v>0.014784</v>
      </c>
      <c r="R161" s="17">
        <v>0.335026298701299</v>
      </c>
      <c r="S161" s="17">
        <f t="shared" si="12"/>
        <v>3.61131996382817</v>
      </c>
      <c r="V161" s="18">
        <v>1.18029</v>
      </c>
      <c r="Y161" s="14">
        <v>8.3149</v>
      </c>
      <c r="Z161" s="19">
        <f t="shared" si="13"/>
        <v>0.992801837664915</v>
      </c>
    </row>
    <row r="162" spans="1:26">
      <c r="A162" s="1" t="s">
        <v>182</v>
      </c>
      <c r="B162" s="1">
        <v>8293828</v>
      </c>
      <c r="C162" s="2">
        <v>0.000391313</v>
      </c>
      <c r="E162" s="14">
        <f t="shared" si="14"/>
        <v>1.66264496904977</v>
      </c>
      <c r="F162" s="11">
        <v>4.034987294</v>
      </c>
      <c r="G162" s="15">
        <v>6.70875132454884</v>
      </c>
      <c r="I162" s="14">
        <v>0.001871</v>
      </c>
      <c r="J162" s="13">
        <f t="shared" si="10"/>
        <v>4.43283164083378</v>
      </c>
      <c r="M162" s="14">
        <v>11.903</v>
      </c>
      <c r="N162" s="16">
        <f t="shared" si="11"/>
        <v>0.696784676132068</v>
      </c>
      <c r="Q162" s="14">
        <v>0.00604931</v>
      </c>
      <c r="R162" s="17">
        <v>0.822622216418071</v>
      </c>
      <c r="S162" s="17">
        <f t="shared" si="12"/>
        <v>8.15532475376198</v>
      </c>
      <c r="V162" s="18">
        <v>1.63109</v>
      </c>
      <c r="Y162" s="14">
        <v>4.5265</v>
      </c>
      <c r="Z162" s="19">
        <f t="shared" si="13"/>
        <v>1.83228277918922</v>
      </c>
    </row>
    <row r="163" spans="1:26">
      <c r="A163" s="1" t="s">
        <v>183</v>
      </c>
      <c r="B163" s="1">
        <v>8315694</v>
      </c>
      <c r="C163" s="2">
        <v>0.0465455</v>
      </c>
      <c r="E163" s="14">
        <f t="shared" si="14"/>
        <v>1.29323042716114</v>
      </c>
      <c r="F163" s="11">
        <v>1.901888805</v>
      </c>
      <c r="G163" s="15">
        <v>2.45958047170314</v>
      </c>
      <c r="I163" s="14">
        <v>0.003571</v>
      </c>
      <c r="J163" s="13">
        <f t="shared" si="10"/>
        <v>2.3286737608513</v>
      </c>
      <c r="M163" s="14">
        <v>17.622</v>
      </c>
      <c r="N163" s="16">
        <f t="shared" si="11"/>
        <v>0.471892747701736</v>
      </c>
      <c r="Q163" s="14">
        <v>0.0129077</v>
      </c>
      <c r="R163" s="17">
        <v>0.38654573626595</v>
      </c>
      <c r="S163" s="17">
        <f t="shared" si="12"/>
        <v>6.36297400525693</v>
      </c>
      <c r="V163" s="18">
        <v>1.31772</v>
      </c>
      <c r="Y163" s="14">
        <v>8.0977</v>
      </c>
      <c r="Z163" s="19">
        <f t="shared" si="13"/>
        <v>1.02692048359411</v>
      </c>
    </row>
    <row r="164" spans="1:26">
      <c r="A164" s="1" t="s">
        <v>184</v>
      </c>
      <c r="B164" s="1">
        <v>8449686</v>
      </c>
      <c r="C164" s="2">
        <v>0.000950344</v>
      </c>
      <c r="E164" s="14">
        <f t="shared" si="14"/>
        <v>0.614159064731158</v>
      </c>
      <c r="F164" s="11">
        <v>5.058455623</v>
      </c>
      <c r="G164" s="15">
        <v>3.10669637440575</v>
      </c>
      <c r="I164" s="14">
        <v>0.008012</v>
      </c>
      <c r="J164" s="13">
        <f t="shared" si="10"/>
        <v>1.05462880678982</v>
      </c>
      <c r="M164" s="14">
        <v>40.412</v>
      </c>
      <c r="N164" s="16">
        <f t="shared" si="11"/>
        <v>0.209088538058003</v>
      </c>
      <c r="Q164" s="14">
        <v>0.00175679</v>
      </c>
      <c r="R164" s="17">
        <v>2.88583814798581</v>
      </c>
      <c r="S164" s="17">
        <f t="shared" si="12"/>
        <v>1.07653174401832</v>
      </c>
      <c r="V164" s="18">
        <v>1.50943</v>
      </c>
      <c r="Y164" s="14">
        <v>5.7155</v>
      </c>
      <c r="Z164" s="19">
        <f t="shared" si="13"/>
        <v>1.47838089406001</v>
      </c>
    </row>
    <row r="165" spans="1:26">
      <c r="A165" s="1" t="s">
        <v>185</v>
      </c>
      <c r="B165" s="1">
        <v>8488384</v>
      </c>
      <c r="C165" s="2">
        <v>0</v>
      </c>
      <c r="E165" s="14">
        <f t="shared" si="14"/>
        <v>0.998036517629332</v>
      </c>
      <c r="F165" s="11">
        <v>1.10445447</v>
      </c>
      <c r="G165" s="15">
        <v>1.10228589311895</v>
      </c>
      <c r="I165" s="14">
        <v>0.004955</v>
      </c>
      <c r="J165" s="13">
        <f t="shared" si="10"/>
        <v>1.7130946518668</v>
      </c>
      <c r="M165" s="14">
        <v>21.021</v>
      </c>
      <c r="N165" s="16">
        <f t="shared" si="11"/>
        <v>0.403804956947814</v>
      </c>
      <c r="Q165" s="14">
        <v>0.0125138</v>
      </c>
      <c r="R165" s="17">
        <v>0.406993111604788</v>
      </c>
      <c r="S165" s="17">
        <f t="shared" si="12"/>
        <v>2.70836498625885</v>
      </c>
      <c r="V165" s="18">
        <v>0.92585</v>
      </c>
      <c r="Y165" s="14">
        <v>14.3323</v>
      </c>
      <c r="Z165" s="19">
        <f t="shared" si="13"/>
        <v>0.592255534701339</v>
      </c>
    </row>
    <row r="166" spans="1:26">
      <c r="A166" s="1" t="s">
        <v>186</v>
      </c>
      <c r="B166" s="1">
        <v>9014258</v>
      </c>
      <c r="C166" s="2">
        <v>0</v>
      </c>
      <c r="E166" s="14">
        <f t="shared" si="14"/>
        <v>2.49022555455291</v>
      </c>
      <c r="F166" s="11">
        <v>2.246376509</v>
      </c>
      <c r="G166" s="15">
        <v>5.59398418785916</v>
      </c>
      <c r="I166" s="14">
        <v>0.001852</v>
      </c>
      <c r="J166" s="13">
        <f t="shared" si="10"/>
        <v>4.86730993520518</v>
      </c>
      <c r="M166" s="14">
        <v>14.804</v>
      </c>
      <c r="N166" s="16">
        <f t="shared" si="11"/>
        <v>0.608906917049446</v>
      </c>
      <c r="Q166" s="14">
        <v>0.00909392</v>
      </c>
      <c r="R166" s="17">
        <v>0.594744048771047</v>
      </c>
      <c r="S166" s="17">
        <f t="shared" si="12"/>
        <v>9.40570014852326</v>
      </c>
      <c r="V166" s="18">
        <v>2.32556</v>
      </c>
      <c r="Y166" s="14">
        <v>4.7572</v>
      </c>
      <c r="Z166" s="19">
        <f t="shared" si="13"/>
        <v>1.89486630791222</v>
      </c>
    </row>
    <row r="167" spans="1:26">
      <c r="A167" s="1" t="s">
        <v>187</v>
      </c>
      <c r="B167" s="1">
        <v>9042684</v>
      </c>
      <c r="C167" s="2">
        <v>0.000212123</v>
      </c>
      <c r="E167" s="14">
        <f t="shared" si="14"/>
        <v>0.903799176984023</v>
      </c>
      <c r="F167" s="11">
        <v>1.425866573</v>
      </c>
      <c r="G167" s="15">
        <v>1.28869703516643</v>
      </c>
      <c r="I167" s="14">
        <v>0.006825</v>
      </c>
      <c r="J167" s="13">
        <f t="shared" si="10"/>
        <v>1.32493538461538</v>
      </c>
      <c r="M167" s="14">
        <v>28.006</v>
      </c>
      <c r="N167" s="16">
        <f t="shared" si="11"/>
        <v>0.322883810612012</v>
      </c>
      <c r="Q167" s="14">
        <v>0.0131687</v>
      </c>
      <c r="R167" s="17">
        <v>0.412008049389841</v>
      </c>
      <c r="S167" s="17">
        <f t="shared" si="12"/>
        <v>3.12784431535964</v>
      </c>
      <c r="V167" s="18">
        <v>0.792667</v>
      </c>
      <c r="Y167" s="14">
        <v>13.014</v>
      </c>
      <c r="Z167" s="19">
        <f t="shared" si="13"/>
        <v>0.694842784693407</v>
      </c>
    </row>
    <row r="168" spans="1:26">
      <c r="A168" s="1" t="s">
        <v>188</v>
      </c>
      <c r="B168" s="1">
        <v>9085610</v>
      </c>
      <c r="C168" s="2">
        <v>0.123068</v>
      </c>
      <c r="E168" s="14">
        <f t="shared" si="14"/>
        <v>1.10671458942992</v>
      </c>
      <c r="F168" s="11">
        <v>2.17775094</v>
      </c>
      <c r="G168" s="15">
        <v>2.41014873744273</v>
      </c>
      <c r="I168" s="14">
        <v>0.00758</v>
      </c>
      <c r="J168" s="13">
        <f t="shared" si="10"/>
        <v>1.19862928759894</v>
      </c>
      <c r="M168" s="14">
        <v>35.797</v>
      </c>
      <c r="N168" s="16">
        <f t="shared" si="11"/>
        <v>0.25380925775903</v>
      </c>
      <c r="Q168" s="14">
        <v>0.0107029</v>
      </c>
      <c r="R168" s="17">
        <v>0.509335413766362</v>
      </c>
      <c r="S168" s="17">
        <f t="shared" si="12"/>
        <v>4.7319480882362</v>
      </c>
      <c r="V168" s="18">
        <v>1.69863</v>
      </c>
      <c r="Y168" s="14">
        <v>6.48</v>
      </c>
      <c r="Z168" s="19">
        <f t="shared" si="13"/>
        <v>1.40210030864198</v>
      </c>
    </row>
    <row r="169" spans="1:26">
      <c r="A169" s="1" t="s">
        <v>189</v>
      </c>
      <c r="B169" s="1">
        <v>9485076</v>
      </c>
      <c r="C169" s="2">
        <v>0</v>
      </c>
      <c r="E169" s="14">
        <f t="shared" si="14"/>
        <v>1.45348058247153</v>
      </c>
      <c r="F169" s="11">
        <v>0.973594051</v>
      </c>
      <c r="G169" s="15">
        <v>1.4151000483383</v>
      </c>
      <c r="I169" s="14">
        <v>0.003982</v>
      </c>
      <c r="J169" s="13">
        <f t="shared" si="10"/>
        <v>2.3819879457559</v>
      </c>
      <c r="M169" s="14">
        <v>14.039</v>
      </c>
      <c r="N169" s="16">
        <f t="shared" si="11"/>
        <v>0.67562333499537</v>
      </c>
      <c r="Q169" s="14">
        <v>0.010503</v>
      </c>
      <c r="R169" s="17">
        <v>0.541849528706084</v>
      </c>
      <c r="S169" s="17">
        <f t="shared" si="12"/>
        <v>2.61161073945659</v>
      </c>
      <c r="V169" s="18">
        <v>0.944781</v>
      </c>
      <c r="Y169" s="14">
        <v>15.4178</v>
      </c>
      <c r="Z169" s="19">
        <f t="shared" si="13"/>
        <v>0.615202947242797</v>
      </c>
    </row>
    <row r="170" spans="1:26">
      <c r="A170" s="1" t="s">
        <v>190</v>
      </c>
      <c r="B170" s="1">
        <v>9566300</v>
      </c>
      <c r="C170" s="2">
        <v>0.00350877</v>
      </c>
      <c r="E170" s="14">
        <f t="shared" si="14"/>
        <v>1.70499659797268</v>
      </c>
      <c r="F170" s="11">
        <v>5.794493517</v>
      </c>
      <c r="G170" s="15">
        <v>9.87959173345974</v>
      </c>
      <c r="I170" s="14">
        <v>0.001217</v>
      </c>
      <c r="J170" s="13">
        <f t="shared" si="10"/>
        <v>7.86055875102712</v>
      </c>
      <c r="M170" s="14">
        <v>7.966</v>
      </c>
      <c r="N170" s="16">
        <f t="shared" si="11"/>
        <v>1.20089128797389</v>
      </c>
      <c r="Q170" s="14">
        <v>0.00646898</v>
      </c>
      <c r="R170" s="17">
        <v>0.887277437865011</v>
      </c>
      <c r="S170" s="17">
        <f t="shared" si="12"/>
        <v>11.1347266501358</v>
      </c>
      <c r="V170" s="18">
        <v>3.48994</v>
      </c>
      <c r="Y170" s="14">
        <v>3.4645</v>
      </c>
      <c r="Z170" s="19">
        <f t="shared" si="13"/>
        <v>2.7612353875018</v>
      </c>
    </row>
    <row r="171" spans="1:26">
      <c r="A171" s="1" t="s">
        <v>191</v>
      </c>
      <c r="B171" s="1">
        <v>9574600</v>
      </c>
      <c r="C171" s="2">
        <v>0.000493535</v>
      </c>
      <c r="E171" s="14">
        <f t="shared" si="14"/>
        <v>1.18087923501679</v>
      </c>
      <c r="F171" s="11">
        <v>1.098988087</v>
      </c>
      <c r="G171" s="15">
        <v>1.29777221146913</v>
      </c>
      <c r="I171" s="14">
        <v>0.007535</v>
      </c>
      <c r="J171" s="13">
        <f t="shared" si="10"/>
        <v>1.27068347710683</v>
      </c>
      <c r="M171" s="14">
        <v>30.662</v>
      </c>
      <c r="N171" s="16">
        <f t="shared" si="11"/>
        <v>0.312262735633683</v>
      </c>
      <c r="Q171" s="14">
        <v>0.0106385</v>
      </c>
      <c r="R171" s="17">
        <v>0.539997180053579</v>
      </c>
      <c r="S171" s="17">
        <f t="shared" si="12"/>
        <v>2.40329442339007</v>
      </c>
      <c r="V171" s="18">
        <v>0.79866</v>
      </c>
      <c r="Y171" s="14">
        <v>18.4961</v>
      </c>
      <c r="Z171" s="19">
        <f t="shared" si="13"/>
        <v>0.517655073231654</v>
      </c>
    </row>
    <row r="172" spans="1:26">
      <c r="A172" s="1" t="s">
        <v>192</v>
      </c>
      <c r="B172" s="1">
        <v>9578640</v>
      </c>
      <c r="C172" s="2">
        <v>0.862442</v>
      </c>
      <c r="E172" s="14">
        <f t="shared" si="14"/>
        <v>2.44151196634506</v>
      </c>
      <c r="F172" s="11">
        <v>2.221138334</v>
      </c>
      <c r="G172" s="15">
        <v>5.42293582136872</v>
      </c>
      <c r="I172" s="14">
        <v>0.002165</v>
      </c>
      <c r="J172" s="13">
        <f t="shared" si="10"/>
        <v>4.42431408775982</v>
      </c>
      <c r="M172" s="14">
        <v>24.081</v>
      </c>
      <c r="N172" s="16">
        <f t="shared" si="11"/>
        <v>0.397767534570823</v>
      </c>
      <c r="Q172" s="14">
        <v>0.0129319</v>
      </c>
      <c r="R172" s="17">
        <v>0.444419149544924</v>
      </c>
      <c r="S172" s="17">
        <f t="shared" si="12"/>
        <v>12.2023000739768</v>
      </c>
      <c r="V172" s="18">
        <v>2.36567</v>
      </c>
      <c r="Y172" s="14">
        <v>4.708</v>
      </c>
      <c r="Z172" s="19">
        <f t="shared" si="13"/>
        <v>2.03454545454545</v>
      </c>
    </row>
    <row r="173" spans="1:26">
      <c r="A173" s="1" t="s">
        <v>193</v>
      </c>
      <c r="B173" s="1">
        <v>9782702</v>
      </c>
      <c r="C173" s="2">
        <v>0.747334</v>
      </c>
      <c r="E173" s="14">
        <f t="shared" si="14"/>
        <v>2.87035190766223</v>
      </c>
      <c r="F173" s="11">
        <v>2.726027859</v>
      </c>
      <c r="G173" s="15">
        <v>7.82465926542104</v>
      </c>
      <c r="I173" s="14">
        <v>0.002156</v>
      </c>
      <c r="J173" s="13">
        <f t="shared" si="10"/>
        <v>4.53743135435993</v>
      </c>
      <c r="M173" s="14">
        <v>15.641</v>
      </c>
      <c r="N173" s="16">
        <f t="shared" si="11"/>
        <v>0.625452464676172</v>
      </c>
      <c r="Q173" s="14">
        <v>0.0146924</v>
      </c>
      <c r="R173" s="17">
        <v>0.399500503661757</v>
      </c>
      <c r="S173" s="17">
        <f t="shared" si="12"/>
        <v>19.5861061342889</v>
      </c>
      <c r="V173" s="18">
        <v>2.34308</v>
      </c>
      <c r="Y173" s="14">
        <v>4.7348</v>
      </c>
      <c r="Z173" s="19">
        <f t="shared" si="13"/>
        <v>2.06612781954887</v>
      </c>
    </row>
    <row r="174" spans="1:26">
      <c r="A174" s="1" t="s">
        <v>194</v>
      </c>
      <c r="B174" s="1">
        <v>9790206</v>
      </c>
      <c r="C174" s="2">
        <v>0.407012</v>
      </c>
      <c r="E174" s="14">
        <f t="shared" si="14"/>
        <v>1.91040370194716</v>
      </c>
      <c r="F174" s="11">
        <v>3.115136035</v>
      </c>
      <c r="G174" s="15">
        <v>5.95116741333301</v>
      </c>
      <c r="I174" s="14">
        <v>0.001809</v>
      </c>
      <c r="J174" s="13">
        <f t="shared" si="10"/>
        <v>5.41194361525705</v>
      </c>
      <c r="M174" s="14">
        <v>17.553</v>
      </c>
      <c r="N174" s="16">
        <f t="shared" si="11"/>
        <v>0.557751153648949</v>
      </c>
      <c r="Q174" s="14">
        <v>0.00966225</v>
      </c>
      <c r="R174" s="17">
        <v>0.607945726926958</v>
      </c>
      <c r="S174" s="17">
        <f t="shared" si="12"/>
        <v>9.78897811062009</v>
      </c>
      <c r="V174" s="18">
        <v>2.59233</v>
      </c>
      <c r="Y174" s="14">
        <v>4.7362</v>
      </c>
      <c r="Z174" s="19">
        <f t="shared" si="13"/>
        <v>2.06710147375533</v>
      </c>
    </row>
    <row r="175" spans="1:26">
      <c r="A175" s="1" t="s">
        <v>195</v>
      </c>
      <c r="B175" s="1">
        <v>9791210</v>
      </c>
      <c r="C175" s="2">
        <v>0.111185</v>
      </c>
      <c r="E175" s="14">
        <f t="shared" si="14"/>
        <v>1.05617824037242</v>
      </c>
      <c r="F175" s="11">
        <v>2.586575084</v>
      </c>
      <c r="G175" s="15">
        <v>2.73188432081026</v>
      </c>
      <c r="I175" s="14">
        <v>0.003928</v>
      </c>
      <c r="J175" s="13">
        <f t="shared" si="10"/>
        <v>2.49267057026477</v>
      </c>
      <c r="M175" s="14">
        <v>21.176</v>
      </c>
      <c r="N175" s="16">
        <f t="shared" si="11"/>
        <v>0.46237296939932</v>
      </c>
      <c r="Q175" s="14">
        <v>0.0133056</v>
      </c>
      <c r="R175" s="17">
        <v>0.441522817460317</v>
      </c>
      <c r="S175" s="17">
        <f t="shared" si="12"/>
        <v>6.1874136800547</v>
      </c>
      <c r="V175" s="18">
        <v>1.45801</v>
      </c>
      <c r="Y175" s="14">
        <v>10.1505</v>
      </c>
      <c r="Z175" s="19">
        <f t="shared" si="13"/>
        <v>0.964603714102754</v>
      </c>
    </row>
    <row r="176" spans="1:26">
      <c r="A176" s="1" t="s">
        <v>196</v>
      </c>
      <c r="B176" s="1">
        <v>9909172</v>
      </c>
      <c r="C176" s="2">
        <v>0.000817355</v>
      </c>
      <c r="E176" s="14">
        <f t="shared" si="14"/>
        <v>1.34006711637002</v>
      </c>
      <c r="F176" s="11">
        <v>0.862589835</v>
      </c>
      <c r="G176" s="15">
        <v>1.15592827279854</v>
      </c>
      <c r="I176" s="14">
        <v>0.005846</v>
      </c>
      <c r="J176" s="13">
        <f t="shared" si="10"/>
        <v>1.69503455354088</v>
      </c>
      <c r="M176" s="14">
        <v>24.391</v>
      </c>
      <c r="N176" s="16">
        <f t="shared" si="11"/>
        <v>0.406263457832807</v>
      </c>
      <c r="Q176" s="14">
        <v>0.0100845</v>
      </c>
      <c r="R176" s="17">
        <v>0.589568466458426</v>
      </c>
      <c r="S176" s="17">
        <f t="shared" si="12"/>
        <v>1.96063449550189</v>
      </c>
      <c r="V176" s="18">
        <v>0.82581</v>
      </c>
      <c r="Y176" s="14">
        <v>15.9847</v>
      </c>
      <c r="Z176" s="19">
        <f t="shared" si="13"/>
        <v>0.619916044717761</v>
      </c>
    </row>
    <row r="177" spans="1:26">
      <c r="A177" s="1" t="s">
        <v>197</v>
      </c>
      <c r="B177" s="1">
        <v>9977640</v>
      </c>
      <c r="C177" s="2">
        <v>0.000164116</v>
      </c>
      <c r="E177" s="14">
        <f t="shared" si="14"/>
        <v>1.84849542518602</v>
      </c>
      <c r="F177" s="11">
        <v>0.690993403</v>
      </c>
      <c r="G177" s="15">
        <v>1.27729814427922</v>
      </c>
      <c r="I177" s="14">
        <v>0.009378</v>
      </c>
      <c r="J177" s="13">
        <f t="shared" si="10"/>
        <v>1.06394113883557</v>
      </c>
      <c r="M177" s="14">
        <v>30.629</v>
      </c>
      <c r="N177" s="16">
        <f t="shared" si="11"/>
        <v>0.325757941819844</v>
      </c>
      <c r="Q177" s="14">
        <v>0.0152234</v>
      </c>
      <c r="R177" s="17">
        <v>0.393248814325315</v>
      </c>
      <c r="S177" s="17">
        <f t="shared" si="12"/>
        <v>3.24806610407877</v>
      </c>
      <c r="V177" s="18">
        <v>0.763837</v>
      </c>
      <c r="Y177" s="14">
        <v>17.0728</v>
      </c>
      <c r="Z177" s="19">
        <f t="shared" si="13"/>
        <v>0.584417318776065</v>
      </c>
    </row>
    <row r="178" spans="1:26">
      <c r="A178" s="1" t="s">
        <v>198</v>
      </c>
      <c r="B178" s="1">
        <v>10016908</v>
      </c>
      <c r="C178" s="2">
        <v>0</v>
      </c>
      <c r="E178" s="14">
        <f t="shared" si="14"/>
        <v>1.30089618954544</v>
      </c>
      <c r="F178" s="11">
        <v>1.49309698</v>
      </c>
      <c r="G178" s="15">
        <v>1.94236417190381</v>
      </c>
      <c r="I178" s="14">
        <v>0.007392</v>
      </c>
      <c r="J178" s="13">
        <f t="shared" si="10"/>
        <v>1.35510119047619</v>
      </c>
      <c r="M178" s="14">
        <v>24.219</v>
      </c>
      <c r="N178" s="16">
        <f t="shared" si="11"/>
        <v>0.413597093191296</v>
      </c>
      <c r="Q178" s="14">
        <v>0.00970085</v>
      </c>
      <c r="R178" s="17">
        <v>0.619548266389028</v>
      </c>
      <c r="S178" s="17">
        <f t="shared" si="12"/>
        <v>3.13512970220169</v>
      </c>
      <c r="V178" s="18">
        <v>0.92468</v>
      </c>
      <c r="Y178" s="14">
        <v>12.8347</v>
      </c>
      <c r="Z178" s="19">
        <f t="shared" si="13"/>
        <v>0.780455172306326</v>
      </c>
    </row>
    <row r="179" spans="1:26">
      <c r="A179" s="1" t="s">
        <v>199</v>
      </c>
      <c r="B179" s="1">
        <v>10016908</v>
      </c>
      <c r="C179" s="2">
        <v>0</v>
      </c>
      <c r="E179" s="14">
        <f t="shared" si="14"/>
        <v>1.18952235252831</v>
      </c>
      <c r="F179" s="11">
        <v>1.612640331</v>
      </c>
      <c r="G179" s="15">
        <v>1.91827172031315</v>
      </c>
      <c r="I179" s="14">
        <v>0.007398</v>
      </c>
      <c r="J179" s="13">
        <f t="shared" si="10"/>
        <v>1.35400216274669</v>
      </c>
      <c r="M179" s="14">
        <v>23.815</v>
      </c>
      <c r="N179" s="16">
        <f t="shared" si="11"/>
        <v>0.420613394919169</v>
      </c>
      <c r="Q179" s="14">
        <v>0.0097883</v>
      </c>
      <c r="R179" s="17">
        <v>0.614013138134303</v>
      </c>
      <c r="S179" s="17">
        <f t="shared" si="12"/>
        <v>3.12415419341331</v>
      </c>
      <c r="V179" s="18">
        <v>0.918129</v>
      </c>
      <c r="Y179" s="14">
        <v>11.8692</v>
      </c>
      <c r="Z179" s="19">
        <f t="shared" si="13"/>
        <v>0.843941293431739</v>
      </c>
    </row>
    <row r="180" spans="1:26">
      <c r="A180" s="1" t="s">
        <v>200</v>
      </c>
      <c r="B180" s="1">
        <v>10160640</v>
      </c>
      <c r="C180" s="2">
        <v>0</v>
      </c>
      <c r="E180" s="14">
        <f t="shared" si="14"/>
        <v>1.03732030855272</v>
      </c>
      <c r="F180" s="11">
        <v>0.708361737</v>
      </c>
      <c r="G180" s="15">
        <v>0.734798015591779</v>
      </c>
      <c r="I180" s="14">
        <v>0.007858</v>
      </c>
      <c r="J180" s="13">
        <f t="shared" si="10"/>
        <v>1.29303130567574</v>
      </c>
      <c r="M180" s="14">
        <v>27.803</v>
      </c>
      <c r="N180" s="16">
        <f t="shared" si="11"/>
        <v>0.365451210301047</v>
      </c>
      <c r="Q180" s="14">
        <v>0.02836</v>
      </c>
      <c r="R180" s="17">
        <v>0.214964174894217</v>
      </c>
      <c r="S180" s="17">
        <f t="shared" si="12"/>
        <v>3.41823476378504</v>
      </c>
      <c r="V180" s="18">
        <v>0.803602</v>
      </c>
      <c r="Y180" s="14">
        <v>28.8683</v>
      </c>
      <c r="Z180" s="19">
        <f t="shared" si="13"/>
        <v>0.351965304503556</v>
      </c>
    </row>
    <row r="181" spans="1:26">
      <c r="A181" s="1" t="s">
        <v>201</v>
      </c>
      <c r="B181" s="1">
        <v>10200858</v>
      </c>
      <c r="C181" s="2">
        <v>0.0058651</v>
      </c>
      <c r="E181" s="14">
        <f t="shared" si="14"/>
        <v>2.50541648843085</v>
      </c>
      <c r="F181" s="11">
        <v>3.061639929</v>
      </c>
      <c r="G181" s="15">
        <v>7.67068315975486</v>
      </c>
      <c r="I181" s="14">
        <v>0.001452</v>
      </c>
      <c r="J181" s="13">
        <f t="shared" si="10"/>
        <v>7.02538429752066</v>
      </c>
      <c r="M181" s="14">
        <v>8.845</v>
      </c>
      <c r="N181" s="16">
        <f t="shared" si="11"/>
        <v>1.15329089881289</v>
      </c>
      <c r="Q181" s="14">
        <v>0.0109193</v>
      </c>
      <c r="R181" s="17">
        <v>0.560522634234795</v>
      </c>
      <c r="S181" s="17">
        <f t="shared" si="12"/>
        <v>13.6848767404845</v>
      </c>
      <c r="V181" s="18">
        <v>2.65988</v>
      </c>
      <c r="Y181" s="14">
        <v>4.0232</v>
      </c>
      <c r="Z181" s="19">
        <f t="shared" si="13"/>
        <v>2.53550855040764</v>
      </c>
    </row>
    <row r="182" spans="1:26">
      <c r="A182" s="1" t="s">
        <v>202</v>
      </c>
      <c r="B182" s="1">
        <v>10200858</v>
      </c>
      <c r="C182" s="2">
        <v>0.00808436</v>
      </c>
      <c r="E182" s="14">
        <f t="shared" si="14"/>
        <v>2.25098598312844</v>
      </c>
      <c r="F182" s="11">
        <v>3.255482135</v>
      </c>
      <c r="G182" s="15">
        <v>7.32804465421004</v>
      </c>
      <c r="I182" s="14">
        <v>0.001466</v>
      </c>
      <c r="J182" s="13">
        <f t="shared" si="10"/>
        <v>6.95829331514325</v>
      </c>
      <c r="M182" s="14">
        <v>9.269</v>
      </c>
      <c r="N182" s="16">
        <f t="shared" si="11"/>
        <v>1.10053490128385</v>
      </c>
      <c r="Q182" s="14">
        <v>0.0118867</v>
      </c>
      <c r="R182" s="17">
        <v>0.514904456241009</v>
      </c>
      <c r="S182" s="17">
        <f t="shared" si="12"/>
        <v>14.2318532407108</v>
      </c>
      <c r="V182" s="18">
        <v>2.54358</v>
      </c>
      <c r="Y182" s="14">
        <v>4.1912</v>
      </c>
      <c r="Z182" s="19">
        <f t="shared" si="13"/>
        <v>2.43387526245467</v>
      </c>
    </row>
    <row r="183" spans="1:26">
      <c r="A183" s="1" t="s">
        <v>203</v>
      </c>
      <c r="B183" s="1">
        <v>10215038</v>
      </c>
      <c r="C183" s="2">
        <v>0.00540906</v>
      </c>
      <c r="E183" s="14">
        <f t="shared" si="14"/>
        <v>2.37520907265185</v>
      </c>
      <c r="F183" s="11">
        <v>3.066773658</v>
      </c>
      <c r="G183" s="15">
        <v>7.28422861625129</v>
      </c>
      <c r="I183" s="14">
        <v>0.001397</v>
      </c>
      <c r="J183" s="13">
        <f t="shared" si="10"/>
        <v>7.31212455261274</v>
      </c>
      <c r="M183" s="14">
        <v>8.758</v>
      </c>
      <c r="N183" s="16">
        <f t="shared" si="11"/>
        <v>1.16636652203699</v>
      </c>
      <c r="Q183" s="14">
        <v>0.0111165</v>
      </c>
      <c r="R183" s="17">
        <v>0.551344649844825</v>
      </c>
      <c r="S183" s="17">
        <f t="shared" si="12"/>
        <v>13.2117517024994</v>
      </c>
      <c r="V183" s="18">
        <v>2.61515</v>
      </c>
      <c r="Y183" s="14">
        <v>4.2044</v>
      </c>
      <c r="Z183" s="19">
        <f t="shared" si="13"/>
        <v>2.42960660260679</v>
      </c>
    </row>
    <row r="184" spans="1:26">
      <c r="A184" s="1" t="s">
        <v>204</v>
      </c>
      <c r="B184" s="1">
        <v>10215038</v>
      </c>
      <c r="C184" s="2">
        <v>0.00735474</v>
      </c>
      <c r="E184" s="14">
        <f t="shared" si="14"/>
        <v>2.36017798190914</v>
      </c>
      <c r="F184" s="11">
        <v>3.030740673</v>
      </c>
      <c r="G184" s="15">
        <v>7.15308740529109</v>
      </c>
      <c r="I184" s="14">
        <v>0.001425</v>
      </c>
      <c r="J184" s="13">
        <f t="shared" si="10"/>
        <v>7.16844771929825</v>
      </c>
      <c r="M184" s="14">
        <v>9.15</v>
      </c>
      <c r="N184" s="16">
        <f t="shared" si="11"/>
        <v>1.11639759562842</v>
      </c>
      <c r="Q184" s="14">
        <v>0.0127498</v>
      </c>
      <c r="R184" s="17">
        <v>0.480715211219</v>
      </c>
      <c r="S184" s="17">
        <f t="shared" si="12"/>
        <v>14.8800937402256</v>
      </c>
      <c r="V184" s="18">
        <v>2.55554</v>
      </c>
      <c r="Y184" s="14">
        <v>4.1163</v>
      </c>
      <c r="Z184" s="19">
        <f t="shared" si="13"/>
        <v>2.48160678279037</v>
      </c>
    </row>
    <row r="185" spans="1:26">
      <c r="A185" s="1" t="s">
        <v>205</v>
      </c>
      <c r="B185" s="1">
        <v>10240864</v>
      </c>
      <c r="C185" s="2">
        <v>0</v>
      </c>
      <c r="E185" s="14">
        <f t="shared" si="14"/>
        <v>1.2415308967471</v>
      </c>
      <c r="F185" s="11">
        <v>1.080178469</v>
      </c>
      <c r="G185" s="15">
        <v>1.34107494326448</v>
      </c>
      <c r="I185" s="14">
        <v>0.007806</v>
      </c>
      <c r="J185" s="13">
        <f t="shared" si="10"/>
        <v>1.31192211119652</v>
      </c>
      <c r="M185" s="14">
        <v>29.775</v>
      </c>
      <c r="N185" s="16">
        <f t="shared" si="11"/>
        <v>0.343941696053736</v>
      </c>
      <c r="Q185" s="14">
        <v>0.0116944</v>
      </c>
      <c r="R185" s="17">
        <v>0.525423997810918</v>
      </c>
      <c r="S185" s="17">
        <f t="shared" si="12"/>
        <v>2.55236713368978</v>
      </c>
      <c r="V185" s="18">
        <v>0.792411</v>
      </c>
      <c r="Y185" s="14">
        <v>16.2619</v>
      </c>
      <c r="Z185" s="19">
        <f t="shared" si="13"/>
        <v>0.629745847656178</v>
      </c>
    </row>
    <row r="186" spans="1:26">
      <c r="A186" s="1" t="s">
        <v>206</v>
      </c>
      <c r="B186" s="1">
        <v>10265412</v>
      </c>
      <c r="C186" s="2">
        <v>0</v>
      </c>
      <c r="E186" s="14">
        <f t="shared" si="14"/>
        <v>1.06789100108334</v>
      </c>
      <c r="F186" s="11">
        <v>1.722987783</v>
      </c>
      <c r="G186" s="15">
        <v>1.83996314844223</v>
      </c>
      <c r="I186" s="14">
        <v>0.003759</v>
      </c>
      <c r="J186" s="13">
        <f t="shared" si="10"/>
        <v>2.73088906624102</v>
      </c>
      <c r="M186" s="14">
        <v>25.092</v>
      </c>
      <c r="N186" s="16">
        <f t="shared" si="11"/>
        <v>0.409110951697752</v>
      </c>
      <c r="Q186" s="14">
        <v>0.0107073</v>
      </c>
      <c r="R186" s="17">
        <v>0.575238127258973</v>
      </c>
      <c r="S186" s="17">
        <f t="shared" si="12"/>
        <v>3.19861125549815</v>
      </c>
      <c r="V186" s="18">
        <v>1.34612</v>
      </c>
      <c r="Y186" s="14">
        <v>8.185</v>
      </c>
      <c r="Z186" s="19">
        <f t="shared" si="13"/>
        <v>1.25417373243739</v>
      </c>
    </row>
    <row r="187" spans="1:26">
      <c r="A187" s="1" t="s">
        <v>207</v>
      </c>
      <c r="B187" s="1">
        <v>10316460</v>
      </c>
      <c r="C187" s="2">
        <v>0</v>
      </c>
      <c r="E187" s="14">
        <f t="shared" si="14"/>
        <v>2.9121805419975</v>
      </c>
      <c r="F187" s="11">
        <v>3.658083259</v>
      </c>
      <c r="G187" s="15">
        <v>10.6529988878666</v>
      </c>
      <c r="I187" s="14">
        <v>0.001726</v>
      </c>
      <c r="J187" s="13">
        <f t="shared" si="10"/>
        <v>5.97709154113557</v>
      </c>
      <c r="M187" s="14">
        <v>16.094</v>
      </c>
      <c r="N187" s="16">
        <f t="shared" si="11"/>
        <v>0.641012799801168</v>
      </c>
      <c r="Q187" s="14">
        <v>0.0111586</v>
      </c>
      <c r="R187" s="17">
        <v>0.554717975373255</v>
      </c>
      <c r="S187" s="17">
        <f t="shared" si="12"/>
        <v>19.2043513295175</v>
      </c>
      <c r="V187" s="18">
        <v>1.58457</v>
      </c>
      <c r="Y187" s="14">
        <v>4.0975</v>
      </c>
      <c r="Z187" s="19">
        <f t="shared" si="13"/>
        <v>2.51774496644295</v>
      </c>
    </row>
    <row r="188" spans="1:26">
      <c r="A188" s="1" t="s">
        <v>208</v>
      </c>
      <c r="B188" s="1">
        <v>10353012</v>
      </c>
      <c r="C188" s="2">
        <v>0</v>
      </c>
      <c r="E188" s="14">
        <f t="shared" si="14"/>
        <v>0.96437440757837</v>
      </c>
      <c r="F188" s="11">
        <v>1.143444569</v>
      </c>
      <c r="G188" s="15">
        <v>1.10270867882808</v>
      </c>
      <c r="I188" s="14">
        <v>0.005815</v>
      </c>
      <c r="J188" s="13">
        <f t="shared" si="10"/>
        <v>1.78039759243336</v>
      </c>
      <c r="M188" s="14">
        <v>29.19</v>
      </c>
      <c r="N188" s="16">
        <f t="shared" si="11"/>
        <v>0.354676670092497</v>
      </c>
      <c r="Q188" s="14">
        <v>0.012034</v>
      </c>
      <c r="R188" s="17">
        <v>0.516188067143095</v>
      </c>
      <c r="S188" s="17">
        <f t="shared" si="12"/>
        <v>2.13625372033715</v>
      </c>
      <c r="V188" s="18">
        <v>0.863762</v>
      </c>
      <c r="Y188" s="14">
        <v>11.8736</v>
      </c>
      <c r="Z188" s="19">
        <f t="shared" si="13"/>
        <v>0.871935386066568</v>
      </c>
    </row>
    <row r="189" spans="1:26">
      <c r="A189" s="1" t="s">
        <v>209</v>
      </c>
      <c r="B189" s="1">
        <v>10437072</v>
      </c>
      <c r="C189" s="2">
        <v>0.0769709</v>
      </c>
      <c r="E189" s="14">
        <f t="shared" si="14"/>
        <v>1.01459939534591</v>
      </c>
      <c r="F189" s="11">
        <v>1.461473712</v>
      </c>
      <c r="G189" s="15">
        <v>1.48281034450915</v>
      </c>
      <c r="I189" s="14">
        <v>0.003207</v>
      </c>
      <c r="J189" s="13">
        <f t="shared" si="10"/>
        <v>3.25446585594013</v>
      </c>
      <c r="M189" s="14">
        <v>28.462</v>
      </c>
      <c r="N189" s="16">
        <f t="shared" si="11"/>
        <v>0.366701988616401</v>
      </c>
      <c r="Q189" s="14">
        <v>0.0096447</v>
      </c>
      <c r="R189" s="17">
        <v>0.649293726087903</v>
      </c>
      <c r="S189" s="17">
        <f t="shared" si="12"/>
        <v>2.2837281263186</v>
      </c>
      <c r="V189" s="18">
        <v>0.918791</v>
      </c>
      <c r="Y189" s="14">
        <v>9.3673</v>
      </c>
      <c r="Z189" s="19">
        <f t="shared" si="13"/>
        <v>1.11420281190951</v>
      </c>
    </row>
    <row r="190" spans="1:26">
      <c r="A190" s="1" t="s">
        <v>210</v>
      </c>
      <c r="B190" s="1">
        <v>10478038</v>
      </c>
      <c r="C190" s="2">
        <v>0.475619</v>
      </c>
      <c r="E190" s="14">
        <f t="shared" si="14"/>
        <v>1.22711245482357</v>
      </c>
      <c r="F190" s="11">
        <v>0.978733641</v>
      </c>
      <c r="G190" s="15">
        <v>1.20101624082592</v>
      </c>
      <c r="I190" s="14">
        <v>0.003952</v>
      </c>
      <c r="J190" s="13">
        <f t="shared" si="10"/>
        <v>2.6513254048583</v>
      </c>
      <c r="M190" s="14">
        <v>15.797</v>
      </c>
      <c r="N190" s="16">
        <f t="shared" si="11"/>
        <v>0.663292903715895</v>
      </c>
      <c r="Q190" s="14">
        <v>0.0278429</v>
      </c>
      <c r="R190" s="17">
        <v>0.225796264038588</v>
      </c>
      <c r="S190" s="17">
        <f t="shared" si="12"/>
        <v>5.31902618468776</v>
      </c>
      <c r="V190" s="18">
        <v>0.759038</v>
      </c>
      <c r="Y190" s="14">
        <v>18.0545</v>
      </c>
      <c r="Z190" s="19">
        <f t="shared" si="13"/>
        <v>0.580356033121936</v>
      </c>
    </row>
    <row r="191" spans="1:26">
      <c r="A191" s="1" t="s">
        <v>211</v>
      </c>
      <c r="B191" s="1">
        <v>10532754</v>
      </c>
      <c r="C191" s="2">
        <v>0.915044</v>
      </c>
      <c r="E191" s="14">
        <f t="shared" si="14"/>
        <v>3.20492368743666</v>
      </c>
      <c r="F191" s="11">
        <v>5.945597383</v>
      </c>
      <c r="G191" s="15">
        <v>19.0551858887381</v>
      </c>
      <c r="I191" s="14">
        <v>0.001139</v>
      </c>
      <c r="J191" s="13">
        <f t="shared" si="10"/>
        <v>9.24736962247585</v>
      </c>
      <c r="M191" s="14">
        <v>19.057</v>
      </c>
      <c r="N191" s="16">
        <f t="shared" si="11"/>
        <v>0.552697381539592</v>
      </c>
      <c r="Q191" s="14">
        <v>0.00698857</v>
      </c>
      <c r="R191" s="17">
        <v>0.9042840523884</v>
      </c>
      <c r="S191" s="17">
        <f t="shared" si="12"/>
        <v>21.0721242273481</v>
      </c>
      <c r="V191" s="18">
        <v>4.18171</v>
      </c>
      <c r="Y191" s="14">
        <v>2.9204</v>
      </c>
      <c r="Z191" s="19">
        <f t="shared" si="13"/>
        <v>3.60661347760581</v>
      </c>
    </row>
    <row r="192" spans="1:26">
      <c r="A192" s="1" t="s">
        <v>212</v>
      </c>
      <c r="B192" s="1">
        <v>10532754</v>
      </c>
      <c r="C192" s="2">
        <v>0.911765</v>
      </c>
      <c r="E192" s="14">
        <f t="shared" si="14"/>
        <v>2.34059891863798</v>
      </c>
      <c r="F192" s="11">
        <v>8.225970065</v>
      </c>
      <c r="G192" s="15">
        <v>19.2536966388874</v>
      </c>
      <c r="I192" s="14">
        <v>0.001059</v>
      </c>
      <c r="J192" s="13">
        <f t="shared" si="10"/>
        <v>9.9459433427762</v>
      </c>
      <c r="M192" s="14">
        <v>18.856</v>
      </c>
      <c r="N192" s="16">
        <f t="shared" si="11"/>
        <v>0.558588990241833</v>
      </c>
      <c r="Q192" s="14">
        <v>0.00698976</v>
      </c>
      <c r="R192" s="17">
        <v>0.904130098887515</v>
      </c>
      <c r="S192" s="17">
        <f t="shared" si="12"/>
        <v>21.2952722872273</v>
      </c>
      <c r="V192" s="18">
        <v>4.13411</v>
      </c>
      <c r="Y192" s="14">
        <v>2.9349</v>
      </c>
      <c r="Z192" s="19">
        <f t="shared" si="13"/>
        <v>3.58879484820607</v>
      </c>
    </row>
    <row r="193" spans="1:26">
      <c r="A193" s="1" t="s">
        <v>213</v>
      </c>
      <c r="B193" s="1">
        <v>10532754</v>
      </c>
      <c r="C193" s="2">
        <v>0.910555</v>
      </c>
      <c r="E193" s="14">
        <f t="shared" si="14"/>
        <v>2.30876833751838</v>
      </c>
      <c r="F193" s="11">
        <v>8.193321878</v>
      </c>
      <c r="G193" s="15">
        <v>18.916482131023</v>
      </c>
      <c r="I193" s="14">
        <v>0.001027</v>
      </c>
      <c r="J193" s="13">
        <f t="shared" si="10"/>
        <v>10.2558461538462</v>
      </c>
      <c r="M193" s="14">
        <v>18.357</v>
      </c>
      <c r="N193" s="16">
        <f t="shared" si="11"/>
        <v>0.573773165549926</v>
      </c>
      <c r="Q193" s="14">
        <v>0.00700519</v>
      </c>
      <c r="R193" s="17">
        <v>0.902138614370203</v>
      </c>
      <c r="S193" s="17">
        <f t="shared" si="12"/>
        <v>20.9684873584852</v>
      </c>
      <c r="V193" s="18">
        <v>4.14536</v>
      </c>
      <c r="Y193" s="14">
        <v>3.0416</v>
      </c>
      <c r="Z193" s="19">
        <f t="shared" si="13"/>
        <v>3.46289913203577</v>
      </c>
    </row>
    <row r="194" spans="1:26">
      <c r="A194" s="1" t="s">
        <v>214</v>
      </c>
      <c r="B194" s="1">
        <v>10532754</v>
      </c>
      <c r="C194" s="2">
        <v>0.917254</v>
      </c>
      <c r="E194" s="14">
        <f t="shared" si="14"/>
        <v>2.09328809733048</v>
      </c>
      <c r="F194" s="11">
        <v>8.095281872</v>
      </c>
      <c r="G194" s="15">
        <v>16.9457571871928</v>
      </c>
      <c r="I194" s="14">
        <v>0.001154</v>
      </c>
      <c r="J194" s="13">
        <f t="shared" ref="J194:J257" si="15">B194/I194/1000000000</f>
        <v>9.1271698440208</v>
      </c>
      <c r="M194" s="14">
        <v>18.641</v>
      </c>
      <c r="N194" s="16">
        <f t="shared" ref="N194:N257" si="16">B194/M194/1000000</f>
        <v>0.565031597017327</v>
      </c>
      <c r="Q194" s="14">
        <v>0.00710048</v>
      </c>
      <c r="R194" s="17">
        <v>0.890031716165668</v>
      </c>
      <c r="S194" s="17">
        <f t="shared" ref="S194:S257" si="17">G194/R194</f>
        <v>19.03949812058</v>
      </c>
      <c r="V194" s="18">
        <v>4.12793</v>
      </c>
      <c r="Y194" s="14">
        <v>2.9818</v>
      </c>
      <c r="Z194" s="19">
        <f t="shared" ref="Z194:Z257" si="18">B194/Y194/1000000</f>
        <v>3.53234757529009</v>
      </c>
    </row>
    <row r="195" spans="1:26">
      <c r="A195" s="1" t="s">
        <v>215</v>
      </c>
      <c r="B195" s="1">
        <v>10532754</v>
      </c>
      <c r="C195" s="2">
        <v>0.912966</v>
      </c>
      <c r="E195" s="14">
        <f t="shared" ref="E195:E258" si="19">G195/F195</f>
        <v>2.23153943198436</v>
      </c>
      <c r="F195" s="11">
        <v>8.244237718</v>
      </c>
      <c r="G195" s="15">
        <v>18.3973415543698</v>
      </c>
      <c r="I195" s="14">
        <v>0.001068</v>
      </c>
      <c r="J195" s="13">
        <f t="shared" si="15"/>
        <v>9.86212921348315</v>
      </c>
      <c r="M195" s="14">
        <v>18.113</v>
      </c>
      <c r="N195" s="16">
        <f t="shared" si="16"/>
        <v>0.581502456798984</v>
      </c>
      <c r="Q195" s="14">
        <v>0.00711498</v>
      </c>
      <c r="R195" s="17">
        <v>0.888217872713627</v>
      </c>
      <c r="S195" s="17">
        <f t="shared" si="17"/>
        <v>20.712645083535</v>
      </c>
      <c r="V195" s="18">
        <v>4.14106</v>
      </c>
      <c r="Y195" s="14">
        <v>2.9378</v>
      </c>
      <c r="Z195" s="19">
        <f t="shared" si="18"/>
        <v>3.58525222955953</v>
      </c>
    </row>
    <row r="196" spans="1:26">
      <c r="A196" s="1" t="s">
        <v>216</v>
      </c>
      <c r="B196" s="1">
        <v>10532754</v>
      </c>
      <c r="C196" s="2">
        <v>0.915044</v>
      </c>
      <c r="E196" s="14">
        <f t="shared" si="19"/>
        <v>2.40963079426642</v>
      </c>
      <c r="F196" s="11">
        <v>8.07796307</v>
      </c>
      <c r="G196" s="15">
        <v>19.4649085684189</v>
      </c>
      <c r="I196" s="14">
        <v>0.001054</v>
      </c>
      <c r="J196" s="13">
        <f t="shared" si="15"/>
        <v>9.99312523719165</v>
      </c>
      <c r="M196" s="14">
        <v>31.872</v>
      </c>
      <c r="N196" s="16">
        <f t="shared" si="16"/>
        <v>0.330470444277108</v>
      </c>
      <c r="Q196" s="14">
        <v>0.00723285</v>
      </c>
      <c r="R196" s="17">
        <v>0.873743047346482</v>
      </c>
      <c r="S196" s="17">
        <f t="shared" si="17"/>
        <v>22.2776119678811</v>
      </c>
      <c r="V196" s="18">
        <v>4.09017</v>
      </c>
      <c r="Y196" s="14">
        <v>2.9274</v>
      </c>
      <c r="Z196" s="19">
        <f t="shared" si="18"/>
        <v>3.59798934207829</v>
      </c>
    </row>
    <row r="197" spans="1:26">
      <c r="A197" s="1" t="s">
        <v>217</v>
      </c>
      <c r="B197" s="1">
        <v>10532754</v>
      </c>
      <c r="C197" s="2">
        <v>0.976687</v>
      </c>
      <c r="E197" s="14">
        <f t="shared" si="19"/>
        <v>2.812998688498</v>
      </c>
      <c r="F197" s="11">
        <v>7.00575211</v>
      </c>
      <c r="G197" s="15">
        <v>19.7071714973721</v>
      </c>
      <c r="I197" s="14">
        <v>0.001074</v>
      </c>
      <c r="J197" s="13">
        <f t="shared" si="15"/>
        <v>9.80703351955307</v>
      </c>
      <c r="M197" s="14">
        <v>16.87</v>
      </c>
      <c r="N197" s="16">
        <f t="shared" si="16"/>
        <v>0.624348192056906</v>
      </c>
      <c r="Q197" s="14">
        <v>0.00799238</v>
      </c>
      <c r="R197" s="17">
        <v>0.790709700990193</v>
      </c>
      <c r="S197" s="17">
        <f t="shared" si="17"/>
        <v>24.923396630512</v>
      </c>
      <c r="V197" s="18">
        <v>4.17006</v>
      </c>
      <c r="Y197" s="14">
        <v>2.886</v>
      </c>
      <c r="Z197" s="19">
        <f t="shared" si="18"/>
        <v>3.64960291060291</v>
      </c>
    </row>
    <row r="198" spans="1:26">
      <c r="A198" s="1" t="s">
        <v>218</v>
      </c>
      <c r="B198" s="1">
        <v>10532754</v>
      </c>
      <c r="C198" s="2">
        <v>0.965479</v>
      </c>
      <c r="E198" s="14">
        <f t="shared" si="19"/>
        <v>2.74424745741479</v>
      </c>
      <c r="F198" s="11">
        <v>6.977095334</v>
      </c>
      <c r="G198" s="15">
        <v>19.1468761304701</v>
      </c>
      <c r="I198" s="14">
        <v>0.00122</v>
      </c>
      <c r="J198" s="13">
        <f t="shared" si="15"/>
        <v>8.63340491803279</v>
      </c>
      <c r="M198" s="14">
        <v>17.825</v>
      </c>
      <c r="N198" s="16">
        <f t="shared" si="16"/>
        <v>0.590897840112202</v>
      </c>
      <c r="Q198" s="14">
        <v>0.00806467</v>
      </c>
      <c r="R198" s="17">
        <v>0.783621946093269</v>
      </c>
      <c r="S198" s="17">
        <f t="shared" si="17"/>
        <v>24.433818151631</v>
      </c>
      <c r="V198" s="18">
        <v>4.00306</v>
      </c>
      <c r="Y198" s="14">
        <v>2.745</v>
      </c>
      <c r="Z198" s="19">
        <f t="shared" si="18"/>
        <v>3.83706885245902</v>
      </c>
    </row>
    <row r="199" spans="1:26">
      <c r="A199" s="1" t="s">
        <v>219</v>
      </c>
      <c r="B199" s="1">
        <v>10532754</v>
      </c>
      <c r="C199" s="2">
        <v>0.965479</v>
      </c>
      <c r="E199" s="14">
        <f t="shared" si="19"/>
        <v>2.59328828102795</v>
      </c>
      <c r="F199" s="11">
        <v>7.34566639</v>
      </c>
      <c r="G199" s="15">
        <v>19.0494305655279</v>
      </c>
      <c r="I199" s="14">
        <v>0.001088</v>
      </c>
      <c r="J199" s="13">
        <f t="shared" si="15"/>
        <v>9.68084007352941</v>
      </c>
      <c r="M199" s="14">
        <v>18.237</v>
      </c>
      <c r="N199" s="16">
        <f t="shared" si="16"/>
        <v>0.577548609968745</v>
      </c>
      <c r="Q199" s="14">
        <v>0.00810652</v>
      </c>
      <c r="R199" s="17">
        <v>0.779576489048321</v>
      </c>
      <c r="S199" s="17">
        <f t="shared" si="17"/>
        <v>24.4356145075421</v>
      </c>
      <c r="V199" s="18">
        <v>4.00701</v>
      </c>
      <c r="Y199" s="14">
        <v>3.0271</v>
      </c>
      <c r="Z199" s="19">
        <f t="shared" si="18"/>
        <v>3.47948663737571</v>
      </c>
    </row>
    <row r="200" spans="1:26">
      <c r="A200" s="1" t="s">
        <v>220</v>
      </c>
      <c r="B200" s="1">
        <v>10532754</v>
      </c>
      <c r="C200" s="2">
        <v>0.976687</v>
      </c>
      <c r="E200" s="14">
        <f t="shared" si="19"/>
        <v>2.67129226078001</v>
      </c>
      <c r="F200" s="11">
        <v>6.973020635</v>
      </c>
      <c r="G200" s="15">
        <v>18.6269760565348</v>
      </c>
      <c r="I200" s="14">
        <v>0.001091</v>
      </c>
      <c r="J200" s="13">
        <f t="shared" si="15"/>
        <v>9.65421998166819</v>
      </c>
      <c r="M200" s="14">
        <v>16.589</v>
      </c>
      <c r="N200" s="16">
        <f t="shared" si="16"/>
        <v>0.634923985773706</v>
      </c>
      <c r="Q200" s="14">
        <v>0.00855471</v>
      </c>
      <c r="R200" s="17">
        <v>0.738733680042924</v>
      </c>
      <c r="S200" s="17">
        <f t="shared" si="17"/>
        <v>25.2147378138391</v>
      </c>
      <c r="V200" s="18">
        <v>3.94364</v>
      </c>
      <c r="Y200" s="14">
        <v>2.7959</v>
      </c>
      <c r="Z200" s="19">
        <f t="shared" si="18"/>
        <v>3.76721413498337</v>
      </c>
    </row>
    <row r="201" spans="1:26">
      <c r="A201" s="1" t="s">
        <v>221</v>
      </c>
      <c r="B201" s="1">
        <v>10532754</v>
      </c>
      <c r="C201" s="2">
        <v>0.97417</v>
      </c>
      <c r="E201" s="14">
        <f t="shared" si="19"/>
        <v>2.57809650852754</v>
      </c>
      <c r="F201" s="11">
        <v>6.960934725</v>
      </c>
      <c r="G201" s="15">
        <v>17.9459615106106</v>
      </c>
      <c r="I201" s="14">
        <v>0.00101</v>
      </c>
      <c r="J201" s="13">
        <f t="shared" si="15"/>
        <v>10.4284693069307</v>
      </c>
      <c r="M201" s="14">
        <v>18.124</v>
      </c>
      <c r="N201" s="16">
        <f t="shared" si="16"/>
        <v>0.581149525491062</v>
      </c>
      <c r="Q201" s="14">
        <v>0.00921627</v>
      </c>
      <c r="R201" s="17">
        <v>0.685706082829605</v>
      </c>
      <c r="S201" s="17">
        <f t="shared" si="17"/>
        <v>26.1715069473433</v>
      </c>
      <c r="V201" s="18">
        <v>4.0651</v>
      </c>
      <c r="Y201" s="14">
        <v>2.8996</v>
      </c>
      <c r="Z201" s="19">
        <f t="shared" si="18"/>
        <v>3.63248517036833</v>
      </c>
    </row>
    <row r="202" spans="1:26">
      <c r="A202" s="1" t="s">
        <v>222</v>
      </c>
      <c r="B202" s="1">
        <v>10675980</v>
      </c>
      <c r="C202" s="2">
        <v>0.000109393</v>
      </c>
      <c r="E202" s="14">
        <f t="shared" si="19"/>
        <v>2.01898229990096</v>
      </c>
      <c r="F202" s="11">
        <v>0.613559459</v>
      </c>
      <c r="G202" s="15">
        <v>1.23876568765781</v>
      </c>
      <c r="I202" s="14">
        <v>0.010638</v>
      </c>
      <c r="J202" s="13">
        <f t="shared" si="15"/>
        <v>1.00357021996616</v>
      </c>
      <c r="M202" s="14">
        <v>30.331</v>
      </c>
      <c r="N202" s="16">
        <f t="shared" si="16"/>
        <v>0.351982460189245</v>
      </c>
      <c r="Q202" s="14">
        <v>0.0113597</v>
      </c>
      <c r="R202" s="17">
        <v>0.563887074482601</v>
      </c>
      <c r="S202" s="17">
        <f t="shared" si="17"/>
        <v>2.19683291870885</v>
      </c>
      <c r="V202" s="18">
        <v>0.739994</v>
      </c>
      <c r="Y202" s="14">
        <v>20.3286</v>
      </c>
      <c r="Z202" s="19">
        <f t="shared" si="18"/>
        <v>0.525170449514477</v>
      </c>
    </row>
    <row r="203" spans="1:26">
      <c r="A203" s="1" t="s">
        <v>223</v>
      </c>
      <c r="B203" s="1">
        <v>10709208</v>
      </c>
      <c r="C203" s="2">
        <v>0.000190454</v>
      </c>
      <c r="E203" s="14">
        <f t="shared" si="19"/>
        <v>1.61137219283219</v>
      </c>
      <c r="F203" s="11">
        <v>0.639809158</v>
      </c>
      <c r="G203" s="15">
        <v>1.03097068592058</v>
      </c>
      <c r="I203" s="14">
        <v>0.011098</v>
      </c>
      <c r="J203" s="13">
        <f t="shared" si="15"/>
        <v>0.964967381510182</v>
      </c>
      <c r="M203" s="14">
        <v>31.44</v>
      </c>
      <c r="N203" s="16">
        <f t="shared" si="16"/>
        <v>0.340623664122137</v>
      </c>
      <c r="Q203" s="14">
        <v>0.0166938</v>
      </c>
      <c r="R203" s="17">
        <v>0.384904862883226</v>
      </c>
      <c r="S203" s="17">
        <f t="shared" si="17"/>
        <v>2.67850782190133</v>
      </c>
      <c r="V203" s="18">
        <v>0.698703</v>
      </c>
      <c r="Y203" s="14">
        <v>18.4269</v>
      </c>
      <c r="Z203" s="19">
        <f t="shared" si="18"/>
        <v>0.581172524949937</v>
      </c>
    </row>
    <row r="204" spans="1:26">
      <c r="A204" s="1" t="s">
        <v>224</v>
      </c>
      <c r="B204" s="1">
        <v>10836444</v>
      </c>
      <c r="C204" s="2">
        <v>0.00256749</v>
      </c>
      <c r="E204" s="14">
        <f t="shared" si="19"/>
        <v>1.15215612201254</v>
      </c>
      <c r="F204" s="11">
        <v>0.949732336</v>
      </c>
      <c r="G204" s="15">
        <v>1.09423992519567</v>
      </c>
      <c r="I204" s="14">
        <v>0.007975</v>
      </c>
      <c r="J204" s="13">
        <f t="shared" si="15"/>
        <v>1.35880175548589</v>
      </c>
      <c r="M204" s="14">
        <v>29.986</v>
      </c>
      <c r="N204" s="16">
        <f t="shared" si="16"/>
        <v>0.36138344560795</v>
      </c>
      <c r="Q204" s="14">
        <v>0.011091</v>
      </c>
      <c r="R204" s="17">
        <v>0.586229050581553</v>
      </c>
      <c r="S204" s="17">
        <f t="shared" si="17"/>
        <v>1.86657403639441</v>
      </c>
      <c r="V204" s="18">
        <v>0.753383</v>
      </c>
      <c r="Y204" s="14">
        <v>19.7568</v>
      </c>
      <c r="Z204" s="19">
        <f t="shared" si="18"/>
        <v>0.548491861030126</v>
      </c>
    </row>
    <row r="205" spans="1:26">
      <c r="A205" s="1" t="s">
        <v>225</v>
      </c>
      <c r="B205" s="1">
        <v>10926058</v>
      </c>
      <c r="C205" s="2">
        <v>0</v>
      </c>
      <c r="E205" s="14">
        <f t="shared" si="19"/>
        <v>1.74856145009159</v>
      </c>
      <c r="F205" s="11">
        <v>1.116944042</v>
      </c>
      <c r="G205" s="15">
        <v>1.95304529375068</v>
      </c>
      <c r="I205" s="14">
        <v>0.003734</v>
      </c>
      <c r="J205" s="13">
        <f t="shared" si="15"/>
        <v>2.92610016068559</v>
      </c>
      <c r="M205" s="14">
        <v>19.459</v>
      </c>
      <c r="N205" s="16">
        <f t="shared" si="16"/>
        <v>0.561491237987564</v>
      </c>
      <c r="Q205" s="14">
        <v>0.012787</v>
      </c>
      <c r="R205" s="17">
        <v>0.512679659028701</v>
      </c>
      <c r="S205" s="17">
        <f t="shared" si="17"/>
        <v>3.80948465451278</v>
      </c>
      <c r="V205" s="18">
        <v>0.842513</v>
      </c>
      <c r="Y205" s="14">
        <v>17.2765</v>
      </c>
      <c r="Z205" s="19">
        <f t="shared" si="18"/>
        <v>0.632423118108413</v>
      </c>
    </row>
    <row r="206" spans="1:26">
      <c r="A206" s="1" t="s">
        <v>226</v>
      </c>
      <c r="B206" s="1">
        <v>11033518</v>
      </c>
      <c r="C206" s="2">
        <v>9.71095e-6</v>
      </c>
      <c r="E206" s="14">
        <f t="shared" si="19"/>
        <v>1.39198300430057</v>
      </c>
      <c r="F206" s="11">
        <v>0.59658109</v>
      </c>
      <c r="G206" s="15">
        <v>0.830430737967109</v>
      </c>
      <c r="I206" s="14">
        <v>0.012918</v>
      </c>
      <c r="J206" s="13">
        <f t="shared" si="15"/>
        <v>0.854119677968726</v>
      </c>
      <c r="M206" s="14">
        <v>63.474</v>
      </c>
      <c r="N206" s="16">
        <f t="shared" si="16"/>
        <v>0.173827362384598</v>
      </c>
      <c r="Q206" s="14">
        <v>0.0278599</v>
      </c>
      <c r="R206" s="17">
        <v>0.237621484642802</v>
      </c>
      <c r="S206" s="17">
        <f t="shared" si="17"/>
        <v>3.49476285452652</v>
      </c>
      <c r="V206" s="18">
        <v>0.246847</v>
      </c>
      <c r="Y206" s="14">
        <v>33.7495</v>
      </c>
      <c r="Z206" s="19">
        <f t="shared" si="18"/>
        <v>0.326923895168817</v>
      </c>
    </row>
    <row r="207" spans="1:26">
      <c r="A207" s="1" t="s">
        <v>227</v>
      </c>
      <c r="B207" s="1">
        <v>11039332</v>
      </c>
      <c r="C207" s="2">
        <v>0.00136599</v>
      </c>
      <c r="E207" s="14">
        <f t="shared" si="19"/>
        <v>1.88666455794842</v>
      </c>
      <c r="F207" s="11">
        <v>0.660180883</v>
      </c>
      <c r="G207" s="15">
        <v>1.24553987379119</v>
      </c>
      <c r="I207" s="14">
        <v>0.009511</v>
      </c>
      <c r="J207" s="13">
        <f t="shared" si="15"/>
        <v>1.16069098938072</v>
      </c>
      <c r="M207" s="14">
        <v>31.133</v>
      </c>
      <c r="N207" s="16">
        <f t="shared" si="16"/>
        <v>0.354586194713006</v>
      </c>
      <c r="Q207" s="14">
        <v>0.0121</v>
      </c>
      <c r="R207" s="17">
        <v>0.547404892561983</v>
      </c>
      <c r="S207" s="17">
        <f t="shared" si="17"/>
        <v>2.27535393036363</v>
      </c>
      <c r="V207" s="18">
        <v>0.717011</v>
      </c>
      <c r="Y207" s="14">
        <v>20.8141</v>
      </c>
      <c r="Z207" s="19">
        <f t="shared" si="18"/>
        <v>0.530377580582394</v>
      </c>
    </row>
    <row r="208" spans="1:26">
      <c r="A208" s="1" t="s">
        <v>228</v>
      </c>
      <c r="B208" s="1">
        <v>11075172</v>
      </c>
      <c r="C208" s="2">
        <v>4.95135e-5</v>
      </c>
      <c r="E208" s="14">
        <f t="shared" si="19"/>
        <v>1.11895077521276</v>
      </c>
      <c r="F208" s="11">
        <v>1.11127789</v>
      </c>
      <c r="G208" s="15">
        <v>1.2434652564923</v>
      </c>
      <c r="I208" s="14">
        <v>0.008912</v>
      </c>
      <c r="J208" s="13">
        <f t="shared" si="15"/>
        <v>1.24272576301616</v>
      </c>
      <c r="M208" s="14">
        <v>32.694</v>
      </c>
      <c r="N208" s="16">
        <f t="shared" si="16"/>
        <v>0.338752431638833</v>
      </c>
      <c r="Q208" s="14">
        <v>0.0121143</v>
      </c>
      <c r="R208" s="17">
        <v>0.548533815408237</v>
      </c>
      <c r="S208" s="17">
        <f t="shared" si="17"/>
        <v>2.2668889712239</v>
      </c>
      <c r="V208" s="18">
        <v>0.748251</v>
      </c>
      <c r="Y208" s="14">
        <v>18.7461</v>
      </c>
      <c r="Z208" s="19">
        <f t="shared" si="18"/>
        <v>0.590798726135036</v>
      </c>
    </row>
    <row r="209" spans="1:27">
      <c r="A209" s="1" t="s">
        <v>229</v>
      </c>
      <c r="B209" s="1">
        <v>11157328</v>
      </c>
      <c r="C209" s="2">
        <v>7.9583e-5</v>
      </c>
      <c r="E209" s="14">
        <f t="shared" si="19"/>
        <v>1.05065400658382</v>
      </c>
      <c r="F209" s="11">
        <v>1.208462462</v>
      </c>
      <c r="G209" s="15">
        <v>1.26967592750645</v>
      </c>
      <c r="I209" s="14">
        <v>0.009022</v>
      </c>
      <c r="J209" s="13">
        <f t="shared" si="15"/>
        <v>1.23668011527378</v>
      </c>
      <c r="M209" s="14">
        <v>34.78</v>
      </c>
      <c r="N209" s="16">
        <f t="shared" si="16"/>
        <v>0.320797239792984</v>
      </c>
      <c r="Q209" s="14">
        <v>0.0123905</v>
      </c>
      <c r="R209" s="17">
        <v>0.540284637423833</v>
      </c>
      <c r="S209" s="17">
        <f t="shared" si="17"/>
        <v>2.35001301084642</v>
      </c>
      <c r="V209" s="18">
        <v>0.780022</v>
      </c>
      <c r="Y209" s="14">
        <v>20.0758</v>
      </c>
      <c r="Z209" s="19">
        <f t="shared" si="18"/>
        <v>0.555760069337212</v>
      </c>
    </row>
    <row r="210" spans="1:27">
      <c r="A210" s="1" t="s">
        <v>230</v>
      </c>
      <c r="B210" s="1">
        <v>11161552</v>
      </c>
      <c r="C210" s="2">
        <v>7.38171e-5</v>
      </c>
      <c r="E210" s="14">
        <f t="shared" si="19"/>
        <v>0.676359306875696</v>
      </c>
      <c r="F210" s="11">
        <v>2.942134013</v>
      </c>
      <c r="G210" s="15">
        <v>1.98993972176809</v>
      </c>
      <c r="I210" s="14">
        <v>0.004761</v>
      </c>
      <c r="J210" s="13">
        <f t="shared" si="15"/>
        <v>2.34437135055661</v>
      </c>
      <c r="M210" s="14">
        <v>76.414</v>
      </c>
      <c r="N210" s="16">
        <f t="shared" si="16"/>
        <v>0.146066846389405</v>
      </c>
      <c r="Q210" s="14">
        <v>0.00249184</v>
      </c>
      <c r="R210" s="17">
        <v>2.68754462565815</v>
      </c>
      <c r="S210" s="17">
        <f t="shared" si="17"/>
        <v>0.740430392399819</v>
      </c>
      <c r="V210" s="18">
        <v>1.32575</v>
      </c>
      <c r="Y210" s="14">
        <v>9.1558</v>
      </c>
      <c r="Z210" s="19">
        <f t="shared" si="18"/>
        <v>1.21906900543918</v>
      </c>
    </row>
    <row r="211" spans="1:27">
      <c r="A211" s="1" t="s">
        <v>231</v>
      </c>
      <c r="B211" s="1">
        <v>11242656</v>
      </c>
      <c r="C211" s="2">
        <v>0</v>
      </c>
      <c r="E211" s="14">
        <f t="shared" si="19"/>
        <v>1.15966345137278</v>
      </c>
      <c r="F211" s="11">
        <v>3.111173081</v>
      </c>
      <c r="G211" s="15">
        <v>3.60791371293054</v>
      </c>
      <c r="I211" s="14">
        <v>0.002263</v>
      </c>
      <c r="J211" s="13">
        <f t="shared" si="15"/>
        <v>4.96803181617322</v>
      </c>
      <c r="M211" s="14">
        <v>17.657</v>
      </c>
      <c r="N211" s="16">
        <f t="shared" si="16"/>
        <v>0.636725151497989</v>
      </c>
      <c r="Q211" s="14">
        <v>0.00905685</v>
      </c>
      <c r="R211" s="17">
        <v>0.744805710594743</v>
      </c>
      <c r="S211" s="17">
        <f t="shared" si="17"/>
        <v>4.84410049709413</v>
      </c>
      <c r="V211" s="18">
        <v>2.04926</v>
      </c>
      <c r="Y211" s="14">
        <v>5.274</v>
      </c>
      <c r="Z211" s="19">
        <f t="shared" si="18"/>
        <v>2.1317133105802</v>
      </c>
    </row>
    <row r="212" spans="1:27">
      <c r="A212" s="1" t="s">
        <v>232</v>
      </c>
      <c r="B212" s="1">
        <v>11620478</v>
      </c>
      <c r="C212" s="2">
        <v>0.963855</v>
      </c>
      <c r="D212" s="14">
        <v>3.52323042071546</v>
      </c>
      <c r="E212" s="14">
        <f t="shared" si="19"/>
        <v>5.18145736842956</v>
      </c>
      <c r="F212" s="11">
        <v>6.117712735</v>
      </c>
      <c r="G212" s="15">
        <v>31.6986677287011</v>
      </c>
      <c r="I212" s="14">
        <v>0.001099</v>
      </c>
      <c r="J212" s="13">
        <f t="shared" si="15"/>
        <v>10.5736833484986</v>
      </c>
      <c r="K212" s="14">
        <v>1.34827136238601</v>
      </c>
      <c r="M212" s="14">
        <v>6.042</v>
      </c>
      <c r="N212" s="16">
        <f t="shared" si="16"/>
        <v>1.92328334988414</v>
      </c>
      <c r="O212" s="14">
        <v>19.2407561728172</v>
      </c>
      <c r="Q212" s="14">
        <v>0.00500809</v>
      </c>
      <c r="R212" s="17">
        <v>1.39220477267781</v>
      </c>
      <c r="S212" s="17">
        <f t="shared" si="17"/>
        <v>22.7686819861499</v>
      </c>
      <c r="T212" s="14">
        <v>4.01429282353335</v>
      </c>
      <c r="V212" s="18">
        <v>6.43058</v>
      </c>
      <c r="W212" s="14">
        <v>2.3401869851769</v>
      </c>
      <c r="Y212" s="14">
        <v>2.2926</v>
      </c>
      <c r="Z212" s="19">
        <f t="shared" si="18"/>
        <v>5.06868969728692</v>
      </c>
      <c r="AA212" s="14">
        <v>2.73</v>
      </c>
    </row>
    <row r="213" spans="1:27">
      <c r="A213" s="1" t="s">
        <v>233</v>
      </c>
      <c r="B213" s="1">
        <v>11809756</v>
      </c>
      <c r="C213" s="2">
        <v>0.000203662</v>
      </c>
      <c r="E213" s="14">
        <f t="shared" si="19"/>
        <v>1.69583391688215</v>
      </c>
      <c r="F213" s="11">
        <v>0.700027089</v>
      </c>
      <c r="G213" s="15">
        <v>1.18712968026248</v>
      </c>
      <c r="I213" s="14">
        <v>0.010091</v>
      </c>
      <c r="J213" s="13">
        <f t="shared" si="15"/>
        <v>1.17032563670598</v>
      </c>
      <c r="M213" s="14">
        <v>63.972</v>
      </c>
      <c r="N213" s="16">
        <f t="shared" si="16"/>
        <v>0.18460820358907</v>
      </c>
      <c r="Q213" s="14">
        <v>0.0184492</v>
      </c>
      <c r="R213" s="17">
        <v>0.384073759295796</v>
      </c>
      <c r="S213" s="17">
        <f t="shared" si="17"/>
        <v>3.09088983959513</v>
      </c>
      <c r="V213" s="18">
        <v>0.710102</v>
      </c>
      <c r="Y213" s="14">
        <v>22.7568</v>
      </c>
      <c r="Z213" s="19">
        <f t="shared" si="18"/>
        <v>0.518955037615131</v>
      </c>
    </row>
    <row r="214" spans="1:27">
      <c r="A214" s="1" t="s">
        <v>234</v>
      </c>
      <c r="B214" s="1">
        <v>11970248</v>
      </c>
      <c r="C214" s="2">
        <v>8.28072e-5</v>
      </c>
      <c r="E214" s="14">
        <f t="shared" si="19"/>
        <v>0.794665295723858</v>
      </c>
      <c r="F214" s="11">
        <v>1.090742104</v>
      </c>
      <c r="G214" s="15">
        <v>0.866774896633623</v>
      </c>
      <c r="I214" s="14">
        <v>0.009882</v>
      </c>
      <c r="J214" s="13">
        <f t="shared" si="15"/>
        <v>1.21131835660797</v>
      </c>
      <c r="M214" s="14">
        <v>36.603</v>
      </c>
      <c r="N214" s="16">
        <f t="shared" si="16"/>
        <v>0.32702915061607</v>
      </c>
      <c r="Q214" s="14">
        <v>0.0133878</v>
      </c>
      <c r="R214" s="17">
        <v>0.536469681351678</v>
      </c>
      <c r="S214" s="17">
        <f t="shared" si="17"/>
        <v>1.61570155176284</v>
      </c>
      <c r="V214" s="18">
        <v>0.738693</v>
      </c>
      <c r="Y214" s="14">
        <v>27.2603</v>
      </c>
      <c r="Z214" s="19">
        <f t="shared" si="18"/>
        <v>0.439109180750028</v>
      </c>
    </row>
    <row r="215" spans="1:27">
      <c r="A215" s="1" t="s">
        <v>235</v>
      </c>
      <c r="B215" s="1">
        <v>12042262</v>
      </c>
      <c r="C215" s="2">
        <v>0.000832865</v>
      </c>
      <c r="E215" s="14">
        <f t="shared" si="19"/>
        <v>1.23812675331625</v>
      </c>
      <c r="F215" s="11">
        <v>0.795195468</v>
      </c>
      <c r="G215" s="15">
        <v>0.984552783046635</v>
      </c>
      <c r="I215" s="14">
        <v>0.013927</v>
      </c>
      <c r="J215" s="13">
        <f t="shared" si="15"/>
        <v>0.86467020894665</v>
      </c>
      <c r="M215" s="14">
        <v>95.946</v>
      </c>
      <c r="N215" s="16">
        <f t="shared" si="16"/>
        <v>0.125510829007984</v>
      </c>
      <c r="Q215" s="14">
        <v>0.0333894</v>
      </c>
      <c r="R215" s="17">
        <v>0.216396736688889</v>
      </c>
      <c r="S215" s="17">
        <f t="shared" si="17"/>
        <v>4.5497579959448</v>
      </c>
      <c r="V215" s="18">
        <v>0.529523</v>
      </c>
      <c r="Y215" s="14">
        <v>22.3356</v>
      </c>
      <c r="Z215" s="19">
        <f t="shared" si="18"/>
        <v>0.539151041386844</v>
      </c>
    </row>
    <row r="216" spans="1:27">
      <c r="A216" s="1" t="s">
        <v>236</v>
      </c>
      <c r="B216" s="1">
        <v>12124540</v>
      </c>
      <c r="C216" s="2">
        <v>0.000118458</v>
      </c>
      <c r="E216" s="14">
        <f t="shared" si="19"/>
        <v>1.07370001838267</v>
      </c>
      <c r="F216" s="11">
        <v>1.122438991</v>
      </c>
      <c r="G216" s="15">
        <v>1.20516276527012</v>
      </c>
      <c r="I216" s="14">
        <v>0.011154</v>
      </c>
      <c r="J216" s="13">
        <f t="shared" si="15"/>
        <v>1.08701273085888</v>
      </c>
      <c r="M216" s="14">
        <v>55.567</v>
      </c>
      <c r="N216" s="16">
        <f t="shared" si="16"/>
        <v>0.218196771465078</v>
      </c>
      <c r="Q216" s="14">
        <v>0.0115339</v>
      </c>
      <c r="R216" s="17">
        <v>0.630725426785389</v>
      </c>
      <c r="S216" s="17">
        <f t="shared" si="17"/>
        <v>1.9107565893014</v>
      </c>
      <c r="V216" s="18">
        <v>0.732422</v>
      </c>
      <c r="Y216" s="14">
        <v>21.0564</v>
      </c>
      <c r="Z216" s="19">
        <f t="shared" si="18"/>
        <v>0.575812579548261</v>
      </c>
    </row>
    <row r="217" spans="1:27">
      <c r="A217" s="1" t="s">
        <v>237</v>
      </c>
      <c r="B217" s="1">
        <v>12171172</v>
      </c>
      <c r="C217" s="2">
        <v>3.59583e-5</v>
      </c>
      <c r="E217" s="14">
        <f t="shared" si="19"/>
        <v>1.13656567219363</v>
      </c>
      <c r="F217" s="11">
        <v>1.133397765</v>
      </c>
      <c r="G217" s="15">
        <v>1.28818099263998</v>
      </c>
      <c r="I217" s="14">
        <v>0.011146</v>
      </c>
      <c r="J217" s="13">
        <f t="shared" si="15"/>
        <v>1.09197667324601</v>
      </c>
      <c r="M217" s="14">
        <v>37.919</v>
      </c>
      <c r="N217" s="16">
        <f t="shared" si="16"/>
        <v>0.320978190353121</v>
      </c>
      <c r="Q217" s="14">
        <v>0.0111753</v>
      </c>
      <c r="R217" s="17">
        <v>0.653468202195914</v>
      </c>
      <c r="S217" s="17">
        <f t="shared" si="17"/>
        <v>1.97129866198719</v>
      </c>
      <c r="V217" s="18">
        <v>0.749971</v>
      </c>
      <c r="Y217" s="14">
        <v>20.2438</v>
      </c>
      <c r="Z217" s="19">
        <f t="shared" si="18"/>
        <v>0.601229611041405</v>
      </c>
    </row>
    <row r="218" spans="1:27">
      <c r="A218" s="1" t="s">
        <v>238</v>
      </c>
      <c r="B218" s="1">
        <v>12535672</v>
      </c>
      <c r="C218" s="2">
        <v>0.000156182</v>
      </c>
      <c r="E218" s="14">
        <f t="shared" si="19"/>
        <v>0.872053668634373</v>
      </c>
      <c r="F218" s="11">
        <v>1.063475051</v>
      </c>
      <c r="G218" s="15">
        <v>0.927407319725677</v>
      </c>
      <c r="I218" s="14">
        <v>0.013375</v>
      </c>
      <c r="J218" s="13">
        <f t="shared" si="15"/>
        <v>0.937246504672897</v>
      </c>
      <c r="M218" s="14">
        <v>38.881</v>
      </c>
      <c r="N218" s="16">
        <f t="shared" si="16"/>
        <v>0.322411254854556</v>
      </c>
      <c r="Q218" s="14">
        <v>0.0123881</v>
      </c>
      <c r="R218" s="17">
        <v>0.607147439881822</v>
      </c>
      <c r="S218" s="17">
        <f t="shared" si="17"/>
        <v>1.52748287945708</v>
      </c>
      <c r="V218" s="18">
        <v>0.681933</v>
      </c>
      <c r="Y218" s="14">
        <v>26.3155</v>
      </c>
      <c r="Z218" s="19">
        <f t="shared" si="18"/>
        <v>0.476360775968536</v>
      </c>
    </row>
    <row r="219" spans="1:27">
      <c r="A219" s="1" t="s">
        <v>239</v>
      </c>
      <c r="B219" s="1">
        <v>13101308</v>
      </c>
      <c r="C219" s="2">
        <v>0.0237259</v>
      </c>
      <c r="E219" s="14">
        <f t="shared" si="19"/>
        <v>0.950519271559108</v>
      </c>
      <c r="F219" s="11">
        <v>1.280882141</v>
      </c>
      <c r="G219" s="15">
        <v>1.21750315961639</v>
      </c>
      <c r="I219" s="14">
        <v>0.015177</v>
      </c>
      <c r="J219" s="13">
        <f t="shared" si="15"/>
        <v>0.863234367793372</v>
      </c>
      <c r="M219" s="14">
        <v>154.386</v>
      </c>
      <c r="N219" s="16">
        <f t="shared" si="16"/>
        <v>0.0848607257134714</v>
      </c>
      <c r="Q219" s="14">
        <v>0.0319847</v>
      </c>
      <c r="R219" s="17">
        <v>0.245767032362348</v>
      </c>
      <c r="S219" s="17">
        <f t="shared" si="17"/>
        <v>4.95389128441506</v>
      </c>
      <c r="V219" s="18">
        <v>0.94772</v>
      </c>
      <c r="Y219" s="14">
        <v>11.8084</v>
      </c>
      <c r="Z219" s="19">
        <f t="shared" si="18"/>
        <v>1.10949053216354</v>
      </c>
    </row>
    <row r="220" spans="1:27">
      <c r="A220" s="1" t="s">
        <v>240</v>
      </c>
      <c r="B220" s="1">
        <v>13122998</v>
      </c>
      <c r="C220" s="2">
        <v>0</v>
      </c>
      <c r="E220" s="14">
        <f t="shared" si="19"/>
        <v>1.33700172368158</v>
      </c>
      <c r="F220" s="11">
        <v>4.551131792</v>
      </c>
      <c r="G220" s="15">
        <v>6.08487105060603</v>
      </c>
      <c r="I220" s="14">
        <v>0.002301</v>
      </c>
      <c r="J220" s="13">
        <f t="shared" si="15"/>
        <v>5.7031716644937</v>
      </c>
      <c r="M220" s="14">
        <v>16.737</v>
      </c>
      <c r="N220" s="16">
        <f t="shared" si="16"/>
        <v>0.784071099958177</v>
      </c>
      <c r="Q220" s="14">
        <v>0.0118254</v>
      </c>
      <c r="R220" s="17">
        <v>0.665837840580445</v>
      </c>
      <c r="S220" s="17">
        <f t="shared" si="17"/>
        <v>9.13866812571291</v>
      </c>
      <c r="V220" s="18">
        <v>1.58892</v>
      </c>
      <c r="Y220" s="14">
        <v>5.7991</v>
      </c>
      <c r="Z220" s="19">
        <f t="shared" si="18"/>
        <v>2.26293700746668</v>
      </c>
    </row>
    <row r="221" spans="1:27">
      <c r="A221" s="1" t="s">
        <v>241</v>
      </c>
      <c r="B221" s="1">
        <v>13130804</v>
      </c>
      <c r="C221" s="2">
        <v>0</v>
      </c>
      <c r="E221" s="14">
        <f t="shared" si="19"/>
        <v>1.44062394811224</v>
      </c>
      <c r="F221" s="11">
        <v>1.658927969</v>
      </c>
      <c r="G221" s="15">
        <v>2.3898913603346</v>
      </c>
      <c r="I221" s="14">
        <v>0.00257</v>
      </c>
      <c r="J221" s="13">
        <f t="shared" si="15"/>
        <v>5.10926225680934</v>
      </c>
      <c r="M221" s="14">
        <v>14.507</v>
      </c>
      <c r="N221" s="16">
        <f t="shared" si="16"/>
        <v>0.905135727579789</v>
      </c>
      <c r="Q221" s="14">
        <v>0.00858758</v>
      </c>
      <c r="R221" s="17">
        <v>0.917427540704133</v>
      </c>
      <c r="S221" s="17">
        <f t="shared" si="17"/>
        <v>2.60499195228033</v>
      </c>
      <c r="V221" s="18">
        <v>1.93655</v>
      </c>
      <c r="Y221" s="14">
        <v>6.8095</v>
      </c>
      <c r="Z221" s="19">
        <f t="shared" si="18"/>
        <v>1.92830663044276</v>
      </c>
    </row>
    <row r="222" spans="1:27">
      <c r="A222" s="1" t="s">
        <v>242</v>
      </c>
      <c r="B222" s="1">
        <v>13239520</v>
      </c>
      <c r="C222" s="2">
        <v>3.39245e-5</v>
      </c>
      <c r="E222" s="14">
        <f t="shared" si="19"/>
        <v>1.80740469208629</v>
      </c>
      <c r="F222" s="11">
        <v>0.647069941</v>
      </c>
      <c r="G222" s="15">
        <v>1.1695172474714</v>
      </c>
      <c r="I222" s="14">
        <v>0.012795</v>
      </c>
      <c r="J222" s="13">
        <f t="shared" si="15"/>
        <v>1.03474169597499</v>
      </c>
      <c r="M222" s="14">
        <v>70.686</v>
      </c>
      <c r="N222" s="16">
        <f t="shared" si="16"/>
        <v>0.18730045553575</v>
      </c>
      <c r="Q222" s="14">
        <v>0.0199871</v>
      </c>
      <c r="R222" s="17">
        <v>0.397441950057787</v>
      </c>
      <c r="S222" s="17">
        <f t="shared" si="17"/>
        <v>2.94261148653622</v>
      </c>
      <c r="V222" s="18">
        <v>0.694689</v>
      </c>
      <c r="Y222" s="14">
        <v>27.6155</v>
      </c>
      <c r="Z222" s="19">
        <f t="shared" si="18"/>
        <v>0.479423512158027</v>
      </c>
    </row>
    <row r="223" spans="1:27">
      <c r="A223" s="1" t="s">
        <v>243</v>
      </c>
      <c r="B223" s="1">
        <v>13415824</v>
      </c>
      <c r="C223" s="2">
        <v>0.0558818</v>
      </c>
      <c r="E223" s="14">
        <f t="shared" si="19"/>
        <v>1.49622529166843</v>
      </c>
      <c r="F223" s="11">
        <v>3.792880974</v>
      </c>
      <c r="G223" s="15">
        <v>5.67500444158679</v>
      </c>
      <c r="I223" s="14">
        <v>0.002105</v>
      </c>
      <c r="J223" s="13">
        <f t="shared" si="15"/>
        <v>6.37331306413302</v>
      </c>
      <c r="M223" s="14">
        <v>33.573</v>
      </c>
      <c r="N223" s="16">
        <f t="shared" si="16"/>
        <v>0.399601584606678</v>
      </c>
      <c r="Q223" s="14">
        <v>0.0200327</v>
      </c>
      <c r="R223" s="17">
        <v>0.401817747982049</v>
      </c>
      <c r="S223" s="17">
        <f t="shared" si="17"/>
        <v>14.1233294698579</v>
      </c>
      <c r="V223" s="18">
        <v>2.02546</v>
      </c>
      <c r="Y223" s="14">
        <v>6.6219</v>
      </c>
      <c r="Z223" s="19">
        <f t="shared" si="18"/>
        <v>2.02597804255576</v>
      </c>
    </row>
    <row r="224" spans="1:27">
      <c r="A224" s="1" t="s">
        <v>244</v>
      </c>
      <c r="B224" s="1">
        <v>13415824</v>
      </c>
      <c r="C224" s="2">
        <v>0.0558818</v>
      </c>
      <c r="E224" s="14">
        <f t="shared" si="19"/>
        <v>1.8584768744632</v>
      </c>
      <c r="F224" s="11">
        <v>3.144315664</v>
      </c>
      <c r="G224" s="15">
        <v>5.84363794755641</v>
      </c>
      <c r="I224" s="14">
        <v>0.002005</v>
      </c>
      <c r="J224" s="13">
        <f t="shared" si="15"/>
        <v>6.69118403990025</v>
      </c>
      <c r="M224" s="14">
        <v>33.788</v>
      </c>
      <c r="N224" s="16">
        <f t="shared" si="16"/>
        <v>0.397058837457085</v>
      </c>
      <c r="Q224" s="14">
        <v>0.0209186</v>
      </c>
      <c r="R224" s="17">
        <v>0.38480081841041</v>
      </c>
      <c r="S224" s="17">
        <f t="shared" si="17"/>
        <v>15.1861370038041</v>
      </c>
      <c r="V224" s="18">
        <v>2.08035</v>
      </c>
      <c r="Y224" s="14">
        <v>6.5629</v>
      </c>
      <c r="Z224" s="19">
        <f t="shared" si="18"/>
        <v>2.04419143975986</v>
      </c>
    </row>
    <row r="225" spans="1:26">
      <c r="A225" s="1" t="s">
        <v>245</v>
      </c>
      <c r="B225" s="1">
        <v>13447552</v>
      </c>
      <c r="C225" s="2">
        <v>0.000104417</v>
      </c>
      <c r="E225" s="14">
        <f t="shared" si="19"/>
        <v>0.680853385136291</v>
      </c>
      <c r="F225" s="11">
        <v>3.366868099</v>
      </c>
      <c r="G225" s="15">
        <v>2.29234354251154</v>
      </c>
      <c r="I225" s="14">
        <v>0.006997</v>
      </c>
      <c r="J225" s="13">
        <f t="shared" si="15"/>
        <v>1.92190252965557</v>
      </c>
      <c r="M225" s="14">
        <v>83.617</v>
      </c>
      <c r="N225" s="16">
        <f t="shared" si="16"/>
        <v>0.16082318188885</v>
      </c>
      <c r="Q225" s="14">
        <v>0.00268081</v>
      </c>
      <c r="R225" s="17">
        <v>3.00973631104032</v>
      </c>
      <c r="S225" s="17">
        <f t="shared" si="17"/>
        <v>0.761642650920202</v>
      </c>
      <c r="V225" s="18">
        <v>1.07803</v>
      </c>
      <c r="Y225" s="14">
        <v>7.5225</v>
      </c>
      <c r="Z225" s="19">
        <f t="shared" si="18"/>
        <v>1.78764400132935</v>
      </c>
    </row>
    <row r="226" spans="1:26">
      <c r="A226" s="1" t="s">
        <v>246</v>
      </c>
      <c r="B226" s="1">
        <v>13781034</v>
      </c>
      <c r="C226" s="2">
        <v>0.00664717</v>
      </c>
      <c r="E226" s="14">
        <f t="shared" si="19"/>
        <v>2.36344673295926</v>
      </c>
      <c r="F226" s="11">
        <v>3.285017051</v>
      </c>
      <c r="G226" s="15">
        <v>7.76396281690141</v>
      </c>
      <c r="I226" s="14">
        <v>0.001808</v>
      </c>
      <c r="J226" s="13">
        <f t="shared" si="15"/>
        <v>7.62225331858407</v>
      </c>
      <c r="M226" s="14">
        <v>16.065</v>
      </c>
      <c r="N226" s="16">
        <f t="shared" si="16"/>
        <v>0.857829691876751</v>
      </c>
      <c r="Q226" s="14">
        <v>0.0109198</v>
      </c>
      <c r="R226" s="17">
        <v>0.7572135387095</v>
      </c>
      <c r="S226" s="17">
        <f t="shared" si="17"/>
        <v>10.2533333333333</v>
      </c>
      <c r="V226" s="18">
        <v>2.82919</v>
      </c>
      <c r="Y226" s="14">
        <v>4.859</v>
      </c>
      <c r="Z226" s="19">
        <f t="shared" si="18"/>
        <v>2.83618728133361</v>
      </c>
    </row>
    <row r="227" spans="1:26">
      <c r="A227" s="1" t="s">
        <v>247</v>
      </c>
      <c r="B227" s="1">
        <v>13781034</v>
      </c>
      <c r="C227" s="2">
        <v>0.00448766</v>
      </c>
      <c r="E227" s="14">
        <f t="shared" si="19"/>
        <v>2.46381972951735</v>
      </c>
      <c r="F227" s="11">
        <v>3.354098254</v>
      </c>
      <c r="G227" s="15">
        <v>8.26389345294491</v>
      </c>
      <c r="I227" s="14">
        <v>0.001788</v>
      </c>
      <c r="J227" s="13">
        <f t="shared" si="15"/>
        <v>7.70751342281879</v>
      </c>
      <c r="M227" s="14">
        <v>15.297</v>
      </c>
      <c r="N227" s="16">
        <f t="shared" si="16"/>
        <v>0.900897823102569</v>
      </c>
      <c r="Q227" s="14">
        <v>0.0109305</v>
      </c>
      <c r="R227" s="17">
        <v>0.756472293124743</v>
      </c>
      <c r="S227" s="17">
        <f t="shared" si="17"/>
        <v>10.9242513282402</v>
      </c>
      <c r="V227" s="18">
        <v>2.81624</v>
      </c>
      <c r="Y227" s="14">
        <v>4.8764</v>
      </c>
      <c r="Z227" s="19">
        <f t="shared" si="18"/>
        <v>2.82606718070708</v>
      </c>
    </row>
    <row r="228" spans="1:26">
      <c r="A228" s="1" t="s">
        <v>248</v>
      </c>
      <c r="B228" s="1">
        <v>13880252</v>
      </c>
      <c r="C228" s="2">
        <v>0.00072831</v>
      </c>
      <c r="E228" s="14">
        <f t="shared" si="19"/>
        <v>1.1962476712316</v>
      </c>
      <c r="F228" s="11">
        <v>1.029013751</v>
      </c>
      <c r="G228" s="15">
        <v>1.23095530329904</v>
      </c>
      <c r="I228" s="14">
        <v>0.013523</v>
      </c>
      <c r="J228" s="13">
        <f t="shared" si="15"/>
        <v>1.02641810249205</v>
      </c>
      <c r="M228" s="14">
        <v>43.13</v>
      </c>
      <c r="N228" s="16">
        <f t="shared" si="16"/>
        <v>0.321823603060515</v>
      </c>
      <c r="Q228" s="14">
        <v>0.0135435</v>
      </c>
      <c r="R228" s="17">
        <v>0.614918684239672</v>
      </c>
      <c r="S228" s="17">
        <f t="shared" si="17"/>
        <v>2.00181802057467</v>
      </c>
      <c r="V228" s="18">
        <v>0.720006</v>
      </c>
      <c r="Y228" s="14">
        <v>27.9036</v>
      </c>
      <c r="Z228" s="19">
        <f t="shared" si="18"/>
        <v>0.497435886408922</v>
      </c>
    </row>
    <row r="229" spans="1:26">
      <c r="A229" s="1" t="s">
        <v>249</v>
      </c>
      <c r="B229" s="1">
        <v>13887484</v>
      </c>
      <c r="C229" s="2">
        <v>0</v>
      </c>
      <c r="E229" s="14">
        <f t="shared" si="19"/>
        <v>1.12952599641506</v>
      </c>
      <c r="F229" s="11">
        <v>1.857941683</v>
      </c>
      <c r="G229" s="15">
        <v>2.09859343077165</v>
      </c>
      <c r="I229" s="14">
        <v>0.004131</v>
      </c>
      <c r="J229" s="13">
        <f t="shared" si="15"/>
        <v>3.36177293633503</v>
      </c>
      <c r="M229" s="14">
        <v>37.08</v>
      </c>
      <c r="N229" s="16">
        <f t="shared" si="16"/>
        <v>0.37452761596548</v>
      </c>
      <c r="Q229" s="14">
        <v>0.0107617</v>
      </c>
      <c r="R229" s="17">
        <v>0.774272689259132</v>
      </c>
      <c r="S229" s="17">
        <f t="shared" si="17"/>
        <v>2.71040611387146</v>
      </c>
      <c r="V229" s="18">
        <v>1.37214</v>
      </c>
      <c r="Y229" s="14">
        <v>11.0634</v>
      </c>
      <c r="Z229" s="19">
        <f t="shared" si="18"/>
        <v>1.25526366216534</v>
      </c>
    </row>
    <row r="230" spans="1:26">
      <c r="A230" s="1" t="s">
        <v>250</v>
      </c>
      <c r="B230" s="1">
        <v>13969156</v>
      </c>
      <c r="C230" s="2">
        <v>0</v>
      </c>
      <c r="E230" s="14">
        <f t="shared" si="19"/>
        <v>1.31779592677644</v>
      </c>
      <c r="F230" s="11">
        <v>1.461651546</v>
      </c>
      <c r="G230" s="15">
        <v>1.92615845368529</v>
      </c>
      <c r="I230" s="14">
        <v>0.004825</v>
      </c>
      <c r="J230" s="13">
        <f t="shared" si="15"/>
        <v>2.89516186528497</v>
      </c>
      <c r="M230" s="14">
        <v>33.672</v>
      </c>
      <c r="N230" s="16">
        <f t="shared" si="16"/>
        <v>0.414859705393205</v>
      </c>
      <c r="Q230" s="14">
        <v>0.0104232</v>
      </c>
      <c r="R230" s="17">
        <v>0.804119042136772</v>
      </c>
      <c r="S230" s="17">
        <f t="shared" si="17"/>
        <v>2.39536480639352</v>
      </c>
      <c r="V230" s="18">
        <v>1.30184</v>
      </c>
      <c r="Y230" s="14">
        <v>11.5331</v>
      </c>
      <c r="Z230" s="19">
        <f t="shared" si="18"/>
        <v>1.21122300162142</v>
      </c>
    </row>
    <row r="231" spans="1:26">
      <c r="A231" s="1" t="s">
        <v>251</v>
      </c>
      <c r="B231" s="1">
        <v>13973776</v>
      </c>
      <c r="C231" s="2">
        <v>0.957786</v>
      </c>
      <c r="E231" s="14">
        <f t="shared" si="19"/>
        <v>2.50574882037567</v>
      </c>
      <c r="F231" s="11">
        <v>7.388904033</v>
      </c>
      <c r="G231" s="15">
        <v>18.5147375645588</v>
      </c>
      <c r="I231" s="14">
        <v>0.001267</v>
      </c>
      <c r="J231" s="13">
        <f t="shared" si="15"/>
        <v>11.0290260457774</v>
      </c>
      <c r="M231" s="14">
        <v>8.895</v>
      </c>
      <c r="N231" s="16">
        <f t="shared" si="16"/>
        <v>1.57096975829117</v>
      </c>
      <c r="Q231" s="14">
        <v>0.0116564</v>
      </c>
      <c r="R231" s="17">
        <v>0.719284307333311</v>
      </c>
      <c r="S231" s="17">
        <f t="shared" si="17"/>
        <v>25.7404997937474</v>
      </c>
      <c r="V231" s="18">
        <v>4.4029</v>
      </c>
      <c r="Y231" s="14">
        <v>3.6431</v>
      </c>
      <c r="Z231" s="19">
        <f t="shared" si="18"/>
        <v>3.83568279761741</v>
      </c>
    </row>
    <row r="232" spans="1:26">
      <c r="A232" s="1" t="s">
        <v>252</v>
      </c>
      <c r="B232" s="1">
        <v>14271848</v>
      </c>
      <c r="C232" s="2">
        <v>0.000890525</v>
      </c>
      <c r="E232" s="14">
        <f t="shared" si="19"/>
        <v>1.32936612380466</v>
      </c>
      <c r="F232" s="11">
        <v>0.98618705</v>
      </c>
      <c r="G232" s="15">
        <v>1.31100365600485</v>
      </c>
      <c r="I232" s="14">
        <v>0.012783</v>
      </c>
      <c r="J232" s="13">
        <f t="shared" si="15"/>
        <v>1.11647093796448</v>
      </c>
      <c r="M232" s="14">
        <v>58.269</v>
      </c>
      <c r="N232" s="16">
        <f t="shared" si="16"/>
        <v>0.244930374641748</v>
      </c>
      <c r="Q232" s="14">
        <v>0.0190338</v>
      </c>
      <c r="R232" s="17">
        <v>0.449889606909813</v>
      </c>
      <c r="S232" s="17">
        <f t="shared" si="17"/>
        <v>2.91405632819533</v>
      </c>
      <c r="V232" s="18">
        <v>0.626773</v>
      </c>
      <c r="Y232" s="14">
        <v>31.5304</v>
      </c>
      <c r="Z232" s="19">
        <f t="shared" si="18"/>
        <v>0.452637708370335</v>
      </c>
    </row>
    <row r="233" spans="1:26">
      <c r="A233" s="1" t="s">
        <v>253</v>
      </c>
      <c r="B233" s="1">
        <v>14293332</v>
      </c>
      <c r="C233" s="2">
        <v>0.0509864</v>
      </c>
      <c r="E233" s="14">
        <f t="shared" si="19"/>
        <v>0.879621497270817</v>
      </c>
      <c r="F233" s="11">
        <v>1.878509978</v>
      </c>
      <c r="G233" s="15">
        <v>1.65237775948653</v>
      </c>
      <c r="I233" s="14">
        <v>0.00897</v>
      </c>
      <c r="J233" s="13">
        <f t="shared" si="15"/>
        <v>1.59345953177258</v>
      </c>
      <c r="M233" s="14">
        <v>56.78</v>
      </c>
      <c r="N233" s="16">
        <f t="shared" si="16"/>
        <v>0.251731806974287</v>
      </c>
      <c r="Q233" s="14">
        <v>0.0243896</v>
      </c>
      <c r="R233" s="17">
        <v>0.351625250106603</v>
      </c>
      <c r="S233" s="17">
        <f t="shared" si="17"/>
        <v>4.69925797133617</v>
      </c>
      <c r="V233" s="18">
        <v>1.32667</v>
      </c>
      <c r="Y233" s="14">
        <v>20.0938</v>
      </c>
      <c r="Z233" s="19">
        <f t="shared" si="18"/>
        <v>0.711330460141934</v>
      </c>
    </row>
    <row r="234" spans="1:26">
      <c r="A234" s="1" t="s">
        <v>254</v>
      </c>
      <c r="B234" s="1">
        <v>14310872</v>
      </c>
      <c r="C234" s="2">
        <v>6.14402e-5</v>
      </c>
      <c r="E234" s="14">
        <f t="shared" si="19"/>
        <v>1.18666388916954</v>
      </c>
      <c r="F234" s="11">
        <v>1.066866464</v>
      </c>
      <c r="G234" s="15">
        <v>1.26601190739479</v>
      </c>
      <c r="I234" s="14">
        <v>0.014604</v>
      </c>
      <c r="J234" s="13">
        <f t="shared" si="15"/>
        <v>0.979928238838674</v>
      </c>
      <c r="M234" s="14">
        <v>46.513</v>
      </c>
      <c r="N234" s="16">
        <f t="shared" si="16"/>
        <v>0.307674671597188</v>
      </c>
      <c r="Q234" s="14">
        <v>0.0148142</v>
      </c>
      <c r="R234" s="17">
        <v>0.579614369996355</v>
      </c>
      <c r="S234" s="17">
        <f t="shared" si="17"/>
        <v>2.1842314009619</v>
      </c>
      <c r="V234" s="18">
        <v>0.729994</v>
      </c>
      <c r="Y234" s="14">
        <v>29.7004</v>
      </c>
      <c r="Z234" s="19">
        <f t="shared" si="18"/>
        <v>0.481841052645756</v>
      </c>
    </row>
    <row r="235" spans="1:26">
      <c r="A235" s="1" t="s">
        <v>255</v>
      </c>
      <c r="B235" s="1">
        <v>14374580</v>
      </c>
      <c r="C235" s="2">
        <v>0.035795</v>
      </c>
      <c r="E235" s="14">
        <f t="shared" si="19"/>
        <v>1.26808449307034</v>
      </c>
      <c r="F235" s="11">
        <v>1.093005005</v>
      </c>
      <c r="G235" s="15">
        <v>1.38602269768877</v>
      </c>
      <c r="I235" s="14">
        <v>0.005742</v>
      </c>
      <c r="J235" s="13">
        <f t="shared" si="15"/>
        <v>2.50340996168582</v>
      </c>
      <c r="M235" s="14">
        <v>193.646</v>
      </c>
      <c r="N235" s="16">
        <f t="shared" si="16"/>
        <v>0.0742312260516613</v>
      </c>
      <c r="Q235" s="14">
        <v>0.0295485</v>
      </c>
      <c r="R235" s="17">
        <v>0.291884461140159</v>
      </c>
      <c r="S235" s="17">
        <f t="shared" si="17"/>
        <v>4.74853197828582</v>
      </c>
      <c r="V235" s="18">
        <v>1.12518</v>
      </c>
      <c r="Y235" s="14">
        <v>11.6609</v>
      </c>
      <c r="Z235" s="19">
        <f t="shared" si="18"/>
        <v>1.23271617113602</v>
      </c>
    </row>
    <row r="236" spans="1:26">
      <c r="A236" s="1" t="s">
        <v>256</v>
      </c>
      <c r="B236" s="1">
        <v>14486894</v>
      </c>
      <c r="C236" s="2">
        <v>0.0125889</v>
      </c>
      <c r="E236" s="14">
        <f t="shared" si="19"/>
        <v>1.9003965415802</v>
      </c>
      <c r="F236" s="11">
        <v>1.392576678</v>
      </c>
      <c r="G236" s="15">
        <v>2.64644790275644</v>
      </c>
      <c r="I236" s="14">
        <v>0.00367</v>
      </c>
      <c r="J236" s="13">
        <f t="shared" si="15"/>
        <v>3.9473825613079</v>
      </c>
      <c r="M236" s="14">
        <v>28.461</v>
      </c>
      <c r="N236" s="16">
        <f t="shared" si="16"/>
        <v>0.509008608270967</v>
      </c>
      <c r="Q236" s="14">
        <v>0.0121106</v>
      </c>
      <c r="R236" s="17">
        <v>0.717729625286939</v>
      </c>
      <c r="S236" s="17">
        <f t="shared" si="17"/>
        <v>3.68724908310483</v>
      </c>
      <c r="V236" s="18">
        <v>1.99223</v>
      </c>
      <c r="Y236" s="14">
        <v>8.9028</v>
      </c>
      <c r="Z236" s="19">
        <f t="shared" si="18"/>
        <v>1.62722896167498</v>
      </c>
    </row>
    <row r="237" spans="1:26">
      <c r="A237" s="1" t="s">
        <v>257</v>
      </c>
      <c r="B237" s="1">
        <v>14661300</v>
      </c>
      <c r="C237" s="2">
        <v>0.0239135</v>
      </c>
      <c r="E237" s="14">
        <f t="shared" si="19"/>
        <v>2.08304238474612</v>
      </c>
      <c r="F237" s="11">
        <v>4.602702706</v>
      </c>
      <c r="G237" s="15">
        <v>9.58762482098366</v>
      </c>
      <c r="I237" s="14">
        <v>0.001974</v>
      </c>
      <c r="J237" s="13">
        <f t="shared" si="15"/>
        <v>7.42720364741641</v>
      </c>
      <c r="M237" s="14">
        <v>16.105</v>
      </c>
      <c r="N237" s="16">
        <f t="shared" si="16"/>
        <v>0.910357031977647</v>
      </c>
      <c r="Q237" s="14">
        <v>0.0154352</v>
      </c>
      <c r="R237" s="17">
        <v>0.569916813517156</v>
      </c>
      <c r="S237" s="17">
        <f t="shared" si="17"/>
        <v>16.8228495695978</v>
      </c>
      <c r="V237" s="18">
        <v>1.34298</v>
      </c>
      <c r="Y237" s="14">
        <v>4.6857</v>
      </c>
      <c r="Z237" s="19">
        <f t="shared" si="18"/>
        <v>3.12894551507779</v>
      </c>
    </row>
    <row r="238" spans="1:26">
      <c r="A238" s="1" t="s">
        <v>258</v>
      </c>
      <c r="B238" s="1">
        <v>14809786</v>
      </c>
      <c r="C238" s="2">
        <v>0.000122986</v>
      </c>
      <c r="E238" s="14">
        <f t="shared" si="19"/>
        <v>1.14412508513463</v>
      </c>
      <c r="F238" s="11">
        <v>1.618812374</v>
      </c>
      <c r="G238" s="15">
        <v>1.85212384521974</v>
      </c>
      <c r="I238" s="14">
        <v>0.003177</v>
      </c>
      <c r="J238" s="13">
        <f t="shared" si="15"/>
        <v>4.66156310985206</v>
      </c>
      <c r="M238" s="14">
        <v>38.516</v>
      </c>
      <c r="N238" s="16">
        <f t="shared" si="16"/>
        <v>0.384509969882646</v>
      </c>
      <c r="Q238" s="14">
        <v>0.0114522</v>
      </c>
      <c r="R238" s="17">
        <v>0.775909571959973</v>
      </c>
      <c r="S238" s="17">
        <f t="shared" si="17"/>
        <v>2.38703569610723</v>
      </c>
      <c r="V238" s="18">
        <v>2.17126</v>
      </c>
      <c r="Y238" s="14">
        <v>7.4249</v>
      </c>
      <c r="Z238" s="19">
        <f t="shared" si="18"/>
        <v>1.99461083650958</v>
      </c>
    </row>
    <row r="239" spans="1:26">
      <c r="A239" s="1" t="s">
        <v>259</v>
      </c>
      <c r="B239" s="1">
        <v>14875950</v>
      </c>
      <c r="C239" s="2">
        <v>0.525705</v>
      </c>
      <c r="E239" s="14">
        <f t="shared" si="19"/>
        <v>2.83273161145121</v>
      </c>
      <c r="F239" s="11">
        <v>4.832119249</v>
      </c>
      <c r="G239" s="15">
        <v>13.6880969469442</v>
      </c>
      <c r="I239" s="14">
        <v>0.001567</v>
      </c>
      <c r="J239" s="13">
        <f t="shared" si="15"/>
        <v>9.49326738991704</v>
      </c>
      <c r="M239" s="14">
        <v>16.9</v>
      </c>
      <c r="N239" s="16">
        <f t="shared" si="16"/>
        <v>0.880233727810651</v>
      </c>
      <c r="Q239" s="14">
        <v>0.00958936</v>
      </c>
      <c r="R239" s="17">
        <v>0.930778487824005</v>
      </c>
      <c r="S239" s="17">
        <f t="shared" si="17"/>
        <v>14.7060735996859</v>
      </c>
      <c r="V239" s="18">
        <v>4.0412</v>
      </c>
      <c r="Y239" s="14">
        <v>5.1083</v>
      </c>
      <c r="Z239" s="19">
        <f t="shared" si="18"/>
        <v>2.9121136190122</v>
      </c>
    </row>
    <row r="240" spans="1:26">
      <c r="A240" s="1" t="s">
        <v>260</v>
      </c>
      <c r="B240" s="1">
        <v>14947884</v>
      </c>
      <c r="C240" s="2">
        <v>0.036922</v>
      </c>
      <c r="E240" s="14">
        <f t="shared" si="19"/>
        <v>0.870296365411572</v>
      </c>
      <c r="F240" s="11">
        <v>1.611236971</v>
      </c>
      <c r="G240" s="15">
        <v>1.40225367967805</v>
      </c>
      <c r="I240" s="14">
        <v>0.005291</v>
      </c>
      <c r="J240" s="13">
        <f t="shared" si="15"/>
        <v>2.8251529011529</v>
      </c>
      <c r="M240" s="14">
        <v>194.382</v>
      </c>
      <c r="N240" s="16">
        <f t="shared" si="16"/>
        <v>0.0768995277340495</v>
      </c>
      <c r="Q240" s="14">
        <v>0.0271898</v>
      </c>
      <c r="R240" s="17">
        <v>0.329856431455914</v>
      </c>
      <c r="S240" s="17">
        <f t="shared" si="17"/>
        <v>4.25110304349322</v>
      </c>
      <c r="V240" s="18">
        <v>1.16077</v>
      </c>
      <c r="Y240" s="14">
        <v>12.4041</v>
      </c>
      <c r="Z240" s="19">
        <f t="shared" si="18"/>
        <v>1.20507606355963</v>
      </c>
    </row>
    <row r="241" spans="1:26">
      <c r="A241" s="1" t="s">
        <v>261</v>
      </c>
      <c r="B241" s="1">
        <v>14947884</v>
      </c>
      <c r="C241" s="2">
        <v>0.036922</v>
      </c>
      <c r="E241" s="14">
        <f t="shared" si="19"/>
        <v>1.32930311381578</v>
      </c>
      <c r="F241" s="11">
        <v>1.040193015</v>
      </c>
      <c r="G241" s="15">
        <v>1.38273181380892</v>
      </c>
      <c r="I241" s="14">
        <v>0.005233</v>
      </c>
      <c r="J241" s="13">
        <f t="shared" si="15"/>
        <v>2.85646550735716</v>
      </c>
      <c r="M241" s="14">
        <v>194.859</v>
      </c>
      <c r="N241" s="16">
        <f t="shared" si="16"/>
        <v>0.0767112835434853</v>
      </c>
      <c r="Q241" s="14">
        <v>0.027345</v>
      </c>
      <c r="R241" s="17">
        <v>0.327984289632474</v>
      </c>
      <c r="S241" s="17">
        <f t="shared" si="17"/>
        <v>4.21584770221267</v>
      </c>
      <c r="V241" s="18">
        <v>1.13903</v>
      </c>
      <c r="Y241" s="14">
        <v>13.0922</v>
      </c>
      <c r="Z241" s="19">
        <f t="shared" si="18"/>
        <v>1.14173966178335</v>
      </c>
    </row>
    <row r="242" spans="1:26">
      <c r="A242" s="1" t="s">
        <v>262</v>
      </c>
      <c r="B242" s="1">
        <v>15017656</v>
      </c>
      <c r="C242" s="2">
        <v>0.000623899</v>
      </c>
      <c r="E242" s="14">
        <f t="shared" si="19"/>
        <v>1.33675961440933</v>
      </c>
      <c r="F242" s="11">
        <v>1.015288735</v>
      </c>
      <c r="G242" s="15">
        <v>1.35719697791274</v>
      </c>
      <c r="I242" s="14">
        <v>0.015074</v>
      </c>
      <c r="J242" s="13">
        <f t="shared" si="15"/>
        <v>0.996262173278493</v>
      </c>
      <c r="M242" s="14">
        <v>50.327</v>
      </c>
      <c r="N242" s="16">
        <f t="shared" si="16"/>
        <v>0.29840157370795</v>
      </c>
      <c r="Q242" s="14">
        <v>0.0150223</v>
      </c>
      <c r="R242" s="17">
        <v>0.599814515753247</v>
      </c>
      <c r="S242" s="17">
        <f t="shared" si="17"/>
        <v>2.26269445348179</v>
      </c>
      <c r="V242" s="18">
        <v>0.708147</v>
      </c>
      <c r="Y242" s="14">
        <v>17.0252</v>
      </c>
      <c r="Z242" s="19">
        <f t="shared" si="18"/>
        <v>0.882083969644997</v>
      </c>
    </row>
    <row r="243" spans="1:26">
      <c r="A243" s="1" t="s">
        <v>263</v>
      </c>
      <c r="B243" s="1">
        <v>15113794</v>
      </c>
      <c r="C243" s="2">
        <v>0.00491152</v>
      </c>
      <c r="E243" s="14">
        <f t="shared" si="19"/>
        <v>0.977862501904637</v>
      </c>
      <c r="F243" s="11">
        <v>1.109257483</v>
      </c>
      <c r="G243" s="15">
        <v>1.08470129758282</v>
      </c>
      <c r="I243" s="14">
        <v>0.010843</v>
      </c>
      <c r="J243" s="13">
        <f t="shared" si="15"/>
        <v>1.39387568016232</v>
      </c>
      <c r="M243" s="14">
        <v>145.296</v>
      </c>
      <c r="N243" s="16">
        <f t="shared" si="16"/>
        <v>0.104020716330801</v>
      </c>
      <c r="Q243" s="14">
        <v>0.0387102</v>
      </c>
      <c r="R243" s="17">
        <v>0.234260644481299</v>
      </c>
      <c r="S243" s="17">
        <f t="shared" si="17"/>
        <v>4.63031808003675</v>
      </c>
      <c r="V243" s="18">
        <v>0.754677</v>
      </c>
      <c r="Y243" s="14">
        <v>34.7338</v>
      </c>
      <c r="Z243" s="19">
        <f t="shared" si="18"/>
        <v>0.435132176726992</v>
      </c>
    </row>
    <row r="244" spans="1:26">
      <c r="A244" s="1" t="s">
        <v>264</v>
      </c>
      <c r="B244" s="1">
        <v>15297700</v>
      </c>
      <c r="C244" s="2">
        <v>0.340764</v>
      </c>
      <c r="E244" s="14">
        <f t="shared" si="19"/>
        <v>2.73335287610453</v>
      </c>
      <c r="F244" s="11">
        <v>10.000499423</v>
      </c>
      <c r="G244" s="15">
        <v>27.3348938603388</v>
      </c>
      <c r="I244" s="14">
        <v>0.001526</v>
      </c>
      <c r="J244" s="13">
        <f t="shared" si="15"/>
        <v>10.0247051114024</v>
      </c>
      <c r="M244" s="14">
        <v>16.603</v>
      </c>
      <c r="N244" s="16">
        <f t="shared" si="16"/>
        <v>0.921381678009998</v>
      </c>
      <c r="Q244" s="14">
        <v>0.00533835</v>
      </c>
      <c r="R244" s="17">
        <v>1.71937396386524</v>
      </c>
      <c r="S244" s="17">
        <f t="shared" si="17"/>
        <v>15.8981666785791</v>
      </c>
      <c r="V244" s="18">
        <v>5.79674</v>
      </c>
      <c r="Y244" s="14">
        <v>2.9453</v>
      </c>
      <c r="Z244" s="19">
        <f t="shared" si="18"/>
        <v>5.19393610158558</v>
      </c>
    </row>
    <row r="245" spans="1:26">
      <c r="A245" s="1" t="s">
        <v>265</v>
      </c>
      <c r="B245" s="1">
        <v>15427584</v>
      </c>
      <c r="C245" s="2">
        <v>0.15506</v>
      </c>
      <c r="E245" s="14">
        <f t="shared" si="19"/>
        <v>0.904699970727176</v>
      </c>
      <c r="F245" s="11">
        <v>1.868347605</v>
      </c>
      <c r="G245" s="15">
        <v>1.69029402355169</v>
      </c>
      <c r="I245" s="14">
        <v>0.007216</v>
      </c>
      <c r="J245" s="13">
        <f t="shared" si="15"/>
        <v>2.1379689578714</v>
      </c>
      <c r="M245" s="14">
        <v>45.526</v>
      </c>
      <c r="N245" s="16">
        <f t="shared" si="16"/>
        <v>0.338874137855291</v>
      </c>
      <c r="Q245" s="14">
        <v>0.00746278</v>
      </c>
      <c r="R245" s="17">
        <v>1.24036222426495</v>
      </c>
      <c r="S245" s="17">
        <f t="shared" si="17"/>
        <v>1.36274226228824</v>
      </c>
      <c r="V245" s="18">
        <v>1.51518</v>
      </c>
      <c r="Y245" s="14">
        <v>15.6265</v>
      </c>
      <c r="Z245" s="19">
        <f t="shared" si="18"/>
        <v>0.98727059802259</v>
      </c>
    </row>
    <row r="246" spans="1:26">
      <c r="A246" s="1" t="s">
        <v>266</v>
      </c>
      <c r="B246" s="1">
        <v>15427584</v>
      </c>
      <c r="C246" s="2">
        <v>0.160908</v>
      </c>
      <c r="E246" s="14">
        <f t="shared" si="19"/>
        <v>0.984676921929112</v>
      </c>
      <c r="F246" s="11">
        <v>1.604200088</v>
      </c>
      <c r="G246" s="15">
        <v>1.57961880481025</v>
      </c>
      <c r="I246" s="14">
        <v>0.00716</v>
      </c>
      <c r="J246" s="13">
        <f t="shared" si="15"/>
        <v>2.1546905027933</v>
      </c>
      <c r="M246" s="14">
        <v>44.737</v>
      </c>
      <c r="N246" s="16">
        <f t="shared" si="16"/>
        <v>0.34485066052708</v>
      </c>
      <c r="Q246" s="14">
        <v>0.00771788</v>
      </c>
      <c r="R246" s="17">
        <v>1.19936438503838</v>
      </c>
      <c r="S246" s="17">
        <f t="shared" si="17"/>
        <v>1.31704661612051</v>
      </c>
      <c r="V246" s="18">
        <v>1.39184</v>
      </c>
      <c r="Y246" s="14">
        <v>16.0836</v>
      </c>
      <c r="Z246" s="19">
        <f t="shared" si="18"/>
        <v>0.959212116690293</v>
      </c>
    </row>
    <row r="247" spans="1:26">
      <c r="A247" s="1" t="s">
        <v>267</v>
      </c>
      <c r="B247" s="1">
        <v>15489024</v>
      </c>
      <c r="C247" s="2">
        <v>0.0313791</v>
      </c>
      <c r="E247" s="14">
        <f t="shared" si="19"/>
        <v>6.72749990116997</v>
      </c>
      <c r="F247" s="11">
        <v>1.122536464</v>
      </c>
      <c r="G247" s="15">
        <v>7.55186395061969</v>
      </c>
      <c r="I247" s="14">
        <v>0.001808</v>
      </c>
      <c r="J247" s="13">
        <f t="shared" si="15"/>
        <v>8.56693805309735</v>
      </c>
      <c r="M247" s="14">
        <v>10.572</v>
      </c>
      <c r="N247" s="16">
        <f t="shared" si="16"/>
        <v>1.46509875141884</v>
      </c>
      <c r="Q247" s="14">
        <v>0.00896503</v>
      </c>
      <c r="R247" s="17">
        <v>1.03662948144066</v>
      </c>
      <c r="S247" s="17">
        <f t="shared" si="17"/>
        <v>7.28501753599025</v>
      </c>
      <c r="V247" s="18">
        <v>0.625898</v>
      </c>
      <c r="Y247" s="14">
        <v>5.0917</v>
      </c>
      <c r="Z247" s="19">
        <f t="shared" si="18"/>
        <v>3.04201425849913</v>
      </c>
    </row>
    <row r="248" spans="1:26">
      <c r="A248" s="1" t="s">
        <v>268</v>
      </c>
      <c r="B248" s="1">
        <v>15522442</v>
      </c>
      <c r="C248" s="2">
        <v>0</v>
      </c>
      <c r="E248" s="14">
        <f t="shared" si="19"/>
        <v>1.88635887575815</v>
      </c>
      <c r="F248" s="11">
        <v>4.13446543</v>
      </c>
      <c r="G248" s="15">
        <v>7.79908556039572</v>
      </c>
      <c r="I248" s="14">
        <v>0.002189</v>
      </c>
      <c r="J248" s="13">
        <f t="shared" si="15"/>
        <v>7.09111100959342</v>
      </c>
      <c r="M248" s="14">
        <v>23.715</v>
      </c>
      <c r="N248" s="16">
        <f t="shared" si="16"/>
        <v>0.654541092135779</v>
      </c>
      <c r="Q248" s="14">
        <v>0.00733641</v>
      </c>
      <c r="R248" s="17">
        <v>1.26948537499949</v>
      </c>
      <c r="S248" s="17">
        <f t="shared" si="17"/>
        <v>6.14350170075717</v>
      </c>
      <c r="V248" s="18">
        <v>2.95947</v>
      </c>
      <c r="Y248" s="14">
        <v>6.3237</v>
      </c>
      <c r="Z248" s="19">
        <f t="shared" si="18"/>
        <v>2.45464553979474</v>
      </c>
    </row>
    <row r="249" spans="1:26">
      <c r="A249" s="1" t="s">
        <v>269</v>
      </c>
      <c r="B249" s="1">
        <v>15550332</v>
      </c>
      <c r="C249" s="2">
        <v>0.000603696</v>
      </c>
      <c r="E249" s="14">
        <f t="shared" si="19"/>
        <v>1.32811802351354</v>
      </c>
      <c r="F249" s="11">
        <v>0.924451401</v>
      </c>
      <c r="G249" s="15">
        <v>1.22778056753044</v>
      </c>
      <c r="I249" s="14">
        <v>0.015101</v>
      </c>
      <c r="J249" s="13">
        <f t="shared" si="15"/>
        <v>1.02975511555526</v>
      </c>
      <c r="M249" s="14">
        <v>55.57</v>
      </c>
      <c r="N249" s="16">
        <f t="shared" si="16"/>
        <v>0.279833219362966</v>
      </c>
      <c r="Q249" s="14">
        <v>0.0147601</v>
      </c>
      <c r="R249" s="17">
        <v>0.632123034396786</v>
      </c>
      <c r="S249" s="17">
        <f t="shared" si="17"/>
        <v>1.94231265231787</v>
      </c>
      <c r="V249" s="18">
        <v>0.688685</v>
      </c>
      <c r="Y249" s="14">
        <v>27.7495</v>
      </c>
      <c r="Z249" s="19">
        <f t="shared" si="18"/>
        <v>0.560382421304888</v>
      </c>
    </row>
    <row r="250" spans="1:26">
      <c r="A250" s="1" t="s">
        <v>270</v>
      </c>
      <c r="B250" s="1">
        <v>15615390</v>
      </c>
      <c r="C250" s="2">
        <v>0</v>
      </c>
      <c r="E250" s="14">
        <f t="shared" si="19"/>
        <v>1.60158701206242</v>
      </c>
      <c r="F250" s="11">
        <v>4.853618054</v>
      </c>
      <c r="G250" s="15">
        <v>7.77349163679809</v>
      </c>
      <c r="I250" s="14">
        <v>0.00208</v>
      </c>
      <c r="J250" s="13">
        <f t="shared" si="15"/>
        <v>7.50739903846154</v>
      </c>
      <c r="M250" s="14">
        <v>19.206</v>
      </c>
      <c r="N250" s="16">
        <f t="shared" si="16"/>
        <v>0.813047485160887</v>
      </c>
      <c r="Q250" s="14">
        <v>0.00624756</v>
      </c>
      <c r="R250" s="17">
        <v>1.49966290839944</v>
      </c>
      <c r="S250" s="17">
        <f t="shared" si="17"/>
        <v>5.18349263241736</v>
      </c>
      <c r="V250" s="18">
        <v>3.63469</v>
      </c>
      <c r="Y250" s="14">
        <v>4.6982</v>
      </c>
      <c r="Z250" s="19">
        <f t="shared" si="18"/>
        <v>3.32369630922481</v>
      </c>
    </row>
    <row r="251" spans="1:26">
      <c r="A251" s="1" t="s">
        <v>271</v>
      </c>
      <c r="B251" s="1">
        <v>15630000</v>
      </c>
      <c r="C251" s="2">
        <v>0.000441419</v>
      </c>
      <c r="E251" s="14">
        <f t="shared" si="19"/>
        <v>1.52775113285412</v>
      </c>
      <c r="F251" s="11">
        <v>0.803386382</v>
      </c>
      <c r="G251" s="15">
        <v>1.22737445522007</v>
      </c>
      <c r="I251" s="14">
        <v>0.014129</v>
      </c>
      <c r="J251" s="13">
        <f t="shared" si="15"/>
        <v>1.10623540236393</v>
      </c>
      <c r="M251" s="14">
        <v>56.063</v>
      </c>
      <c r="N251" s="16">
        <f t="shared" si="16"/>
        <v>0.278793500169452</v>
      </c>
      <c r="Q251" s="14">
        <v>0.0182209</v>
      </c>
      <c r="R251" s="17">
        <v>0.514683687413904</v>
      </c>
      <c r="S251" s="17">
        <f t="shared" si="17"/>
        <v>2.38471606004685</v>
      </c>
      <c r="V251" s="18">
        <v>0.717378</v>
      </c>
      <c r="Y251" s="14">
        <v>16.2275</v>
      </c>
      <c r="Z251" s="19">
        <f t="shared" si="18"/>
        <v>0.963179787397936</v>
      </c>
    </row>
    <row r="252" spans="1:26">
      <c r="A252" s="1" t="s">
        <v>272</v>
      </c>
      <c r="B252" s="1">
        <v>15656860</v>
      </c>
      <c r="C252" s="2">
        <v>0</v>
      </c>
      <c r="E252" s="14">
        <f t="shared" si="19"/>
        <v>1.35560194259312</v>
      </c>
      <c r="F252" s="11">
        <v>5.556182358</v>
      </c>
      <c r="G252" s="15">
        <v>7.5319715979064</v>
      </c>
      <c r="I252" s="14">
        <v>0.001739</v>
      </c>
      <c r="J252" s="13">
        <f t="shared" si="15"/>
        <v>9.00336975273146</v>
      </c>
      <c r="M252" s="14">
        <v>21.506</v>
      </c>
      <c r="N252" s="16">
        <f t="shared" si="16"/>
        <v>0.728022877336557</v>
      </c>
      <c r="Q252" s="14">
        <v>0.00967813</v>
      </c>
      <c r="R252" s="17">
        <v>0.970654041638209</v>
      </c>
      <c r="S252" s="17">
        <f t="shared" si="17"/>
        <v>7.75968705100574</v>
      </c>
      <c r="V252" s="18">
        <v>2.35467</v>
      </c>
      <c r="Y252" s="14">
        <v>4.7318</v>
      </c>
      <c r="Z252" s="19">
        <f t="shared" si="18"/>
        <v>3.30885920791242</v>
      </c>
    </row>
    <row r="253" spans="1:26">
      <c r="A253" s="1" t="s">
        <v>273</v>
      </c>
      <c r="B253" s="1">
        <v>15671020</v>
      </c>
      <c r="C253" s="2">
        <v>0</v>
      </c>
      <c r="E253" s="14">
        <f t="shared" si="19"/>
        <v>2.11049363093993</v>
      </c>
      <c r="F253" s="11">
        <v>2.131920309</v>
      </c>
      <c r="G253" s="15">
        <v>4.49940423381598</v>
      </c>
      <c r="I253" s="14">
        <v>0.004512</v>
      </c>
      <c r="J253" s="13">
        <f t="shared" si="15"/>
        <v>3.47318705673759</v>
      </c>
      <c r="M253" s="14">
        <v>27.028</v>
      </c>
      <c r="N253" s="16">
        <f t="shared" si="16"/>
        <v>0.57980686695279</v>
      </c>
      <c r="Q253" s="14">
        <v>0.0105287</v>
      </c>
      <c r="R253" s="17">
        <v>0.893045865111552</v>
      </c>
      <c r="S253" s="17">
        <f t="shared" si="17"/>
        <v>5.03826780862364</v>
      </c>
      <c r="V253" s="18">
        <v>2.02725</v>
      </c>
      <c r="Y253" s="14">
        <v>8.6982</v>
      </c>
      <c r="Z253" s="19">
        <f t="shared" si="18"/>
        <v>1.80163941965004</v>
      </c>
    </row>
    <row r="254" spans="1:26">
      <c r="A254" s="1" t="s">
        <v>274</v>
      </c>
      <c r="B254" s="1">
        <v>15759436</v>
      </c>
      <c r="C254" s="2">
        <v>9.3214e-5</v>
      </c>
      <c r="E254" s="14">
        <f t="shared" si="19"/>
        <v>0.650024928113929</v>
      </c>
      <c r="F254" s="11">
        <v>2.916719564</v>
      </c>
      <c r="G254" s="15">
        <v>1.89594042491759</v>
      </c>
      <c r="I254" s="14">
        <v>0.015104</v>
      </c>
      <c r="J254" s="13">
        <f t="shared" si="15"/>
        <v>1.04339486228814</v>
      </c>
      <c r="M254" s="14">
        <v>92.448</v>
      </c>
      <c r="N254" s="16">
        <f t="shared" si="16"/>
        <v>0.170468111803392</v>
      </c>
      <c r="Q254" s="14">
        <v>0.00283898</v>
      </c>
      <c r="R254" s="17">
        <v>3.33065453085263</v>
      </c>
      <c r="S254" s="17">
        <f t="shared" si="17"/>
        <v>0.569239591604308</v>
      </c>
      <c r="V254" s="18">
        <v>1.51733</v>
      </c>
      <c r="Y254" s="14">
        <v>13.9595</v>
      </c>
      <c r="Z254" s="19">
        <f t="shared" si="18"/>
        <v>1.1289398617429</v>
      </c>
    </row>
    <row r="255" spans="1:26">
      <c r="A255" s="1" t="s">
        <v>275</v>
      </c>
      <c r="B255" s="1">
        <v>15919468</v>
      </c>
      <c r="C255" s="2">
        <v>0.651475</v>
      </c>
      <c r="E255" s="14">
        <f t="shared" si="19"/>
        <v>1.88684080891554</v>
      </c>
      <c r="F255" s="11">
        <v>12.028876094</v>
      </c>
      <c r="G255" s="15">
        <v>22.6965742995478</v>
      </c>
      <c r="I255" s="14">
        <v>0.001948</v>
      </c>
      <c r="J255" s="13">
        <f t="shared" si="15"/>
        <v>8.17221149897331</v>
      </c>
      <c r="M255" s="14">
        <v>19.488</v>
      </c>
      <c r="N255" s="16">
        <f t="shared" si="16"/>
        <v>0.816885673234811</v>
      </c>
      <c r="Q255" s="14">
        <v>0.00552453</v>
      </c>
      <c r="R255" s="17">
        <v>1.72895808331206</v>
      </c>
      <c r="S255" s="17">
        <f t="shared" si="17"/>
        <v>13.1273132174895</v>
      </c>
      <c r="V255" s="18">
        <v>5.43407</v>
      </c>
      <c r="Y255" s="14">
        <v>3.0665</v>
      </c>
      <c r="Z255" s="19">
        <f t="shared" si="18"/>
        <v>5.19141301157672</v>
      </c>
    </row>
    <row r="256" spans="1:26">
      <c r="A256" s="1" t="s">
        <v>276</v>
      </c>
      <c r="B256" s="1">
        <v>16184776</v>
      </c>
      <c r="C256" s="2">
        <v>0.000377624</v>
      </c>
      <c r="E256" s="14">
        <f t="shared" si="19"/>
        <v>1.20445524169019</v>
      </c>
      <c r="F256" s="11">
        <v>1.07839303</v>
      </c>
      <c r="G256" s="15">
        <v>1.29887613758567</v>
      </c>
      <c r="I256" s="14">
        <v>0.015134</v>
      </c>
      <c r="J256" s="13">
        <f t="shared" si="15"/>
        <v>1.06943147878948</v>
      </c>
      <c r="M256" s="14">
        <v>55.794</v>
      </c>
      <c r="N256" s="16">
        <f t="shared" si="16"/>
        <v>0.290080940602932</v>
      </c>
      <c r="Q256" s="14">
        <v>0.0184108</v>
      </c>
      <c r="R256" s="17">
        <v>0.527454841723336</v>
      </c>
      <c r="S256" s="17">
        <f t="shared" si="17"/>
        <v>2.46253524442376</v>
      </c>
      <c r="V256" s="18">
        <v>0.73466</v>
      </c>
      <c r="Y256" s="14">
        <v>37.7831</v>
      </c>
      <c r="Z256" s="19">
        <f t="shared" si="18"/>
        <v>0.428360192784605</v>
      </c>
    </row>
    <row r="257" spans="1:26">
      <c r="A257" s="1" t="s">
        <v>277</v>
      </c>
      <c r="B257" s="1">
        <v>16297916</v>
      </c>
      <c r="C257" s="2">
        <v>0</v>
      </c>
      <c r="E257" s="14">
        <f t="shared" si="19"/>
        <v>2.5181303897683</v>
      </c>
      <c r="F257" s="11">
        <v>3.80945667</v>
      </c>
      <c r="G257" s="15">
        <v>9.59270860923255</v>
      </c>
      <c r="I257" s="14">
        <v>0.00257</v>
      </c>
      <c r="J257" s="13">
        <f t="shared" si="15"/>
        <v>6.34160155642023</v>
      </c>
      <c r="M257" s="14">
        <v>22.901</v>
      </c>
      <c r="N257" s="16">
        <f t="shared" si="16"/>
        <v>0.711668311427449</v>
      </c>
      <c r="Q257" s="14">
        <v>0.0182056</v>
      </c>
      <c r="R257" s="17">
        <v>0.53712866370787</v>
      </c>
      <c r="S257" s="17">
        <f t="shared" si="17"/>
        <v>17.8592379394032</v>
      </c>
      <c r="V257" s="18">
        <v>1.80266</v>
      </c>
      <c r="Y257" s="14">
        <v>5.3305</v>
      </c>
      <c r="Z257" s="19">
        <f t="shared" si="18"/>
        <v>3.05748353812963</v>
      </c>
    </row>
    <row r="258" spans="1:26">
      <c r="A258" s="1" t="s">
        <v>278</v>
      </c>
      <c r="B258" s="1">
        <v>16522808</v>
      </c>
      <c r="C258" s="2">
        <v>6.41139e-5</v>
      </c>
      <c r="E258" s="14">
        <f t="shared" si="19"/>
        <v>1.13209171761344</v>
      </c>
      <c r="F258" s="11">
        <v>1.0669906</v>
      </c>
      <c r="G258" s="15">
        <v>1.20793122103139</v>
      </c>
      <c r="I258" s="14">
        <v>0.01492</v>
      </c>
      <c r="J258" s="13">
        <f t="shared" ref="J258:J321" si="20">B258/I258/1000000000</f>
        <v>1.10742680965147</v>
      </c>
      <c r="M258" s="14">
        <v>58.43</v>
      </c>
      <c r="N258" s="16">
        <f t="shared" ref="N258:N321" si="21">B258/M258/1000000</f>
        <v>0.28277953106281</v>
      </c>
      <c r="Q258" s="14">
        <v>0.0151147</v>
      </c>
      <c r="R258" s="17">
        <v>0.655896895075655</v>
      </c>
      <c r="S258" s="17">
        <f t="shared" ref="S258:S321" si="22">G258/R258</f>
        <v>1.84164802440795</v>
      </c>
      <c r="V258" s="18">
        <v>0.726158</v>
      </c>
      <c r="Y258" s="14">
        <v>23.5069</v>
      </c>
      <c r="Z258" s="19">
        <f t="shared" ref="Z258:Z321" si="23">B258/Y258/1000000</f>
        <v>0.702891831760036</v>
      </c>
    </row>
    <row r="259" spans="1:26">
      <c r="A259" s="1" t="s">
        <v>279</v>
      </c>
      <c r="B259" s="1">
        <v>16638718</v>
      </c>
      <c r="C259" s="2">
        <v>0.462247</v>
      </c>
      <c r="E259" s="14">
        <f t="shared" ref="E259:E322" si="24">G259/F259</f>
        <v>2.08477308239739</v>
      </c>
      <c r="F259" s="11">
        <v>11.984037068</v>
      </c>
      <c r="G259" s="15">
        <v>24.983997897819</v>
      </c>
      <c r="I259" s="14">
        <v>0.001761</v>
      </c>
      <c r="J259" s="13">
        <f t="shared" si="20"/>
        <v>9.44844860874503</v>
      </c>
      <c r="M259" s="14">
        <v>10.585</v>
      </c>
      <c r="N259" s="16">
        <f t="shared" si="21"/>
        <v>1.57191478507322</v>
      </c>
      <c r="Q259" s="14">
        <v>0.00485618</v>
      </c>
      <c r="R259" s="17">
        <v>2.05577857492927</v>
      </c>
      <c r="S259" s="17">
        <f t="shared" si="22"/>
        <v>12.1530587985034</v>
      </c>
      <c r="V259" s="18">
        <v>5.25896</v>
      </c>
      <c r="Y259" s="14">
        <v>3.0617</v>
      </c>
      <c r="Z259" s="19">
        <f t="shared" si="23"/>
        <v>5.43447039226573</v>
      </c>
    </row>
    <row r="260" spans="1:26">
      <c r="A260" s="1" t="s">
        <v>280</v>
      </c>
      <c r="B260" s="1">
        <v>16638718</v>
      </c>
      <c r="C260" s="2">
        <v>0.456</v>
      </c>
      <c r="E260" s="14">
        <f t="shared" si="24"/>
        <v>2.31296947209759</v>
      </c>
      <c r="F260" s="11">
        <v>11.923023553</v>
      </c>
      <c r="G260" s="15">
        <v>27.5775894931896</v>
      </c>
      <c r="I260" s="14">
        <v>0.0013</v>
      </c>
      <c r="J260" s="13">
        <f t="shared" si="20"/>
        <v>12.7990138461538</v>
      </c>
      <c r="M260" s="14">
        <v>9.938</v>
      </c>
      <c r="N260" s="16">
        <f t="shared" si="21"/>
        <v>1.67425216341316</v>
      </c>
      <c r="Q260" s="14">
        <v>0.00501205</v>
      </c>
      <c r="R260" s="17">
        <v>1.99184581159406</v>
      </c>
      <c r="S260" s="17">
        <f t="shared" si="22"/>
        <v>13.8452431070051</v>
      </c>
      <c r="V260" s="18">
        <v>5.19253</v>
      </c>
      <c r="Y260" s="14">
        <v>3.1009</v>
      </c>
      <c r="Z260" s="19">
        <f t="shared" si="23"/>
        <v>5.36577058273404</v>
      </c>
    </row>
    <row r="261" spans="1:26">
      <c r="A261" s="1" t="s">
        <v>281</v>
      </c>
      <c r="B261" s="1">
        <v>16644806</v>
      </c>
      <c r="C261" s="2">
        <v>0.00508559</v>
      </c>
      <c r="E261" s="14">
        <f t="shared" si="24"/>
        <v>3.49471994470348</v>
      </c>
      <c r="F261" s="11">
        <v>2.323565237</v>
      </c>
      <c r="G261" s="15">
        <v>8.12020977656357</v>
      </c>
      <c r="I261" s="14">
        <v>0.00209</v>
      </c>
      <c r="J261" s="13">
        <f t="shared" si="20"/>
        <v>7.96402200956938</v>
      </c>
      <c r="M261" s="14">
        <v>13.043</v>
      </c>
      <c r="N261" s="16">
        <f t="shared" si="21"/>
        <v>1.27614858544813</v>
      </c>
      <c r="Q261" s="14">
        <v>0.0138655</v>
      </c>
      <c r="R261" s="17">
        <v>0.720268551440626</v>
      </c>
      <c r="S261" s="17">
        <f t="shared" si="22"/>
        <v>11.2738641168244</v>
      </c>
      <c r="V261" s="18">
        <v>2.83765</v>
      </c>
      <c r="Y261" s="14">
        <v>7.0754</v>
      </c>
      <c r="Z261" s="19">
        <f t="shared" si="23"/>
        <v>2.3524897532295</v>
      </c>
    </row>
    <row r="262" spans="1:26">
      <c r="A262" s="1" t="s">
        <v>282</v>
      </c>
      <c r="B262" s="1">
        <v>16644806</v>
      </c>
      <c r="C262" s="2">
        <v>0.005064</v>
      </c>
      <c r="E262" s="14">
        <f t="shared" si="24"/>
        <v>2.42884309756274</v>
      </c>
      <c r="F262" s="11">
        <v>3.242247793</v>
      </c>
      <c r="G262" s="15">
        <v>7.87491117261609</v>
      </c>
      <c r="I262" s="14">
        <v>0.002267</v>
      </c>
      <c r="J262" s="13">
        <f t="shared" si="20"/>
        <v>7.34221702690781</v>
      </c>
      <c r="M262" s="14">
        <v>12.775</v>
      </c>
      <c r="N262" s="16">
        <f t="shared" si="21"/>
        <v>1.30292023483366</v>
      </c>
      <c r="Q262" s="14">
        <v>0.015684</v>
      </c>
      <c r="R262" s="17">
        <v>0.636756159143076</v>
      </c>
      <c r="S262" s="17">
        <f t="shared" si="22"/>
        <v>12.3672320393632</v>
      </c>
      <c r="V262" s="18">
        <v>2.80392</v>
      </c>
      <c r="Y262" s="14">
        <v>6.8783</v>
      </c>
      <c r="Z262" s="19">
        <f t="shared" si="23"/>
        <v>2.41990113836268</v>
      </c>
    </row>
    <row r="263" spans="1:26">
      <c r="A263" s="1" t="s">
        <v>283</v>
      </c>
      <c r="B263" s="1">
        <v>16832024</v>
      </c>
      <c r="C263" s="2">
        <v>2.3625e-5</v>
      </c>
      <c r="E263" s="14">
        <f t="shared" si="24"/>
        <v>1.1801634280275</v>
      </c>
      <c r="F263" s="11">
        <v>1.053177953</v>
      </c>
      <c r="G263" s="15">
        <v>1.24292210333547</v>
      </c>
      <c r="I263" s="14">
        <v>0.017145</v>
      </c>
      <c r="J263" s="13">
        <f t="shared" si="20"/>
        <v>0.981745348498104</v>
      </c>
      <c r="M263" s="14">
        <v>88.978</v>
      </c>
      <c r="N263" s="16">
        <f t="shared" si="21"/>
        <v>0.189170626446987</v>
      </c>
      <c r="Q263" s="14">
        <v>0.0154013</v>
      </c>
      <c r="R263" s="17">
        <v>0.655737788368514</v>
      </c>
      <c r="S263" s="17">
        <f t="shared" si="22"/>
        <v>1.89545596636711</v>
      </c>
      <c r="V263" s="18">
        <v>0.799653</v>
      </c>
      <c r="Y263" s="14">
        <v>24.6619</v>
      </c>
      <c r="Z263" s="19">
        <f t="shared" si="23"/>
        <v>0.682511242037313</v>
      </c>
    </row>
    <row r="264" spans="1:26">
      <c r="A264" s="1" t="s">
        <v>284</v>
      </c>
      <c r="B264" s="1">
        <v>17315502</v>
      </c>
      <c r="C264" s="2">
        <v>0.0409683</v>
      </c>
      <c r="E264" s="14">
        <f t="shared" si="24"/>
        <v>2.17690973962173</v>
      </c>
      <c r="F264" s="11">
        <v>3.480563363</v>
      </c>
      <c r="G264" s="15">
        <v>7.57687228428528</v>
      </c>
      <c r="I264" s="14">
        <v>0.002983</v>
      </c>
      <c r="J264" s="13">
        <f t="shared" si="20"/>
        <v>5.80472745558163</v>
      </c>
      <c r="M264" s="14">
        <v>36.461</v>
      </c>
      <c r="N264" s="16">
        <f t="shared" si="21"/>
        <v>0.474904747538466</v>
      </c>
      <c r="Q264" s="14">
        <v>0.00779732</v>
      </c>
      <c r="R264" s="17">
        <v>1.33241949798136</v>
      </c>
      <c r="S264" s="17">
        <f t="shared" si="22"/>
        <v>5.68655164215503</v>
      </c>
      <c r="V264" s="18">
        <v>2.56092</v>
      </c>
      <c r="Y264" s="14">
        <v>6.7301</v>
      </c>
      <c r="Z264" s="19">
        <f t="shared" si="23"/>
        <v>2.57284468284275</v>
      </c>
    </row>
    <row r="265" spans="1:26">
      <c r="A265" s="1" t="s">
        <v>285</v>
      </c>
      <c r="B265" s="1">
        <v>17352626</v>
      </c>
      <c r="C265" s="2">
        <v>0.00912369</v>
      </c>
      <c r="E265" s="14">
        <f t="shared" si="24"/>
        <v>0.908807052347551</v>
      </c>
      <c r="F265" s="11">
        <v>1.529612788</v>
      </c>
      <c r="G265" s="15">
        <v>1.3901228890954</v>
      </c>
      <c r="I265" s="14">
        <v>0.010049</v>
      </c>
      <c r="J265" s="13">
        <f t="shared" si="20"/>
        <v>1.72680127375858</v>
      </c>
      <c r="M265" s="14">
        <v>58.234</v>
      </c>
      <c r="N265" s="16">
        <f t="shared" si="21"/>
        <v>0.297981007658756</v>
      </c>
      <c r="Q265" s="14">
        <v>0.0218465</v>
      </c>
      <c r="R265" s="17">
        <v>0.476578655619893</v>
      </c>
      <c r="S265" s="17">
        <f t="shared" si="22"/>
        <v>2.91688029395116</v>
      </c>
      <c r="V265" s="18">
        <v>0.83667</v>
      </c>
      <c r="Y265" s="14">
        <v>28.9406</v>
      </c>
      <c r="Z265" s="19">
        <f t="shared" si="23"/>
        <v>0.599594548834509</v>
      </c>
    </row>
    <row r="266" spans="1:26">
      <c r="A266" s="1" t="s">
        <v>286</v>
      </c>
      <c r="B266" s="1">
        <v>17597124</v>
      </c>
      <c r="C266" s="2">
        <v>0</v>
      </c>
      <c r="E266" s="14">
        <f t="shared" si="24"/>
        <v>0.850796065978586</v>
      </c>
      <c r="F266" s="11">
        <v>1.543793521</v>
      </c>
      <c r="G266" s="15">
        <v>1.31345345435003</v>
      </c>
      <c r="I266" s="14">
        <v>0.004083</v>
      </c>
      <c r="J266" s="13">
        <f t="shared" si="20"/>
        <v>4.30985157972079</v>
      </c>
      <c r="M266" s="14">
        <v>53.684</v>
      </c>
      <c r="N266" s="16">
        <f t="shared" si="21"/>
        <v>0.327790850160197</v>
      </c>
      <c r="Q266" s="14">
        <v>0.0221741</v>
      </c>
      <c r="R266" s="17">
        <v>0.476153458313979</v>
      </c>
      <c r="S266" s="17">
        <f t="shared" si="22"/>
        <v>2.75846669055154</v>
      </c>
      <c r="V266" s="18">
        <v>1.46297</v>
      </c>
      <c r="Y266" s="14">
        <v>14.9901</v>
      </c>
      <c r="Z266" s="19">
        <f t="shared" si="23"/>
        <v>1.17391638481398</v>
      </c>
    </row>
    <row r="267" spans="1:26">
      <c r="A267" s="1" t="s">
        <v>287</v>
      </c>
      <c r="B267" s="1">
        <v>17853682</v>
      </c>
      <c r="C267" s="2">
        <v>0.830909</v>
      </c>
      <c r="E267" s="14">
        <f t="shared" si="24"/>
        <v>2.24395627489302</v>
      </c>
      <c r="F267" s="11">
        <v>12.471067153</v>
      </c>
      <c r="G267" s="15">
        <v>27.9845293925866</v>
      </c>
      <c r="I267" s="14">
        <v>0.001405</v>
      </c>
      <c r="J267" s="13">
        <f t="shared" si="20"/>
        <v>12.707246975089</v>
      </c>
      <c r="M267" s="14">
        <v>8.791</v>
      </c>
      <c r="N267" s="16">
        <f t="shared" si="21"/>
        <v>2.03090456148334</v>
      </c>
      <c r="Q267" s="14">
        <v>0.00721975</v>
      </c>
      <c r="R267" s="17">
        <v>1.48373686069462</v>
      </c>
      <c r="S267" s="17">
        <f t="shared" si="22"/>
        <v>18.8608439501095</v>
      </c>
      <c r="V267" s="18">
        <v>5.7217</v>
      </c>
      <c r="Y267" s="14">
        <v>3.2632</v>
      </c>
      <c r="Z267" s="19">
        <f t="shared" si="23"/>
        <v>5.47121904878647</v>
      </c>
    </row>
    <row r="268" spans="1:26">
      <c r="A268" s="1" t="s">
        <v>288</v>
      </c>
      <c r="B268" s="1">
        <v>17853682</v>
      </c>
      <c r="C268" s="2">
        <v>0.824324</v>
      </c>
      <c r="E268" s="14">
        <f t="shared" si="24"/>
        <v>2.23940154961989</v>
      </c>
      <c r="F268" s="11">
        <v>12.444332335</v>
      </c>
      <c r="G268" s="15">
        <v>27.8678571149839</v>
      </c>
      <c r="I268" s="14">
        <v>0.001357</v>
      </c>
      <c r="J268" s="13">
        <f t="shared" si="20"/>
        <v>13.156729550479</v>
      </c>
      <c r="M268" s="14">
        <v>10.416</v>
      </c>
      <c r="N268" s="16">
        <f t="shared" si="21"/>
        <v>1.71406317204301</v>
      </c>
      <c r="Q268" s="14">
        <v>0.00742412</v>
      </c>
      <c r="R268" s="17">
        <v>1.44289278729331</v>
      </c>
      <c r="S268" s="17">
        <f t="shared" si="22"/>
        <v>19.3138792850026</v>
      </c>
      <c r="V268" s="18">
        <v>5.57586</v>
      </c>
      <c r="Y268" s="14">
        <v>3.1851</v>
      </c>
      <c r="Z268" s="19">
        <f t="shared" si="23"/>
        <v>5.60537565539544</v>
      </c>
    </row>
    <row r="269" spans="1:26">
      <c r="A269" s="1" t="s">
        <v>289</v>
      </c>
      <c r="B269" s="1">
        <v>17853682</v>
      </c>
      <c r="C269" s="2">
        <v>0.824324</v>
      </c>
      <c r="E269" s="14">
        <f t="shared" si="24"/>
        <v>2.35125087883243</v>
      </c>
      <c r="F269" s="11">
        <v>12.046938518</v>
      </c>
      <c r="G269" s="15">
        <v>28.3253747776877</v>
      </c>
      <c r="I269" s="14">
        <v>0.001416</v>
      </c>
      <c r="J269" s="13">
        <f t="shared" si="20"/>
        <v>12.6085324858757</v>
      </c>
      <c r="M269" s="14">
        <v>8.826</v>
      </c>
      <c r="N269" s="16">
        <f t="shared" si="21"/>
        <v>2.02285089508271</v>
      </c>
      <c r="Q269" s="14">
        <v>0.00769936</v>
      </c>
      <c r="R269" s="17">
        <v>1.39131164148708</v>
      </c>
      <c r="S269" s="17">
        <f t="shared" si="22"/>
        <v>20.3587563943709</v>
      </c>
      <c r="V269" s="18">
        <v>5.76192</v>
      </c>
      <c r="Y269" s="14">
        <v>3.2136</v>
      </c>
      <c r="Z269" s="19">
        <f t="shared" si="23"/>
        <v>5.5556640527757</v>
      </c>
    </row>
    <row r="270" spans="1:26">
      <c r="A270" s="1" t="s">
        <v>290</v>
      </c>
      <c r="B270" s="1">
        <v>17999304</v>
      </c>
      <c r="C270" s="2">
        <v>0.0898876</v>
      </c>
      <c r="E270" s="14">
        <f t="shared" si="24"/>
        <v>2.06194952326225</v>
      </c>
      <c r="F270" s="11">
        <v>5.722232117</v>
      </c>
      <c r="G270" s="15">
        <v>11.7989537856441</v>
      </c>
      <c r="I270" s="14">
        <v>0.001697</v>
      </c>
      <c r="J270" s="13">
        <f t="shared" si="20"/>
        <v>10.6065433117266</v>
      </c>
      <c r="M270" s="14">
        <v>19.239</v>
      </c>
      <c r="N270" s="16">
        <f t="shared" si="21"/>
        <v>0.935563386870419</v>
      </c>
      <c r="Q270" s="14">
        <v>0.00926743</v>
      </c>
      <c r="R270" s="17">
        <v>1.16532656842296</v>
      </c>
      <c r="S270" s="17">
        <f t="shared" si="22"/>
        <v>10.1250191194144</v>
      </c>
      <c r="V270" s="18">
        <v>4.20828</v>
      </c>
      <c r="Y270" s="14">
        <v>4.4376</v>
      </c>
      <c r="Z270" s="19">
        <f t="shared" si="23"/>
        <v>4.05608977825852</v>
      </c>
    </row>
    <row r="271" spans="1:26">
      <c r="A271" s="1" t="s">
        <v>291</v>
      </c>
      <c r="B271" s="1">
        <v>18139536</v>
      </c>
      <c r="C271" s="2">
        <v>0.0645319</v>
      </c>
      <c r="E271" s="14">
        <f t="shared" si="24"/>
        <v>0.723954529826119</v>
      </c>
      <c r="F271" s="11">
        <v>2.554800603</v>
      </c>
      <c r="G271" s="15">
        <v>1.84955946934435</v>
      </c>
      <c r="I271" s="14">
        <v>0.009107</v>
      </c>
      <c r="J271" s="13">
        <f t="shared" si="20"/>
        <v>1.99182343252443</v>
      </c>
      <c r="M271" s="14">
        <v>83.141</v>
      </c>
      <c r="N271" s="16">
        <f t="shared" si="21"/>
        <v>0.218177986793519</v>
      </c>
      <c r="Q271" s="14">
        <v>0.0245974</v>
      </c>
      <c r="R271" s="17">
        <v>0.442474472911771</v>
      </c>
      <c r="S271" s="17">
        <f t="shared" si="22"/>
        <v>4.18003655029643</v>
      </c>
      <c r="V271" s="18">
        <v>0.713496</v>
      </c>
      <c r="Y271" s="14">
        <v>24.6773</v>
      </c>
      <c r="Z271" s="19">
        <f t="shared" si="23"/>
        <v>0.735069719945051</v>
      </c>
    </row>
    <row r="272" spans="1:26">
      <c r="A272" s="1" t="s">
        <v>292</v>
      </c>
      <c r="B272" s="1">
        <v>18237000</v>
      </c>
      <c r="C272" s="2">
        <v>2.49838e-5</v>
      </c>
      <c r="E272" s="14">
        <f t="shared" si="24"/>
        <v>1.05576740842117</v>
      </c>
      <c r="F272" s="11">
        <v>1.164018883</v>
      </c>
      <c r="G272" s="15">
        <v>1.22893319945821</v>
      </c>
      <c r="I272" s="14">
        <v>0.019915</v>
      </c>
      <c r="J272" s="13">
        <f t="shared" si="20"/>
        <v>0.915741903088125</v>
      </c>
      <c r="M272" s="14">
        <v>61.953</v>
      </c>
      <c r="N272" s="16">
        <f t="shared" si="21"/>
        <v>0.294368311461915</v>
      </c>
      <c r="Q272" s="14">
        <v>0.0196051</v>
      </c>
      <c r="R272" s="17">
        <v>0.558130282426511</v>
      </c>
      <c r="S272" s="17">
        <f t="shared" si="22"/>
        <v>2.20187515021643</v>
      </c>
      <c r="V272" s="18">
        <v>0.697491</v>
      </c>
      <c r="Y272" s="14">
        <v>47.0794</v>
      </c>
      <c r="Z272" s="19">
        <f t="shared" si="23"/>
        <v>0.387366873834416</v>
      </c>
    </row>
    <row r="273" spans="1:26">
      <c r="A273" s="1" t="s">
        <v>293</v>
      </c>
      <c r="B273" s="1">
        <v>18389380</v>
      </c>
      <c r="C273" s="2">
        <v>0.545894</v>
      </c>
      <c r="E273" s="14">
        <f t="shared" si="24"/>
        <v>2.85302759142599</v>
      </c>
      <c r="F273" s="11">
        <v>6.540542038</v>
      </c>
      <c r="G273" s="15">
        <v>18.6603468972956</v>
      </c>
      <c r="I273" s="14">
        <v>0.001961</v>
      </c>
      <c r="J273" s="13">
        <f t="shared" si="20"/>
        <v>9.37755226925038</v>
      </c>
      <c r="M273" s="14">
        <v>12.617</v>
      </c>
      <c r="N273" s="16">
        <f t="shared" si="21"/>
        <v>1.45750812395974</v>
      </c>
      <c r="Q273" s="14">
        <v>0.0061458</v>
      </c>
      <c r="R273" s="17">
        <v>1.79531192033584</v>
      </c>
      <c r="S273" s="17">
        <f t="shared" si="22"/>
        <v>10.3939302613247</v>
      </c>
      <c r="V273" s="18">
        <v>5.39681</v>
      </c>
      <c r="Y273" s="14">
        <v>3.4998</v>
      </c>
      <c r="Z273" s="19">
        <f t="shared" si="23"/>
        <v>5.25440882336134</v>
      </c>
    </row>
    <row r="274" spans="1:26">
      <c r="A274" s="1" t="s">
        <v>294</v>
      </c>
      <c r="B274" s="1">
        <v>18479770</v>
      </c>
      <c r="C274" s="2">
        <v>0.0177293</v>
      </c>
      <c r="E274" s="14">
        <f t="shared" si="24"/>
        <v>1.56259525367837</v>
      </c>
      <c r="F274" s="11">
        <v>1.790671966</v>
      </c>
      <c r="G274" s="15">
        <v>2.79809551496651</v>
      </c>
      <c r="I274" s="14">
        <v>0.013516</v>
      </c>
      <c r="J274" s="13">
        <f t="shared" si="20"/>
        <v>1.36725140574134</v>
      </c>
      <c r="M274" s="14">
        <v>37.262</v>
      </c>
      <c r="N274" s="16">
        <f t="shared" si="21"/>
        <v>0.495941441683216</v>
      </c>
      <c r="Q274" s="14">
        <v>0.0109263</v>
      </c>
      <c r="R274" s="17">
        <v>1.01478652425798</v>
      </c>
      <c r="S274" s="17">
        <f t="shared" si="22"/>
        <v>2.75732427272081</v>
      </c>
      <c r="V274" s="18">
        <v>1.74739</v>
      </c>
      <c r="Y274" s="14">
        <v>9.4954</v>
      </c>
      <c r="Z274" s="19">
        <f t="shared" si="23"/>
        <v>1.94618130884428</v>
      </c>
    </row>
    <row r="275" spans="1:26">
      <c r="A275" s="1" t="s">
        <v>295</v>
      </c>
      <c r="B275" s="1">
        <v>18632682</v>
      </c>
      <c r="C275" s="2">
        <v>0</v>
      </c>
      <c r="E275" s="14">
        <f t="shared" si="24"/>
        <v>2.04648175375052</v>
      </c>
      <c r="F275" s="11">
        <v>3.748040048</v>
      </c>
      <c r="G275" s="15">
        <v>7.67029557055821</v>
      </c>
      <c r="I275" s="14">
        <v>0.002372</v>
      </c>
      <c r="J275" s="13">
        <f t="shared" si="20"/>
        <v>7.85526222596965</v>
      </c>
      <c r="M275" s="14">
        <v>30.654</v>
      </c>
      <c r="N275" s="16">
        <f t="shared" si="21"/>
        <v>0.607838520258368</v>
      </c>
      <c r="Q275" s="14">
        <v>0.00694797</v>
      </c>
      <c r="R275" s="17">
        <v>1.60904684389829</v>
      </c>
      <c r="S275" s="17">
        <f t="shared" si="22"/>
        <v>4.76698089906142</v>
      </c>
      <c r="V275" s="18">
        <v>2.87435</v>
      </c>
      <c r="Y275" s="14">
        <v>5.7581</v>
      </c>
      <c r="Z275" s="19">
        <f t="shared" si="23"/>
        <v>3.23590802521665</v>
      </c>
    </row>
    <row r="276" spans="1:26">
      <c r="A276" s="1" t="s">
        <v>296</v>
      </c>
      <c r="B276" s="1">
        <v>18918676</v>
      </c>
      <c r="C276" s="2">
        <v>9.63391e-5</v>
      </c>
      <c r="E276" s="14">
        <f t="shared" si="24"/>
        <v>0.483601201647413</v>
      </c>
      <c r="F276" s="11">
        <v>4.163029801</v>
      </c>
      <c r="G276" s="15">
        <v>2.01324621425759</v>
      </c>
      <c r="I276" s="14">
        <v>0.015146</v>
      </c>
      <c r="J276" s="13">
        <f t="shared" si="20"/>
        <v>1.24908728377129</v>
      </c>
      <c r="M276" s="14">
        <v>100.312</v>
      </c>
      <c r="N276" s="16">
        <f t="shared" si="21"/>
        <v>0.188598333200415</v>
      </c>
      <c r="Q276" s="14">
        <v>0.00293412</v>
      </c>
      <c r="R276" s="17">
        <v>3.86869166905239</v>
      </c>
      <c r="S276" s="17">
        <f t="shared" si="22"/>
        <v>0.520394589820264</v>
      </c>
      <c r="V276" s="18">
        <v>1.67165</v>
      </c>
      <c r="Y276" s="14">
        <v>14.0711</v>
      </c>
      <c r="Z276" s="19">
        <f t="shared" si="23"/>
        <v>1.34450583110062</v>
      </c>
    </row>
    <row r="277" spans="1:26">
      <c r="A277" s="1" t="s">
        <v>297</v>
      </c>
      <c r="B277" s="1">
        <v>18927696</v>
      </c>
      <c r="C277" s="2">
        <v>0.000479407</v>
      </c>
      <c r="E277" s="14">
        <f t="shared" si="24"/>
        <v>1.15667080628906</v>
      </c>
      <c r="F277" s="11">
        <v>1.089397164</v>
      </c>
      <c r="G277" s="15">
        <v>1.26007389605289</v>
      </c>
      <c r="I277" s="14">
        <v>0.015462</v>
      </c>
      <c r="J277" s="13">
        <f t="shared" si="20"/>
        <v>1.22414280170741</v>
      </c>
      <c r="M277" s="14">
        <v>62.718</v>
      </c>
      <c r="N277" s="16">
        <f t="shared" si="21"/>
        <v>0.3017904907682</v>
      </c>
      <c r="Q277" s="14">
        <v>0.0249979</v>
      </c>
      <c r="R277" s="17">
        <v>0.454302865440697</v>
      </c>
      <c r="S277" s="17">
        <f t="shared" si="22"/>
        <v>2.7736428534972</v>
      </c>
      <c r="V277" s="18">
        <v>0.748008</v>
      </c>
      <c r="Y277" s="14">
        <v>26.0371</v>
      </c>
      <c r="Z277" s="19">
        <f t="shared" si="23"/>
        <v>0.726951004528154</v>
      </c>
    </row>
    <row r="278" spans="1:26">
      <c r="A278" s="1" t="s">
        <v>298</v>
      </c>
      <c r="B278" s="1">
        <v>19165264</v>
      </c>
      <c r="C278" s="2">
        <v>0.0703475</v>
      </c>
      <c r="E278" s="14">
        <f t="shared" si="24"/>
        <v>3.77047387240828</v>
      </c>
      <c r="F278" s="11">
        <v>0.701621131</v>
      </c>
      <c r="G278" s="15">
        <v>2.64544414276505</v>
      </c>
      <c r="I278" s="14">
        <v>0.005932</v>
      </c>
      <c r="J278" s="13">
        <f t="shared" si="20"/>
        <v>3.2308267026298</v>
      </c>
      <c r="M278" s="14">
        <v>7108.401</v>
      </c>
      <c r="N278" s="16">
        <f t="shared" si="21"/>
        <v>0.002696142775288</v>
      </c>
      <c r="Q278" s="14">
        <v>0.0315645</v>
      </c>
      <c r="R278" s="17">
        <v>0.364306686308986</v>
      </c>
      <c r="S278" s="17">
        <f t="shared" si="22"/>
        <v>7.26158547779527</v>
      </c>
      <c r="V278" s="18">
        <v>0.726055</v>
      </c>
      <c r="Y278" s="14">
        <v>11.6537</v>
      </c>
      <c r="Z278" s="19">
        <f t="shared" si="23"/>
        <v>1.64456473051477</v>
      </c>
    </row>
    <row r="279" spans="1:26">
      <c r="A279" s="1" t="s">
        <v>299</v>
      </c>
      <c r="B279" s="1">
        <v>19219980</v>
      </c>
      <c r="C279" s="2">
        <v>0.144195</v>
      </c>
      <c r="E279" s="14">
        <f t="shared" si="24"/>
        <v>0.879293883915853</v>
      </c>
      <c r="F279" s="11">
        <v>1.761582933</v>
      </c>
      <c r="G279" s="15">
        <v>1.54894909899745</v>
      </c>
      <c r="I279" s="14">
        <v>0.007399</v>
      </c>
      <c r="J279" s="13">
        <f t="shared" si="20"/>
        <v>2.59764562778754</v>
      </c>
      <c r="M279" s="14">
        <v>61.8</v>
      </c>
      <c r="N279" s="16">
        <f t="shared" si="21"/>
        <v>0.311002912621359</v>
      </c>
      <c r="Q279" s="14">
        <v>0.0136304</v>
      </c>
      <c r="R279" s="17">
        <v>0.846049125484212</v>
      </c>
      <c r="S279" s="17">
        <f t="shared" si="22"/>
        <v>1.83080278950818</v>
      </c>
      <c r="V279" s="18">
        <v>0.981417</v>
      </c>
      <c r="Y279" s="14">
        <v>19.5834</v>
      </c>
      <c r="Z279" s="19">
        <f t="shared" si="23"/>
        <v>0.981442446153375</v>
      </c>
    </row>
    <row r="280" spans="1:26">
      <c r="A280" s="1" t="s">
        <v>300</v>
      </c>
      <c r="B280" s="1">
        <v>19302814</v>
      </c>
      <c r="C280" s="2">
        <v>0.997254</v>
      </c>
      <c r="E280" s="14">
        <f t="shared" si="24"/>
        <v>3.01537481172438</v>
      </c>
      <c r="F280" s="11">
        <v>7.229706655</v>
      </c>
      <c r="G280" s="15">
        <v>21.8002753436431</v>
      </c>
      <c r="I280" s="14">
        <v>0.001715</v>
      </c>
      <c r="J280" s="13">
        <f t="shared" si="20"/>
        <v>11.2552851311953</v>
      </c>
      <c r="M280" s="14">
        <v>20.342</v>
      </c>
      <c r="N280" s="16">
        <f t="shared" si="21"/>
        <v>0.948914266050536</v>
      </c>
      <c r="Q280" s="14">
        <v>0.0135824</v>
      </c>
      <c r="R280" s="17">
        <v>0.852698227117446</v>
      </c>
      <c r="S280" s="17">
        <f t="shared" si="22"/>
        <v>25.566225717789</v>
      </c>
      <c r="V280" s="18">
        <v>4.2237</v>
      </c>
      <c r="Y280" s="14">
        <v>5.2591</v>
      </c>
      <c r="Z280" s="19">
        <f t="shared" si="23"/>
        <v>3.67036451103801</v>
      </c>
    </row>
    <row r="281" spans="1:26">
      <c r="A281" s="1" t="s">
        <v>301</v>
      </c>
      <c r="B281" s="1">
        <v>19457552</v>
      </c>
      <c r="C281" s="2">
        <v>0.00056055</v>
      </c>
      <c r="E281" s="14">
        <f t="shared" si="24"/>
        <v>1.21269731423199</v>
      </c>
      <c r="F281" s="11">
        <v>1.101800152</v>
      </c>
      <c r="G281" s="15">
        <v>1.3361500851508</v>
      </c>
      <c r="I281" s="14">
        <v>0.016749</v>
      </c>
      <c r="J281" s="13">
        <f t="shared" si="20"/>
        <v>1.16171425159711</v>
      </c>
      <c r="M281" s="14">
        <v>68.903</v>
      </c>
      <c r="N281" s="16">
        <f t="shared" si="21"/>
        <v>0.282390490980073</v>
      </c>
      <c r="Q281" s="14">
        <v>0.024078</v>
      </c>
      <c r="R281" s="17">
        <v>0.484862995265388</v>
      </c>
      <c r="S281" s="17">
        <f t="shared" si="22"/>
        <v>2.75572707795418</v>
      </c>
      <c r="V281" s="18">
        <v>0.777016</v>
      </c>
      <c r="Y281" s="14">
        <v>33.3081</v>
      </c>
      <c r="Z281" s="19">
        <f t="shared" si="23"/>
        <v>0.584168775763253</v>
      </c>
    </row>
    <row r="282" spans="1:26">
      <c r="A282" s="1" t="s">
        <v>302</v>
      </c>
      <c r="B282" s="1">
        <v>19627814</v>
      </c>
      <c r="C282" s="2">
        <v>0.0559994</v>
      </c>
      <c r="E282" s="14">
        <f t="shared" si="24"/>
        <v>1.6591196409466</v>
      </c>
      <c r="F282" s="11">
        <v>3.425684357</v>
      </c>
      <c r="G282" s="15">
        <v>5.68362020038223</v>
      </c>
      <c r="I282" s="14">
        <v>0.002581</v>
      </c>
      <c r="J282" s="13">
        <f t="shared" si="20"/>
        <v>7.60473227431228</v>
      </c>
      <c r="M282" s="14">
        <v>49.214</v>
      </c>
      <c r="N282" s="16">
        <f t="shared" si="21"/>
        <v>0.398825821920592</v>
      </c>
      <c r="Q282" s="14">
        <v>0.0206733</v>
      </c>
      <c r="R282" s="17">
        <v>0.569656919795098</v>
      </c>
      <c r="S282" s="17">
        <f t="shared" si="22"/>
        <v>9.977268778595</v>
      </c>
      <c r="V282" s="18">
        <v>2.36765</v>
      </c>
      <c r="Y282" s="14">
        <v>8.0708</v>
      </c>
      <c r="Z282" s="19">
        <f t="shared" si="23"/>
        <v>2.43195395747633</v>
      </c>
    </row>
    <row r="283" spans="1:26">
      <c r="A283" s="1" t="s">
        <v>303</v>
      </c>
      <c r="B283" s="1">
        <v>19627814</v>
      </c>
      <c r="C283" s="2">
        <v>0.0559994</v>
      </c>
      <c r="E283" s="14">
        <f t="shared" si="24"/>
        <v>1.25072029808877</v>
      </c>
      <c r="F283" s="11">
        <v>4.694334797</v>
      </c>
      <c r="G283" s="15">
        <v>5.87129981663232</v>
      </c>
      <c r="I283" s="14">
        <v>0.002804</v>
      </c>
      <c r="J283" s="13">
        <f t="shared" si="20"/>
        <v>6.99993366619116</v>
      </c>
      <c r="M283" s="14">
        <v>50.986</v>
      </c>
      <c r="N283" s="16">
        <f t="shared" si="21"/>
        <v>0.38496477464402</v>
      </c>
      <c r="Q283" s="14">
        <v>0.0245417</v>
      </c>
      <c r="R283" s="17">
        <v>0.47986441037092</v>
      </c>
      <c r="S283" s="17">
        <f t="shared" si="22"/>
        <v>12.2353308345872</v>
      </c>
      <c r="V283" s="18">
        <v>2.13374</v>
      </c>
      <c r="Y283" s="14">
        <v>8.1012</v>
      </c>
      <c r="Z283" s="19">
        <f t="shared" si="23"/>
        <v>2.42282797610231</v>
      </c>
    </row>
    <row r="284" spans="1:26">
      <c r="A284" s="1" t="s">
        <v>304</v>
      </c>
      <c r="B284" s="1">
        <v>19712276</v>
      </c>
      <c r="C284" s="2">
        <v>0.000850812</v>
      </c>
      <c r="E284" s="14">
        <f t="shared" si="24"/>
        <v>1.34162857750379</v>
      </c>
      <c r="F284" s="11">
        <v>0.913617507</v>
      </c>
      <c r="G284" s="15">
        <v>1.22573535629897</v>
      </c>
      <c r="I284" s="14">
        <v>0.018494</v>
      </c>
      <c r="J284" s="13">
        <f t="shared" si="20"/>
        <v>1.06587412133665</v>
      </c>
      <c r="M284" s="14">
        <v>77.001</v>
      </c>
      <c r="N284" s="16">
        <f t="shared" si="21"/>
        <v>0.256000259736887</v>
      </c>
      <c r="Q284" s="14">
        <v>0.117559</v>
      </c>
      <c r="R284" s="17">
        <v>0.100607912622598</v>
      </c>
      <c r="S284" s="17">
        <f t="shared" si="22"/>
        <v>12.1832898064088</v>
      </c>
      <c r="V284" s="18">
        <v>0.693773</v>
      </c>
      <c r="Y284" s="14">
        <v>23.6982</v>
      </c>
      <c r="Z284" s="19">
        <f t="shared" si="23"/>
        <v>0.83180477842199</v>
      </c>
    </row>
    <row r="285" spans="1:26">
      <c r="A285" s="1" t="s">
        <v>305</v>
      </c>
      <c r="B285" s="1">
        <v>19815620</v>
      </c>
      <c r="C285" s="2">
        <v>7.41913e-5</v>
      </c>
      <c r="E285" s="14">
        <f t="shared" si="24"/>
        <v>1.44502049964956</v>
      </c>
      <c r="F285" s="11">
        <v>1.025197166</v>
      </c>
      <c r="G285" s="15">
        <v>1.48143092105263</v>
      </c>
      <c r="I285" s="14">
        <v>0.013051</v>
      </c>
      <c r="J285" s="13">
        <f t="shared" si="20"/>
        <v>1.51832196766531</v>
      </c>
      <c r="M285" s="14">
        <v>64.12</v>
      </c>
      <c r="N285" s="16">
        <f t="shared" si="21"/>
        <v>0.309039613225203</v>
      </c>
      <c r="Q285" s="14">
        <v>0.0703172</v>
      </c>
      <c r="R285" s="17">
        <v>0.169081988475081</v>
      </c>
      <c r="S285" s="17">
        <f t="shared" si="22"/>
        <v>8.76161283891549</v>
      </c>
      <c r="V285" s="18">
        <v>0.804414</v>
      </c>
      <c r="Y285" s="14">
        <v>24.7307</v>
      </c>
      <c r="Z285" s="19">
        <f t="shared" si="23"/>
        <v>0.801255928865742</v>
      </c>
    </row>
    <row r="286" spans="1:26">
      <c r="A286" s="1" t="s">
        <v>306</v>
      </c>
      <c r="B286" s="1">
        <v>19992960</v>
      </c>
      <c r="C286" s="2">
        <v>0.0394254</v>
      </c>
      <c r="E286" s="14">
        <f t="shared" si="24"/>
        <v>2.31715006228386</v>
      </c>
      <c r="F286" s="11">
        <v>4.031894535</v>
      </c>
      <c r="G286" s="15">
        <v>9.3425046728972</v>
      </c>
      <c r="I286" s="14">
        <v>0.002391</v>
      </c>
      <c r="J286" s="13">
        <f t="shared" si="20"/>
        <v>8.36175658720201</v>
      </c>
      <c r="M286" s="14">
        <v>23.73</v>
      </c>
      <c r="N286" s="16">
        <f t="shared" si="21"/>
        <v>0.842518331226296</v>
      </c>
      <c r="Q286" s="14">
        <v>0.00981323</v>
      </c>
      <c r="R286" s="17">
        <v>1.2224085240028</v>
      </c>
      <c r="S286" s="17">
        <f t="shared" si="22"/>
        <v>7.64270249221184</v>
      </c>
      <c r="V286" s="18">
        <v>2.78677</v>
      </c>
      <c r="Y286" s="14">
        <v>8.414</v>
      </c>
      <c r="Z286" s="19">
        <f t="shared" si="23"/>
        <v>2.37615402899929</v>
      </c>
    </row>
    <row r="287" spans="1:26">
      <c r="A287" s="1" t="s">
        <v>307</v>
      </c>
      <c r="B287" s="1">
        <v>20033816</v>
      </c>
      <c r="C287" s="2">
        <v>0</v>
      </c>
      <c r="E287" s="14">
        <f t="shared" si="24"/>
        <v>1.24549386493872</v>
      </c>
      <c r="F287" s="11">
        <v>1.408139604</v>
      </c>
      <c r="G287" s="15">
        <v>1.75382923775924</v>
      </c>
      <c r="I287" s="14">
        <v>0.016839</v>
      </c>
      <c r="J287" s="13">
        <f t="shared" si="20"/>
        <v>1.18972718094899</v>
      </c>
      <c r="M287" s="14">
        <v>57.285</v>
      </c>
      <c r="N287" s="16">
        <f t="shared" si="21"/>
        <v>0.349721846905822</v>
      </c>
      <c r="Q287" s="14">
        <v>0.021218</v>
      </c>
      <c r="R287" s="17">
        <v>0.566513790178151</v>
      </c>
      <c r="S287" s="17">
        <f t="shared" si="22"/>
        <v>3.09582797129742</v>
      </c>
      <c r="V287" s="18">
        <v>0.904243</v>
      </c>
      <c r="Y287" s="14">
        <v>26.6776</v>
      </c>
      <c r="Z287" s="19">
        <f t="shared" si="23"/>
        <v>0.750960206315411</v>
      </c>
    </row>
    <row r="288" spans="1:26">
      <c r="A288" s="1" t="s">
        <v>308</v>
      </c>
      <c r="B288" s="1">
        <v>20137844</v>
      </c>
      <c r="C288" s="2">
        <v>0</v>
      </c>
      <c r="E288" s="14">
        <f t="shared" si="24"/>
        <v>1.44004106329675</v>
      </c>
      <c r="F288" s="11">
        <v>1.611546989</v>
      </c>
      <c r="G288" s="15">
        <v>2.32069383959223</v>
      </c>
      <c r="I288" s="14">
        <v>0.006037</v>
      </c>
      <c r="J288" s="13">
        <f t="shared" si="20"/>
        <v>3.33573695544144</v>
      </c>
      <c r="M288" s="14">
        <v>64.789</v>
      </c>
      <c r="N288" s="16">
        <f t="shared" si="21"/>
        <v>0.310821960517989</v>
      </c>
      <c r="Q288" s="14">
        <v>0.012052</v>
      </c>
      <c r="R288" s="17">
        <v>1.00254782608696</v>
      </c>
      <c r="S288" s="17">
        <f t="shared" si="22"/>
        <v>2.31479614159668</v>
      </c>
      <c r="V288" s="18">
        <v>1.45908</v>
      </c>
      <c r="Y288" s="14">
        <v>15.1068</v>
      </c>
      <c r="Z288" s="19">
        <f t="shared" si="23"/>
        <v>1.33303174729261</v>
      </c>
    </row>
    <row r="289" spans="1:26">
      <c r="A289" s="1" t="s">
        <v>309</v>
      </c>
      <c r="B289" s="1">
        <v>20213852</v>
      </c>
      <c r="C289" s="2">
        <v>0.00147677</v>
      </c>
      <c r="E289" s="14">
        <f t="shared" si="24"/>
        <v>1.21170326676913</v>
      </c>
      <c r="F289" s="11">
        <v>1.106832537</v>
      </c>
      <c r="G289" s="15">
        <v>1.34115260084926</v>
      </c>
      <c r="I289" s="14">
        <v>0.016118</v>
      </c>
      <c r="J289" s="13">
        <f t="shared" si="20"/>
        <v>1.25411663978161</v>
      </c>
      <c r="M289" s="14">
        <v>66.03</v>
      </c>
      <c r="N289" s="16">
        <f t="shared" si="21"/>
        <v>0.306131334242011</v>
      </c>
      <c r="Q289" s="14">
        <v>0.0227988</v>
      </c>
      <c r="R289" s="17">
        <v>0.531971472182746</v>
      </c>
      <c r="S289" s="17">
        <f t="shared" si="22"/>
        <v>2.52109872611466</v>
      </c>
      <c r="V289" s="18">
        <v>0.822129</v>
      </c>
      <c r="Y289" s="14">
        <v>27.8111</v>
      </c>
      <c r="Z289" s="19">
        <f t="shared" si="23"/>
        <v>0.726826770605981</v>
      </c>
    </row>
    <row r="290" spans="1:26">
      <c r="A290" s="1" t="s">
        <v>310</v>
      </c>
      <c r="B290" s="1">
        <v>20360776</v>
      </c>
      <c r="C290" s="2">
        <v>0</v>
      </c>
      <c r="E290" s="14">
        <f t="shared" si="24"/>
        <v>1.05684436693839</v>
      </c>
      <c r="F290" s="11">
        <v>1.309553908</v>
      </c>
      <c r="G290" s="15">
        <v>1.38399467087196</v>
      </c>
      <c r="I290" s="14">
        <v>0.011254</v>
      </c>
      <c r="J290" s="13">
        <f t="shared" si="20"/>
        <v>1.80920348320597</v>
      </c>
      <c r="M290" s="14">
        <v>112.212</v>
      </c>
      <c r="N290" s="16">
        <f t="shared" si="21"/>
        <v>0.18144918547036</v>
      </c>
      <c r="Q290" s="14">
        <v>0.0124369</v>
      </c>
      <c r="R290" s="17">
        <v>0.982275776117843</v>
      </c>
      <c r="S290" s="17">
        <f t="shared" si="22"/>
        <v>1.40896752675892</v>
      </c>
      <c r="V290" s="18">
        <v>1.31699</v>
      </c>
      <c r="Y290" s="14">
        <v>22.8684</v>
      </c>
      <c r="Z290" s="19">
        <f t="shared" si="23"/>
        <v>0.89034545486348</v>
      </c>
    </row>
    <row r="291" spans="1:26">
      <c r="A291" s="1" t="s">
        <v>311</v>
      </c>
      <c r="B291" s="1">
        <v>20660152</v>
      </c>
      <c r="C291" s="2">
        <v>0</v>
      </c>
      <c r="E291" s="14">
        <f t="shared" si="24"/>
        <v>0.829259427757557</v>
      </c>
      <c r="F291" s="11">
        <v>1.31440972</v>
      </c>
      <c r="G291" s="15">
        <v>1.08998665224617</v>
      </c>
      <c r="I291" s="14">
        <v>0.011893</v>
      </c>
      <c r="J291" s="13">
        <f t="shared" si="20"/>
        <v>1.73716909106197</v>
      </c>
      <c r="M291" s="14">
        <v>68.344</v>
      </c>
      <c r="N291" s="16">
        <f t="shared" si="21"/>
        <v>0.302296500058527</v>
      </c>
      <c r="Q291" s="14">
        <v>0.0153784</v>
      </c>
      <c r="R291" s="17">
        <v>0.806071580918691</v>
      </c>
      <c r="S291" s="17">
        <f t="shared" si="22"/>
        <v>1.35222066879457</v>
      </c>
      <c r="V291" s="18">
        <v>1.2435</v>
      </c>
      <c r="Y291" s="14">
        <v>24.5607</v>
      </c>
      <c r="Z291" s="19">
        <f t="shared" si="23"/>
        <v>0.841187425439829</v>
      </c>
    </row>
    <row r="292" spans="1:26">
      <c r="A292" s="1" t="s">
        <v>312</v>
      </c>
      <c r="B292" s="1">
        <v>21240028</v>
      </c>
      <c r="C292" s="2">
        <v>0.000105923</v>
      </c>
      <c r="E292" s="14">
        <f t="shared" si="24"/>
        <v>1.24060250725741</v>
      </c>
      <c r="F292" s="11">
        <v>0.997095966</v>
      </c>
      <c r="G292" s="15">
        <v>1.23699975539585</v>
      </c>
      <c r="I292" s="14">
        <v>0.021027</v>
      </c>
      <c r="J292" s="13">
        <f t="shared" si="20"/>
        <v>1.01013116469301</v>
      </c>
      <c r="M292" s="14">
        <v>69.216</v>
      </c>
      <c r="N292" s="16">
        <f t="shared" si="21"/>
        <v>0.306865869163199</v>
      </c>
      <c r="Q292" s="14">
        <v>0.0255004</v>
      </c>
      <c r="R292" s="17">
        <v>0.499757525372151</v>
      </c>
      <c r="S292" s="17">
        <f t="shared" si="22"/>
        <v>2.47519985712011</v>
      </c>
      <c r="V292" s="18">
        <v>0.686557</v>
      </c>
      <c r="Y292" s="14">
        <v>21.9631</v>
      </c>
      <c r="Z292" s="19">
        <f t="shared" si="23"/>
        <v>0.967077871520869</v>
      </c>
    </row>
    <row r="293" spans="1:26">
      <c r="A293" s="1" t="s">
        <v>313</v>
      </c>
      <c r="B293" s="1">
        <v>21349920</v>
      </c>
      <c r="C293" s="2">
        <v>0</v>
      </c>
      <c r="E293" s="14">
        <f t="shared" si="24"/>
        <v>0.976707222070341</v>
      </c>
      <c r="F293" s="11">
        <v>1.06977721</v>
      </c>
      <c r="G293" s="15">
        <v>1.04485912701326</v>
      </c>
      <c r="I293" s="14">
        <v>0.010608</v>
      </c>
      <c r="J293" s="13">
        <f t="shared" si="20"/>
        <v>2.01262443438914</v>
      </c>
      <c r="M293" s="14">
        <v>183.588</v>
      </c>
      <c r="N293" s="16">
        <f t="shared" si="21"/>
        <v>0.116292568141709</v>
      </c>
      <c r="Q293" s="14">
        <v>0.034899</v>
      </c>
      <c r="R293" s="17">
        <v>0.367057852660535</v>
      </c>
      <c r="S293" s="17">
        <f t="shared" si="22"/>
        <v>2.84657886880729</v>
      </c>
      <c r="V293" s="18">
        <v>1.34208</v>
      </c>
      <c r="Y293" s="14">
        <v>24.618</v>
      </c>
      <c r="Z293" s="19">
        <f t="shared" si="23"/>
        <v>0.867248354862296</v>
      </c>
    </row>
    <row r="294" spans="1:26">
      <c r="A294" s="1" t="s">
        <v>314</v>
      </c>
      <c r="B294" s="1">
        <v>21349992</v>
      </c>
      <c r="C294" s="2">
        <v>0.0180349</v>
      </c>
      <c r="E294" s="14">
        <f t="shared" si="24"/>
        <v>0.78974707045055</v>
      </c>
      <c r="F294" s="11">
        <v>1.156686518</v>
      </c>
      <c r="G294" s="15">
        <v>0.913489789020148</v>
      </c>
      <c r="I294" s="14">
        <v>0.010035</v>
      </c>
      <c r="J294" s="13">
        <f t="shared" si="20"/>
        <v>2.12755276532138</v>
      </c>
      <c r="M294" s="14">
        <v>88.238</v>
      </c>
      <c r="N294" s="16">
        <f t="shared" si="21"/>
        <v>0.241959155919218</v>
      </c>
      <c r="Q294" s="14">
        <v>0.0320077</v>
      </c>
      <c r="R294" s="17">
        <v>0.400216048013447</v>
      </c>
      <c r="S294" s="17">
        <f t="shared" si="22"/>
        <v>2.28249165308198</v>
      </c>
      <c r="V294" s="18">
        <v>1.19729</v>
      </c>
      <c r="Y294" s="14">
        <v>31.1743</v>
      </c>
      <c r="Z294" s="19">
        <f t="shared" si="23"/>
        <v>0.684858745825889</v>
      </c>
    </row>
    <row r="295" spans="1:26">
      <c r="A295" s="1" t="s">
        <v>315</v>
      </c>
      <c r="B295" s="1">
        <v>21373886</v>
      </c>
      <c r="C295" s="2">
        <v>0</v>
      </c>
      <c r="E295" s="14">
        <f t="shared" si="24"/>
        <v>1.21756999439688</v>
      </c>
      <c r="F295" s="11">
        <v>1.964452498</v>
      </c>
      <c r="G295" s="15">
        <v>2.3918584169828</v>
      </c>
      <c r="I295" s="14">
        <v>0.008032</v>
      </c>
      <c r="J295" s="13">
        <f t="shared" si="20"/>
        <v>2.66109138446215</v>
      </c>
      <c r="M295" s="14">
        <v>83.515</v>
      </c>
      <c r="N295" s="16">
        <f t="shared" si="21"/>
        <v>0.255928707417829</v>
      </c>
      <c r="Q295" s="14">
        <v>0.0293111</v>
      </c>
      <c r="R295" s="17">
        <v>0.437524746597705</v>
      </c>
      <c r="S295" s="17">
        <f t="shared" si="22"/>
        <v>5.46679573117281</v>
      </c>
      <c r="V295" s="18">
        <v>1.47631</v>
      </c>
      <c r="Y295" s="14">
        <v>20.3773</v>
      </c>
      <c r="Z295" s="19">
        <f t="shared" si="23"/>
        <v>1.04890667556546</v>
      </c>
    </row>
    <row r="296" spans="1:26">
      <c r="A296" s="1" t="s">
        <v>316</v>
      </c>
      <c r="B296" s="1">
        <v>21417480</v>
      </c>
      <c r="C296" s="2">
        <v>0.259981</v>
      </c>
      <c r="E296" s="14">
        <f t="shared" si="24"/>
        <v>1.9762282362713</v>
      </c>
      <c r="F296" s="11">
        <v>3.897951993</v>
      </c>
      <c r="G296" s="15">
        <v>7.70324279219658</v>
      </c>
      <c r="I296" s="14">
        <v>0.002191</v>
      </c>
      <c r="J296" s="13">
        <f t="shared" si="20"/>
        <v>9.77520766773163</v>
      </c>
      <c r="M296" s="14">
        <v>21.829</v>
      </c>
      <c r="N296" s="16">
        <f t="shared" si="21"/>
        <v>0.981148014109671</v>
      </c>
      <c r="Q296" s="14">
        <v>0.0141207</v>
      </c>
      <c r="R296" s="17">
        <v>0.910046102530328</v>
      </c>
      <c r="S296" s="17">
        <f t="shared" si="22"/>
        <v>8.46467313115037</v>
      </c>
      <c r="V296" s="18">
        <v>3.99061</v>
      </c>
      <c r="Y296" s="14">
        <v>6.0554</v>
      </c>
      <c r="Z296" s="19">
        <f t="shared" si="23"/>
        <v>3.53692241635565</v>
      </c>
    </row>
    <row r="297" spans="1:26">
      <c r="A297" s="1" t="s">
        <v>317</v>
      </c>
      <c r="B297" s="1">
        <v>21786832</v>
      </c>
      <c r="C297" s="2">
        <v>0.111975</v>
      </c>
      <c r="E297" s="14">
        <f t="shared" si="24"/>
        <v>0.961804718741305</v>
      </c>
      <c r="F297" s="11">
        <v>2.33204193</v>
      </c>
      <c r="G297" s="15">
        <v>2.24296893257658</v>
      </c>
      <c r="I297" s="14">
        <v>0.004293</v>
      </c>
      <c r="J297" s="13">
        <f t="shared" si="20"/>
        <v>5.0749666899604</v>
      </c>
      <c r="M297" s="14">
        <v>45.776</v>
      </c>
      <c r="N297" s="16">
        <f t="shared" si="21"/>
        <v>0.475944425026215</v>
      </c>
      <c r="Q297" s="14">
        <v>0.0198592</v>
      </c>
      <c r="R297" s="17">
        <v>0.658238962294554</v>
      </c>
      <c r="S297" s="17">
        <f t="shared" si="22"/>
        <v>3.40752988057379</v>
      </c>
      <c r="V297" s="18">
        <v>2.05167</v>
      </c>
      <c r="Y297" s="14">
        <v>10.8357</v>
      </c>
      <c r="Z297" s="19">
        <f t="shared" si="23"/>
        <v>2.01065293428205</v>
      </c>
    </row>
    <row r="298" spans="1:26">
      <c r="A298" s="1" t="s">
        <v>318</v>
      </c>
      <c r="B298" s="1">
        <v>21803520</v>
      </c>
      <c r="C298" s="2">
        <v>0.000281294</v>
      </c>
      <c r="E298" s="14">
        <f t="shared" si="24"/>
        <v>1.33490733432161</v>
      </c>
      <c r="F298" s="11">
        <v>0.938439882</v>
      </c>
      <c r="G298" s="15">
        <v>1.25273028130171</v>
      </c>
      <c r="I298" s="14">
        <v>0.019119</v>
      </c>
      <c r="J298" s="13">
        <f t="shared" si="20"/>
        <v>1.14041110936764</v>
      </c>
      <c r="M298" s="14">
        <v>114.701</v>
      </c>
      <c r="N298" s="16">
        <f t="shared" si="21"/>
        <v>0.19009006024359</v>
      </c>
      <c r="Q298" s="14">
        <v>0.0183673</v>
      </c>
      <c r="R298" s="17">
        <v>0.712250140194803</v>
      </c>
      <c r="S298" s="17">
        <f t="shared" si="22"/>
        <v>1.75883472758473</v>
      </c>
      <c r="V298" s="18">
        <v>0.713824</v>
      </c>
      <c r="Y298" s="14">
        <v>35.7045</v>
      </c>
      <c r="Z298" s="19">
        <f t="shared" si="23"/>
        <v>0.610665882451792</v>
      </c>
    </row>
    <row r="299" spans="1:26">
      <c r="A299" s="1" t="s">
        <v>319</v>
      </c>
      <c r="B299" s="1">
        <v>21872856</v>
      </c>
      <c r="C299" s="2">
        <v>7.75916e-5</v>
      </c>
      <c r="E299" s="14">
        <f t="shared" si="24"/>
        <v>0.69603005765554</v>
      </c>
      <c r="F299" s="11">
        <v>2.603856265</v>
      </c>
      <c r="G299" s="15">
        <v>1.81236222625469</v>
      </c>
      <c r="I299" s="14">
        <v>0.016764</v>
      </c>
      <c r="J299" s="13">
        <f t="shared" si="20"/>
        <v>1.30475161059413</v>
      </c>
      <c r="M299" s="14">
        <v>165.057</v>
      </c>
      <c r="N299" s="16">
        <f t="shared" si="21"/>
        <v>0.132516985041531</v>
      </c>
      <c r="Q299" s="14">
        <v>0.00334129</v>
      </c>
      <c r="R299" s="17">
        <v>3.92773856803809</v>
      </c>
      <c r="S299" s="17">
        <f t="shared" si="22"/>
        <v>0.461426389475806</v>
      </c>
      <c r="V299" s="18">
        <v>1.37652</v>
      </c>
      <c r="Y299" s="14">
        <v>21.4746</v>
      </c>
      <c r="Z299" s="19">
        <f t="shared" si="23"/>
        <v>1.01854544438546</v>
      </c>
    </row>
    <row r="300" spans="1:26">
      <c r="A300" s="1" t="s">
        <v>320</v>
      </c>
      <c r="B300" s="1">
        <v>22087302</v>
      </c>
      <c r="C300" s="2">
        <v>0.12623</v>
      </c>
      <c r="E300" s="14">
        <f t="shared" si="24"/>
        <v>0.921660566460858</v>
      </c>
      <c r="F300" s="11">
        <v>1.852543006</v>
      </c>
      <c r="G300" s="15">
        <v>1.70741583630306</v>
      </c>
      <c r="I300" s="14">
        <v>0.015329</v>
      </c>
      <c r="J300" s="13">
        <f t="shared" si="20"/>
        <v>1.44088342357623</v>
      </c>
      <c r="M300" s="14">
        <v>60.564</v>
      </c>
      <c r="N300" s="16">
        <f t="shared" si="21"/>
        <v>0.364693580344759</v>
      </c>
      <c r="Q300" s="14">
        <v>0.0263908</v>
      </c>
      <c r="R300" s="17">
        <v>0.502159131212392</v>
      </c>
      <c r="S300" s="17">
        <f t="shared" si="22"/>
        <v>3.40014893721189</v>
      </c>
      <c r="V300" s="18">
        <v>1.86529</v>
      </c>
      <c r="Y300" s="14">
        <v>12.5778</v>
      </c>
      <c r="Z300" s="19">
        <f t="shared" si="23"/>
        <v>1.75605447693555</v>
      </c>
    </row>
    <row r="301" spans="1:26">
      <c r="A301" s="1" t="s">
        <v>321</v>
      </c>
      <c r="B301" s="1">
        <v>22107352</v>
      </c>
      <c r="C301" s="2">
        <v>0</v>
      </c>
      <c r="E301" s="14">
        <f t="shared" si="24"/>
        <v>1.67365076210744</v>
      </c>
      <c r="F301" s="11">
        <v>0.527937906</v>
      </c>
      <c r="G301" s="15">
        <v>0.883583678722307</v>
      </c>
      <c r="I301" s="14">
        <v>0.017351</v>
      </c>
      <c r="J301" s="13">
        <f t="shared" si="20"/>
        <v>1.27412552590629</v>
      </c>
      <c r="M301" s="14">
        <v>89.357</v>
      </c>
      <c r="N301" s="16">
        <f t="shared" si="21"/>
        <v>0.247404814396186</v>
      </c>
      <c r="Q301" s="14">
        <v>0.0190271</v>
      </c>
      <c r="R301" s="17">
        <v>0.697132574065412</v>
      </c>
      <c r="S301" s="17">
        <f t="shared" si="22"/>
        <v>1.26745430007607</v>
      </c>
      <c r="V301" s="18">
        <v>0.762344</v>
      </c>
      <c r="Y301" s="14">
        <v>38.91</v>
      </c>
      <c r="Z301" s="19">
        <f t="shared" si="23"/>
        <v>0.568166332562323</v>
      </c>
    </row>
    <row r="302" spans="1:26">
      <c r="A302" s="1" t="s">
        <v>322</v>
      </c>
      <c r="B302" s="1">
        <v>22181292</v>
      </c>
      <c r="C302" s="2">
        <v>0.000241721</v>
      </c>
      <c r="E302" s="14">
        <f t="shared" si="24"/>
        <v>1.15768067369338</v>
      </c>
      <c r="F302" s="11">
        <v>1.832293753</v>
      </c>
      <c r="G302" s="15">
        <v>2.12121106637722</v>
      </c>
      <c r="I302" s="14">
        <v>0.008676</v>
      </c>
      <c r="J302" s="13">
        <f t="shared" si="20"/>
        <v>2.5566265560166</v>
      </c>
      <c r="M302" s="14">
        <v>81.316</v>
      </c>
      <c r="N302" s="16">
        <f t="shared" si="21"/>
        <v>0.272778936494663</v>
      </c>
      <c r="Q302" s="14">
        <v>0.00951118</v>
      </c>
      <c r="R302" s="17">
        <v>1.39927697719946</v>
      </c>
      <c r="S302" s="17">
        <f t="shared" si="22"/>
        <v>1.51593365783996</v>
      </c>
      <c r="V302" s="18">
        <v>1.41743</v>
      </c>
      <c r="Y302" s="14">
        <v>25.8527</v>
      </c>
      <c r="Z302" s="19">
        <f t="shared" si="23"/>
        <v>0.857987444251471</v>
      </c>
    </row>
    <row r="303" spans="1:26">
      <c r="A303" s="1" t="s">
        <v>323</v>
      </c>
      <c r="B303" s="1">
        <v>22273056</v>
      </c>
      <c r="C303" s="2">
        <v>0.000150504</v>
      </c>
      <c r="E303" s="14">
        <f t="shared" si="24"/>
        <v>1.3221362439084</v>
      </c>
      <c r="F303" s="11">
        <v>0.941305595</v>
      </c>
      <c r="G303" s="15">
        <v>1.24453424374326</v>
      </c>
      <c r="I303" s="14">
        <v>0.020689</v>
      </c>
      <c r="J303" s="13">
        <f t="shared" si="20"/>
        <v>1.07656513122916</v>
      </c>
      <c r="M303" s="14">
        <v>90.991</v>
      </c>
      <c r="N303" s="16">
        <f t="shared" si="21"/>
        <v>0.244783066457122</v>
      </c>
      <c r="Q303" s="14">
        <v>0.0276437</v>
      </c>
      <c r="R303" s="17">
        <v>0.483431436457493</v>
      </c>
      <c r="S303" s="17">
        <f t="shared" si="22"/>
        <v>2.57437590915271</v>
      </c>
      <c r="V303" s="18">
        <v>0.735438</v>
      </c>
      <c r="Y303" s="14">
        <v>30.17</v>
      </c>
      <c r="Z303" s="19">
        <f t="shared" si="23"/>
        <v>0.73825177328472</v>
      </c>
    </row>
    <row r="304" spans="1:26">
      <c r="A304" s="1" t="s">
        <v>324</v>
      </c>
      <c r="B304" s="1">
        <v>22582544</v>
      </c>
      <c r="C304" s="2">
        <v>0.841463</v>
      </c>
      <c r="E304" s="14">
        <f t="shared" si="24"/>
        <v>3.93123480703582</v>
      </c>
      <c r="F304" s="11">
        <v>7.984662139</v>
      </c>
      <c r="G304" s="15">
        <v>31.3895817232579</v>
      </c>
      <c r="I304" s="14">
        <v>0.001553</v>
      </c>
      <c r="J304" s="13">
        <f t="shared" si="20"/>
        <v>14.5412388924662</v>
      </c>
      <c r="M304" s="14">
        <v>18.187</v>
      </c>
      <c r="N304" s="16">
        <f t="shared" si="21"/>
        <v>1.24168603947875</v>
      </c>
      <c r="Q304" s="14">
        <v>0.00572604</v>
      </c>
      <c r="R304" s="17">
        <v>2.36629964163715</v>
      </c>
      <c r="S304" s="17">
        <f t="shared" si="22"/>
        <v>13.2652607349172</v>
      </c>
      <c r="V304" s="18">
        <v>5.9754</v>
      </c>
      <c r="Y304" s="14">
        <v>3.4402</v>
      </c>
      <c r="Z304" s="19">
        <f t="shared" si="23"/>
        <v>6.56431137724551</v>
      </c>
    </row>
    <row r="305" spans="1:26">
      <c r="A305" s="1" t="s">
        <v>325</v>
      </c>
      <c r="B305" s="1">
        <v>22590686</v>
      </c>
      <c r="C305" s="2">
        <v>0.187118</v>
      </c>
      <c r="E305" s="14">
        <f t="shared" si="24"/>
        <v>1.10736173347344</v>
      </c>
      <c r="F305" s="11">
        <v>3.59101659</v>
      </c>
      <c r="G305" s="15">
        <v>3.97655435603427</v>
      </c>
      <c r="I305" s="14">
        <v>0.004763</v>
      </c>
      <c r="J305" s="13">
        <f t="shared" si="20"/>
        <v>4.74295318076842</v>
      </c>
      <c r="M305" s="14">
        <v>56.512</v>
      </c>
      <c r="N305" s="16">
        <f t="shared" si="21"/>
        <v>0.399750247734994</v>
      </c>
      <c r="Q305" s="14">
        <v>0.0117409</v>
      </c>
      <c r="R305" s="17">
        <v>1.15446103791021</v>
      </c>
      <c r="S305" s="17">
        <f t="shared" si="22"/>
        <v>3.44451153001454</v>
      </c>
      <c r="V305" s="18">
        <v>3.27534</v>
      </c>
      <c r="Y305" s="14">
        <v>7.0688</v>
      </c>
      <c r="Z305" s="19">
        <f t="shared" si="23"/>
        <v>3.19583040968764</v>
      </c>
    </row>
    <row r="306" spans="1:26">
      <c r="A306" s="1" t="s">
        <v>326</v>
      </c>
      <c r="B306" s="1">
        <v>22767128</v>
      </c>
      <c r="C306" s="2">
        <v>0</v>
      </c>
      <c r="E306" s="14">
        <f t="shared" si="24"/>
        <v>1.23480649633567</v>
      </c>
      <c r="F306" s="11">
        <v>2.070001106</v>
      </c>
      <c r="G306" s="15">
        <v>2.55605081311082</v>
      </c>
      <c r="I306" s="14">
        <v>0.006311</v>
      </c>
      <c r="J306" s="13">
        <f t="shared" si="20"/>
        <v>3.60753097765806</v>
      </c>
      <c r="M306" s="14">
        <v>49.083</v>
      </c>
      <c r="N306" s="16">
        <f t="shared" si="21"/>
        <v>0.463849560947782</v>
      </c>
      <c r="Q306" s="14">
        <v>0.0124585</v>
      </c>
      <c r="R306" s="17">
        <v>1.09646239916523</v>
      </c>
      <c r="S306" s="17">
        <f t="shared" si="22"/>
        <v>2.33117963284178</v>
      </c>
      <c r="V306" s="18">
        <v>1.66721</v>
      </c>
      <c r="Y306" s="14">
        <v>11.8557</v>
      </c>
      <c r="Z306" s="19">
        <f t="shared" si="23"/>
        <v>1.9203529104144</v>
      </c>
    </row>
    <row r="307" spans="1:26">
      <c r="A307" s="1" t="s">
        <v>327</v>
      </c>
      <c r="B307" s="1">
        <v>22767128</v>
      </c>
      <c r="C307" s="2">
        <v>0</v>
      </c>
      <c r="E307" s="14">
        <f t="shared" si="24"/>
        <v>1.17767654214439</v>
      </c>
      <c r="F307" s="11">
        <v>2.110787908</v>
      </c>
      <c r="G307" s="15">
        <v>2.48582540469364</v>
      </c>
      <c r="I307" s="14">
        <v>0.00627</v>
      </c>
      <c r="J307" s="13">
        <f t="shared" si="20"/>
        <v>3.63112089314195</v>
      </c>
      <c r="M307" s="14">
        <v>51.501</v>
      </c>
      <c r="N307" s="16">
        <f t="shared" si="21"/>
        <v>0.442071571425798</v>
      </c>
      <c r="Q307" s="14">
        <v>0.0134265</v>
      </c>
      <c r="R307" s="17">
        <v>1.01741159646967</v>
      </c>
      <c r="S307" s="17">
        <f t="shared" si="22"/>
        <v>2.44328393082921</v>
      </c>
      <c r="V307" s="18">
        <v>1.62654</v>
      </c>
      <c r="Y307" s="14">
        <v>11.8296</v>
      </c>
      <c r="Z307" s="19">
        <f t="shared" si="23"/>
        <v>1.92458984242916</v>
      </c>
    </row>
    <row r="308" spans="1:26">
      <c r="A308" s="1" t="s">
        <v>328</v>
      </c>
      <c r="B308" s="1">
        <v>23537356</v>
      </c>
      <c r="C308" s="2">
        <v>0</v>
      </c>
      <c r="E308" s="14">
        <f t="shared" si="24"/>
        <v>1.22390654330179</v>
      </c>
      <c r="F308" s="11">
        <v>3.243780132</v>
      </c>
      <c r="G308" s="15">
        <v>3.97008372858714</v>
      </c>
      <c r="I308" s="14">
        <v>0.004926</v>
      </c>
      <c r="J308" s="13">
        <f t="shared" si="20"/>
        <v>4.77818838814454</v>
      </c>
      <c r="M308" s="14">
        <v>48.828</v>
      </c>
      <c r="N308" s="16">
        <f t="shared" si="21"/>
        <v>0.482046284918489</v>
      </c>
      <c r="Q308" s="14">
        <v>0.0241912</v>
      </c>
      <c r="R308" s="17">
        <v>0.583783094679057</v>
      </c>
      <c r="S308" s="17">
        <f t="shared" si="22"/>
        <v>6.80061441445088</v>
      </c>
      <c r="V308" s="18">
        <v>2.46017</v>
      </c>
      <c r="Y308" s="14">
        <v>11.7627</v>
      </c>
      <c r="Z308" s="19">
        <f t="shared" si="23"/>
        <v>2.00101643330188</v>
      </c>
    </row>
    <row r="309" spans="1:26">
      <c r="A309" s="1" t="s">
        <v>329</v>
      </c>
      <c r="B309" s="1">
        <v>23587180</v>
      </c>
      <c r="C309" s="2">
        <v>0.00432172</v>
      </c>
      <c r="E309" s="14">
        <f t="shared" si="24"/>
        <v>1.06025771927198</v>
      </c>
      <c r="F309" s="11">
        <v>1.485357691</v>
      </c>
      <c r="G309" s="15">
        <v>1.57486195776275</v>
      </c>
      <c r="I309" s="14">
        <v>0.008011</v>
      </c>
      <c r="J309" s="13">
        <f t="shared" si="20"/>
        <v>2.94434902009737</v>
      </c>
      <c r="M309" s="14">
        <v>158.137</v>
      </c>
      <c r="N309" s="16">
        <f t="shared" si="21"/>
        <v>0.149156617363425</v>
      </c>
      <c r="Q309" s="14">
        <v>0.00983784</v>
      </c>
      <c r="R309" s="17">
        <v>1.43855846405308</v>
      </c>
      <c r="S309" s="17">
        <f t="shared" si="22"/>
        <v>1.09475005508336</v>
      </c>
      <c r="V309" s="18">
        <v>0.387636</v>
      </c>
      <c r="Y309" s="14">
        <v>30.9641</v>
      </c>
      <c r="Z309" s="19">
        <f t="shared" si="23"/>
        <v>0.761758940192029</v>
      </c>
    </row>
    <row r="310" spans="1:26">
      <c r="A310" s="1" t="s">
        <v>330</v>
      </c>
      <c r="B310" s="1">
        <v>24286732</v>
      </c>
      <c r="C310" s="2">
        <v>0.656977</v>
      </c>
      <c r="E310" s="14">
        <f t="shared" si="24"/>
        <v>3.28136136146333</v>
      </c>
      <c r="F310" s="11">
        <v>5.466699788</v>
      </c>
      <c r="G310" s="15">
        <v>17.938217459063</v>
      </c>
      <c r="I310" s="14">
        <v>0.001807</v>
      </c>
      <c r="J310" s="13">
        <f t="shared" si="20"/>
        <v>13.4403608190371</v>
      </c>
      <c r="M310" s="14">
        <v>37.663</v>
      </c>
      <c r="N310" s="16">
        <f t="shared" si="21"/>
        <v>0.644843267928736</v>
      </c>
      <c r="Q310" s="14">
        <v>0.010275</v>
      </c>
      <c r="R310" s="17">
        <v>1.41820332846715</v>
      </c>
      <c r="S310" s="17">
        <f t="shared" si="22"/>
        <v>12.6485512330953</v>
      </c>
      <c r="V310" s="18">
        <v>4.18689</v>
      </c>
      <c r="Y310" s="14">
        <v>4.9544</v>
      </c>
      <c r="Z310" s="19">
        <f t="shared" si="23"/>
        <v>4.9020531244954</v>
      </c>
    </row>
    <row r="311" spans="1:26">
      <c r="A311" s="1" t="s">
        <v>331</v>
      </c>
      <c r="B311" s="1">
        <v>24425600</v>
      </c>
      <c r="C311" s="2">
        <v>0</v>
      </c>
      <c r="E311" s="14">
        <f t="shared" si="24"/>
        <v>1.93679910951337</v>
      </c>
      <c r="F311" s="11">
        <v>1.176056422</v>
      </c>
      <c r="G311" s="15">
        <v>2.27778503086708</v>
      </c>
      <c r="I311" s="14">
        <v>0.010409</v>
      </c>
      <c r="J311" s="13">
        <f t="shared" si="20"/>
        <v>2.34658468632914</v>
      </c>
      <c r="M311" s="14">
        <v>43.937</v>
      </c>
      <c r="N311" s="16">
        <f t="shared" si="21"/>
        <v>0.555923253749687</v>
      </c>
      <c r="Q311" s="14">
        <v>0.0155868</v>
      </c>
      <c r="R311" s="17">
        <v>0.940241743013319</v>
      </c>
      <c r="S311" s="17">
        <f t="shared" si="22"/>
        <v>2.42255254863197</v>
      </c>
      <c r="V311" s="18">
        <v>1.20064</v>
      </c>
      <c r="Y311" s="14">
        <v>35.261</v>
      </c>
      <c r="Z311" s="19">
        <f t="shared" si="23"/>
        <v>0.69270865829103</v>
      </c>
    </row>
    <row r="312" spans="1:26">
      <c r="A312" s="1" t="s">
        <v>332</v>
      </c>
      <c r="B312" s="1">
        <v>24510104</v>
      </c>
      <c r="C312" s="2">
        <v>0.137219</v>
      </c>
      <c r="E312" s="14">
        <f t="shared" si="24"/>
        <v>0.969743141090007</v>
      </c>
      <c r="F312" s="11">
        <v>3.552876169</v>
      </c>
      <c r="G312" s="15">
        <v>3.44537729602989</v>
      </c>
      <c r="I312" s="14">
        <v>0.006379</v>
      </c>
      <c r="J312" s="13">
        <f t="shared" si="20"/>
        <v>3.8423113340649</v>
      </c>
      <c r="M312" s="14">
        <v>97.626</v>
      </c>
      <c r="N312" s="16">
        <f t="shared" si="21"/>
        <v>0.251061233687747</v>
      </c>
      <c r="Q312" s="14">
        <v>0.0261573</v>
      </c>
      <c r="R312" s="17">
        <v>0.562216375543347</v>
      </c>
      <c r="S312" s="17">
        <f t="shared" si="22"/>
        <v>6.12820516424864</v>
      </c>
      <c r="V312" s="18">
        <v>1.28264</v>
      </c>
      <c r="Y312" s="14">
        <v>18.8603</v>
      </c>
      <c r="Z312" s="19">
        <f t="shared" si="23"/>
        <v>1.29956066446451</v>
      </c>
    </row>
    <row r="313" spans="1:26">
      <c r="A313" s="1" t="s">
        <v>333</v>
      </c>
      <c r="B313" s="1">
        <v>24858492</v>
      </c>
      <c r="C313" s="2">
        <v>0</v>
      </c>
      <c r="E313" s="14">
        <f t="shared" si="24"/>
        <v>1.13852811816167</v>
      </c>
      <c r="F313" s="11">
        <v>1.956038182</v>
      </c>
      <c r="G313" s="15">
        <v>2.22700447040484</v>
      </c>
      <c r="I313" s="14">
        <v>0.0105</v>
      </c>
      <c r="J313" s="13">
        <f t="shared" si="20"/>
        <v>2.36747542857143</v>
      </c>
      <c r="M313" s="14">
        <v>67.683</v>
      </c>
      <c r="N313" s="16">
        <f t="shared" si="21"/>
        <v>0.367278223483002</v>
      </c>
      <c r="Q313" s="14">
        <v>0.0116826</v>
      </c>
      <c r="R313" s="17">
        <v>1.27669313337784</v>
      </c>
      <c r="S313" s="17">
        <f t="shared" si="22"/>
        <v>1.74435376221747</v>
      </c>
      <c r="V313" s="18">
        <v>1.69646</v>
      </c>
      <c r="Y313" s="14">
        <v>20.2378</v>
      </c>
      <c r="Z313" s="19">
        <f t="shared" si="23"/>
        <v>1.22831987666644</v>
      </c>
    </row>
    <row r="314" spans="1:26">
      <c r="A314" s="1" t="s">
        <v>334</v>
      </c>
      <c r="B314" s="1">
        <v>25168372</v>
      </c>
      <c r="C314" s="2">
        <v>2.73299e-5</v>
      </c>
      <c r="E314" s="14">
        <f t="shared" si="24"/>
        <v>0.823582968883744</v>
      </c>
      <c r="F314" s="11">
        <v>1.252196583</v>
      </c>
      <c r="G314" s="15">
        <v>1.03128777945322</v>
      </c>
      <c r="I314" s="14">
        <v>0.012603</v>
      </c>
      <c r="J314" s="13">
        <f t="shared" si="20"/>
        <v>1.99701436165992</v>
      </c>
      <c r="M314" s="14">
        <v>84.97</v>
      </c>
      <c r="N314" s="16">
        <f t="shared" si="21"/>
        <v>0.296203036365776</v>
      </c>
      <c r="Q314" s="14">
        <v>0.0180752</v>
      </c>
      <c r="R314" s="17">
        <v>0.835455386385766</v>
      </c>
      <c r="S314" s="17">
        <f t="shared" si="22"/>
        <v>1.23440197556765</v>
      </c>
      <c r="V314" s="18">
        <v>1.25288</v>
      </c>
      <c r="Y314" s="14">
        <v>26.8093</v>
      </c>
      <c r="Z314" s="19">
        <f t="shared" si="23"/>
        <v>0.938792583170765</v>
      </c>
    </row>
    <row r="315" spans="1:26">
      <c r="A315" s="1" t="s">
        <v>335</v>
      </c>
      <c r="B315" s="1">
        <v>25449704</v>
      </c>
      <c r="C315" s="2">
        <v>0.00679852</v>
      </c>
      <c r="E315" s="14">
        <f t="shared" si="24"/>
        <v>1.4275990372335</v>
      </c>
      <c r="F315" s="11">
        <v>2.62054715</v>
      </c>
      <c r="G315" s="15">
        <v>3.741090588365</v>
      </c>
      <c r="I315" s="14">
        <v>0.003863</v>
      </c>
      <c r="J315" s="13">
        <f t="shared" si="20"/>
        <v>6.58806730520321</v>
      </c>
      <c r="M315" s="14">
        <v>50.074</v>
      </c>
      <c r="N315" s="16">
        <f t="shared" si="21"/>
        <v>0.508241882014618</v>
      </c>
      <c r="Q315" s="14">
        <v>0.0133944</v>
      </c>
      <c r="R315" s="17">
        <v>1.14001540942483</v>
      </c>
      <c r="S315" s="17">
        <f t="shared" si="22"/>
        <v>3.28161405314029</v>
      </c>
      <c r="V315" s="18">
        <v>2.83102</v>
      </c>
      <c r="Y315" s="14">
        <v>8.5998</v>
      </c>
      <c r="Z315" s="19">
        <f t="shared" si="23"/>
        <v>2.95933672876113</v>
      </c>
    </row>
    <row r="316" spans="1:26">
      <c r="A316" s="1" t="s">
        <v>336</v>
      </c>
      <c r="B316" s="1">
        <v>25713990</v>
      </c>
      <c r="C316" s="2">
        <v>0</v>
      </c>
      <c r="E316" s="14">
        <f t="shared" si="24"/>
        <v>2.88966582967071</v>
      </c>
      <c r="F316" s="11">
        <v>4.812943625</v>
      </c>
      <c r="G316" s="15">
        <v>13.907798733294</v>
      </c>
      <c r="I316" s="14">
        <v>0.002587</v>
      </c>
      <c r="J316" s="13">
        <f t="shared" si="20"/>
        <v>9.93969462698106</v>
      </c>
      <c r="M316" s="14">
        <v>34.13</v>
      </c>
      <c r="N316" s="16">
        <f t="shared" si="21"/>
        <v>0.753413126281863</v>
      </c>
      <c r="Q316" s="14">
        <v>0.0155282</v>
      </c>
      <c r="R316" s="17">
        <v>0.993572596952641</v>
      </c>
      <c r="S316" s="17">
        <f t="shared" si="22"/>
        <v>13.9977680301875</v>
      </c>
      <c r="V316" s="18">
        <v>3.82687</v>
      </c>
      <c r="Y316" s="14">
        <v>5.5886</v>
      </c>
      <c r="Z316" s="19">
        <f t="shared" si="23"/>
        <v>4.60115055649</v>
      </c>
    </row>
    <row r="317" spans="1:26">
      <c r="A317" s="1" t="s">
        <v>337</v>
      </c>
      <c r="B317" s="1">
        <v>25898814</v>
      </c>
      <c r="C317" s="2">
        <v>0.0544782</v>
      </c>
      <c r="E317" s="14">
        <f t="shared" si="24"/>
        <v>1.13466383021805</v>
      </c>
      <c r="F317" s="11">
        <v>5.142397907</v>
      </c>
      <c r="G317" s="15">
        <v>5.83489290566191</v>
      </c>
      <c r="I317" s="14">
        <v>0.003095</v>
      </c>
      <c r="J317" s="13">
        <f t="shared" si="20"/>
        <v>8.36795282714055</v>
      </c>
      <c r="M317" s="14">
        <v>62.849</v>
      </c>
      <c r="N317" s="16">
        <f t="shared" si="21"/>
        <v>0.412079969450588</v>
      </c>
      <c r="Q317" s="14">
        <v>0.0151211</v>
      </c>
      <c r="R317" s="17">
        <v>1.02765595095595</v>
      </c>
      <c r="S317" s="17">
        <f t="shared" si="22"/>
        <v>5.67786611874738</v>
      </c>
      <c r="V317" s="18">
        <v>2.49517</v>
      </c>
      <c r="Y317" s="14">
        <v>9.6589</v>
      </c>
      <c r="Z317" s="19">
        <f t="shared" si="23"/>
        <v>2.68134197475903</v>
      </c>
    </row>
    <row r="318" spans="1:26">
      <c r="A318" s="1" t="s">
        <v>338</v>
      </c>
      <c r="B318" s="1">
        <v>25898814</v>
      </c>
      <c r="C318" s="2">
        <v>0.0544782</v>
      </c>
      <c r="E318" s="14">
        <f t="shared" si="24"/>
        <v>1.25770945917216</v>
      </c>
      <c r="F318" s="11">
        <v>4.570921786</v>
      </c>
      <c r="G318" s="15">
        <v>5.74889156738831</v>
      </c>
      <c r="I318" s="14">
        <v>0.003341</v>
      </c>
      <c r="J318" s="13">
        <f t="shared" si="20"/>
        <v>7.75181502544149</v>
      </c>
      <c r="M318" s="14">
        <v>63.298</v>
      </c>
      <c r="N318" s="16">
        <f t="shared" si="21"/>
        <v>0.409156908591109</v>
      </c>
      <c r="Q318" s="14">
        <v>0.0153632</v>
      </c>
      <c r="R318" s="17">
        <v>1.01146170068736</v>
      </c>
      <c r="S318" s="17">
        <f t="shared" si="22"/>
        <v>5.68374617000479</v>
      </c>
      <c r="V318" s="18">
        <v>2.29004</v>
      </c>
      <c r="Y318" s="14">
        <v>9.5565</v>
      </c>
      <c r="Z318" s="19">
        <f t="shared" si="23"/>
        <v>2.71007314393345</v>
      </c>
    </row>
    <row r="319" spans="1:26">
      <c r="A319" s="1" t="s">
        <v>339</v>
      </c>
      <c r="B319" s="1">
        <v>26085590</v>
      </c>
      <c r="C319" s="2">
        <v>0.76746</v>
      </c>
      <c r="E319" s="14">
        <f t="shared" si="24"/>
        <v>1.55180609306329</v>
      </c>
      <c r="F319" s="11">
        <v>1.561627392</v>
      </c>
      <c r="G319" s="15">
        <v>2.42334290200013</v>
      </c>
      <c r="I319" s="14">
        <v>0.011093</v>
      </c>
      <c r="J319" s="13">
        <f t="shared" si="20"/>
        <v>2.35153610384927</v>
      </c>
      <c r="M319" s="14">
        <v>307.226</v>
      </c>
      <c r="N319" s="16">
        <f t="shared" si="21"/>
        <v>0.084906843821812</v>
      </c>
      <c r="Q319" s="14">
        <v>0.0161914</v>
      </c>
      <c r="R319" s="17">
        <v>0.966646120780167</v>
      </c>
      <c r="S319" s="17">
        <f t="shared" si="22"/>
        <v>2.50695973418306</v>
      </c>
      <c r="V319" s="18">
        <v>1.28238</v>
      </c>
      <c r="Y319" s="14">
        <v>29.0275</v>
      </c>
      <c r="Z319" s="19">
        <f t="shared" si="23"/>
        <v>0.898650934458703</v>
      </c>
    </row>
    <row r="320" spans="1:26">
      <c r="A320" s="1" t="s">
        <v>340</v>
      </c>
      <c r="B320" s="1">
        <v>26124212</v>
      </c>
      <c r="C320" s="2">
        <v>0.905292</v>
      </c>
      <c r="E320" s="14">
        <f t="shared" si="24"/>
        <v>2.68100997870903</v>
      </c>
      <c r="F320" s="11">
        <v>9.538611065</v>
      </c>
      <c r="G320" s="15">
        <v>25.5731114482894</v>
      </c>
      <c r="I320" s="14">
        <v>0.002707</v>
      </c>
      <c r="J320" s="13">
        <f t="shared" si="20"/>
        <v>9.65061396379756</v>
      </c>
      <c r="M320" s="14">
        <v>11.154</v>
      </c>
      <c r="N320" s="16">
        <f t="shared" si="21"/>
        <v>2.34213842567689</v>
      </c>
      <c r="Q320" s="14">
        <v>0.00692458</v>
      </c>
      <c r="R320" s="17">
        <v>2.26360691912</v>
      </c>
      <c r="S320" s="17">
        <f t="shared" si="22"/>
        <v>11.2975054247631</v>
      </c>
      <c r="V320" s="18">
        <v>6.07764</v>
      </c>
      <c r="Y320" s="14">
        <v>4.7015</v>
      </c>
      <c r="Z320" s="19">
        <f t="shared" si="23"/>
        <v>5.55656960544507</v>
      </c>
    </row>
    <row r="321" spans="1:26">
      <c r="A321" s="1" t="s">
        <v>341</v>
      </c>
      <c r="B321" s="1">
        <v>26124212</v>
      </c>
      <c r="C321" s="2">
        <v>0.903485</v>
      </c>
      <c r="E321" s="14">
        <f t="shared" si="24"/>
        <v>2.34102702258296</v>
      </c>
      <c r="F321" s="11">
        <v>10.151089186</v>
      </c>
      <c r="G321" s="15">
        <v>23.7639740930757</v>
      </c>
      <c r="I321" s="14">
        <v>0.001885</v>
      </c>
      <c r="J321" s="13">
        <f t="shared" si="20"/>
        <v>13.8589984084881</v>
      </c>
      <c r="M321" s="14">
        <v>9.988</v>
      </c>
      <c r="N321" s="16">
        <f t="shared" si="21"/>
        <v>2.61555987184622</v>
      </c>
      <c r="Q321" s="14">
        <v>0.00713313</v>
      </c>
      <c r="R321" s="17">
        <v>2.19742626308507</v>
      </c>
      <c r="S321" s="17">
        <f t="shared" si="22"/>
        <v>10.8144580285995</v>
      </c>
      <c r="V321" s="18">
        <v>6.21006</v>
      </c>
      <c r="Y321" s="14">
        <v>4.3787</v>
      </c>
      <c r="Z321" s="19">
        <f t="shared" si="23"/>
        <v>5.96620275424213</v>
      </c>
    </row>
    <row r="322" spans="1:26">
      <c r="A322" s="1" t="s">
        <v>342</v>
      </c>
      <c r="B322" s="1">
        <v>26132542</v>
      </c>
      <c r="C322" s="2">
        <v>0.679335</v>
      </c>
      <c r="E322" s="14">
        <f t="shared" si="24"/>
        <v>1.03269753553074</v>
      </c>
      <c r="F322" s="11">
        <v>3.4432679</v>
      </c>
      <c r="G322" s="15">
        <v>3.55585427450212</v>
      </c>
      <c r="I322" s="14">
        <v>0.013116</v>
      </c>
      <c r="J322" s="13">
        <f t="shared" ref="J322:J385" si="25">B322/I322/1000000000</f>
        <v>1.99241704788045</v>
      </c>
      <c r="M322" s="14">
        <v>60.147</v>
      </c>
      <c r="N322" s="16">
        <f t="shared" ref="N322:N385" si="26">B322/M322/1000000</f>
        <v>0.434477895821903</v>
      </c>
      <c r="Q322" s="14">
        <v>0.0166576</v>
      </c>
      <c r="R322" s="17">
        <v>0.941283570262223</v>
      </c>
      <c r="S322" s="17">
        <f t="shared" ref="S322:S385" si="27">G322/R322</f>
        <v>3.77766529326708</v>
      </c>
      <c r="V322" s="18">
        <v>3.24262</v>
      </c>
      <c r="Y322" s="14">
        <v>7.5947</v>
      </c>
      <c r="Z322" s="19">
        <f t="shared" ref="Z322:Z385" si="28">B322/Y322/1000000</f>
        <v>3.44089193779873</v>
      </c>
    </row>
    <row r="323" spans="1:26">
      <c r="A323" s="1" t="s">
        <v>343</v>
      </c>
      <c r="B323" s="1">
        <v>26165844</v>
      </c>
      <c r="C323" s="2">
        <v>0</v>
      </c>
      <c r="E323" s="14">
        <f t="shared" ref="E323:E386" si="29">G323/F323</f>
        <v>1.46833702342754</v>
      </c>
      <c r="F323" s="11">
        <v>3.345226175</v>
      </c>
      <c r="G323" s="15">
        <v>4.91191944449138</v>
      </c>
      <c r="I323" s="14">
        <v>0.004654</v>
      </c>
      <c r="J323" s="13">
        <f t="shared" si="25"/>
        <v>5.62222690159003</v>
      </c>
      <c r="M323" s="14">
        <v>42.028</v>
      </c>
      <c r="N323" s="16">
        <f t="shared" si="26"/>
        <v>0.622581231559912</v>
      </c>
      <c r="Q323" s="14">
        <v>0.0114272</v>
      </c>
      <c r="R323" s="17">
        <v>1.37387167460095</v>
      </c>
      <c r="S323" s="17">
        <f t="shared" si="27"/>
        <v>3.57523889261206</v>
      </c>
      <c r="V323" s="18">
        <v>3.53254</v>
      </c>
      <c r="Y323" s="14">
        <v>12.4414</v>
      </c>
      <c r="Z323" s="19">
        <f t="shared" si="28"/>
        <v>2.10312697927886</v>
      </c>
    </row>
    <row r="324" spans="1:26">
      <c r="A324" s="1" t="s">
        <v>344</v>
      </c>
      <c r="B324" s="1">
        <v>26165844</v>
      </c>
      <c r="C324" s="2">
        <v>0</v>
      </c>
      <c r="E324" s="14">
        <f t="shared" si="29"/>
        <v>1.42300138891891</v>
      </c>
      <c r="F324" s="11">
        <v>3.573149625</v>
      </c>
      <c r="G324" s="15">
        <v>5.08459687919007</v>
      </c>
      <c r="I324" s="14">
        <v>0.003297</v>
      </c>
      <c r="J324" s="13">
        <f t="shared" si="25"/>
        <v>7.93625841674249</v>
      </c>
      <c r="M324" s="14">
        <v>41.57</v>
      </c>
      <c r="N324" s="16">
        <f t="shared" si="26"/>
        <v>0.62944055809478</v>
      </c>
      <c r="Q324" s="14">
        <v>0.0130823</v>
      </c>
      <c r="R324" s="17">
        <v>1.20005705418772</v>
      </c>
      <c r="S324" s="17">
        <f t="shared" si="27"/>
        <v>4.23696261894121</v>
      </c>
      <c r="V324" s="18">
        <v>3.58325</v>
      </c>
      <c r="Y324" s="14">
        <v>8.0452</v>
      </c>
      <c r="Z324" s="19">
        <f t="shared" si="28"/>
        <v>3.25235469596778</v>
      </c>
    </row>
    <row r="325" spans="1:26">
      <c r="A325" s="1" t="s">
        <v>345</v>
      </c>
      <c r="B325" s="1">
        <v>26536986</v>
      </c>
      <c r="C325" s="2">
        <v>0.58837</v>
      </c>
      <c r="E325" s="14">
        <f t="shared" si="29"/>
        <v>2.15640093092936</v>
      </c>
      <c r="F325" s="11">
        <v>9.700725699</v>
      </c>
      <c r="G325" s="15">
        <v>20.918653928014</v>
      </c>
      <c r="I325" s="14">
        <v>0.001954</v>
      </c>
      <c r="J325" s="13">
        <f t="shared" si="25"/>
        <v>13.5808526100307</v>
      </c>
      <c r="M325" s="14">
        <v>16.506</v>
      </c>
      <c r="N325" s="16">
        <f t="shared" si="26"/>
        <v>1.60771755725191</v>
      </c>
      <c r="Q325" s="14">
        <v>0.010869</v>
      </c>
      <c r="R325" s="17">
        <v>1.46491780292575</v>
      </c>
      <c r="S325" s="17">
        <f t="shared" si="27"/>
        <v>14.2797458575731</v>
      </c>
      <c r="V325" s="18">
        <v>5.742</v>
      </c>
      <c r="Y325" s="14">
        <v>5.4015</v>
      </c>
      <c r="Z325" s="19">
        <f t="shared" si="28"/>
        <v>4.91289197445154</v>
      </c>
    </row>
    <row r="326" spans="1:26">
      <c r="A326" s="1" t="s">
        <v>346</v>
      </c>
      <c r="B326" s="1">
        <v>26752320</v>
      </c>
      <c r="C326" s="2">
        <v>0.148693</v>
      </c>
      <c r="E326" s="14">
        <f t="shared" si="29"/>
        <v>0.967888894441004</v>
      </c>
      <c r="F326" s="11">
        <v>1.547610916</v>
      </c>
      <c r="G326" s="15">
        <v>1.49791541851207</v>
      </c>
      <c r="I326" s="14">
        <v>0.007294</v>
      </c>
      <c r="J326" s="13">
        <f t="shared" si="25"/>
        <v>3.66771593090211</v>
      </c>
      <c r="M326" s="14">
        <v>62.302</v>
      </c>
      <c r="N326" s="16">
        <f t="shared" si="26"/>
        <v>0.429397451125165</v>
      </c>
      <c r="Q326" s="14">
        <v>0.0115382</v>
      </c>
      <c r="R326" s="17">
        <v>1.39115217278258</v>
      </c>
      <c r="S326" s="17">
        <f t="shared" si="27"/>
        <v>1.07674447685758</v>
      </c>
      <c r="V326" s="18">
        <v>2.32001</v>
      </c>
      <c r="Y326" s="14">
        <v>16.2343</v>
      </c>
      <c r="Z326" s="19">
        <f t="shared" si="28"/>
        <v>1.64788872941858</v>
      </c>
    </row>
    <row r="327" spans="1:26">
      <c r="A327" s="1" t="s">
        <v>347</v>
      </c>
      <c r="B327" s="1">
        <v>26752320</v>
      </c>
      <c r="C327" s="2">
        <v>0.567901</v>
      </c>
      <c r="E327" s="14">
        <f t="shared" si="29"/>
        <v>1.25665252856834</v>
      </c>
      <c r="F327" s="11">
        <v>1.289613805</v>
      </c>
      <c r="G327" s="15">
        <v>1.62059644892989</v>
      </c>
      <c r="I327" s="14">
        <v>0.007395</v>
      </c>
      <c r="J327" s="13">
        <f t="shared" si="25"/>
        <v>3.61762271805274</v>
      </c>
      <c r="M327" s="14">
        <v>62.773</v>
      </c>
      <c r="N327" s="16">
        <f t="shared" si="26"/>
        <v>0.426175585044526</v>
      </c>
      <c r="Q327" s="14">
        <v>0.0129237</v>
      </c>
      <c r="R327" s="17">
        <v>1.24201211727292</v>
      </c>
      <c r="S327" s="17">
        <f t="shared" si="27"/>
        <v>1.30481532860422</v>
      </c>
      <c r="V327" s="18">
        <v>2.30947</v>
      </c>
      <c r="Y327" s="14">
        <v>16.2095</v>
      </c>
      <c r="Z327" s="19">
        <f t="shared" si="28"/>
        <v>1.65040994478547</v>
      </c>
    </row>
    <row r="328" spans="1:26">
      <c r="A328" s="1" t="s">
        <v>348</v>
      </c>
      <c r="B328" s="1">
        <v>26845174</v>
      </c>
      <c r="C328" s="2">
        <v>0.00161752</v>
      </c>
      <c r="E328" s="14">
        <f t="shared" si="29"/>
        <v>0.930026543031744</v>
      </c>
      <c r="F328" s="11">
        <v>2.532057989</v>
      </c>
      <c r="G328" s="15">
        <v>2.35488113826558</v>
      </c>
      <c r="I328" s="14">
        <v>0.010878</v>
      </c>
      <c r="J328" s="13">
        <f t="shared" si="25"/>
        <v>2.46784096341239</v>
      </c>
      <c r="M328" s="14">
        <v>386.632</v>
      </c>
      <c r="N328" s="16">
        <f t="shared" si="26"/>
        <v>0.0694333992013077</v>
      </c>
      <c r="Q328" s="14">
        <v>0.00259764</v>
      </c>
      <c r="R328" s="17">
        <v>6.2006684529034</v>
      </c>
      <c r="S328" s="17">
        <f t="shared" si="27"/>
        <v>0.379778592606888</v>
      </c>
      <c r="V328" s="18">
        <v>1.29671</v>
      </c>
      <c r="Y328" s="14">
        <v>21.737</v>
      </c>
      <c r="Z328" s="19">
        <f t="shared" si="28"/>
        <v>1.23499903390532</v>
      </c>
    </row>
    <row r="329" spans="1:26">
      <c r="A329" s="1" t="s">
        <v>349</v>
      </c>
      <c r="B329" s="1">
        <v>27366370</v>
      </c>
      <c r="C329" s="2">
        <v>0.393291</v>
      </c>
      <c r="E329" s="14">
        <f t="shared" si="29"/>
        <v>2.27438957723285</v>
      </c>
      <c r="F329" s="11">
        <v>5.804678579</v>
      </c>
      <c r="G329" s="15">
        <v>13.2021004592644</v>
      </c>
      <c r="I329" s="14">
        <v>0.002178</v>
      </c>
      <c r="J329" s="13">
        <f t="shared" si="25"/>
        <v>12.5649081726354</v>
      </c>
      <c r="M329" s="14">
        <v>41.231</v>
      </c>
      <c r="N329" s="16">
        <f t="shared" si="26"/>
        <v>0.663732870898111</v>
      </c>
      <c r="Q329" s="14">
        <v>0.0131406</v>
      </c>
      <c r="R329" s="17">
        <v>1.24954887904662</v>
      </c>
      <c r="S329" s="17">
        <f t="shared" si="27"/>
        <v>10.5654934197831</v>
      </c>
      <c r="V329" s="18">
        <v>4.89206</v>
      </c>
      <c r="Y329" s="14">
        <v>5.0389</v>
      </c>
      <c r="Z329" s="19">
        <f t="shared" si="28"/>
        <v>5.43102065927087</v>
      </c>
    </row>
    <row r="330" spans="1:26">
      <c r="A330" s="1" t="s">
        <v>350</v>
      </c>
      <c r="B330" s="1">
        <v>28699428</v>
      </c>
      <c r="C330" s="2">
        <v>0</v>
      </c>
      <c r="E330" s="14">
        <f t="shared" si="29"/>
        <v>1.08333161929925</v>
      </c>
      <c r="F330" s="11">
        <v>5.238964937</v>
      </c>
      <c r="G330" s="15">
        <v>5.67553636865222</v>
      </c>
      <c r="I330" s="14">
        <v>0.003352</v>
      </c>
      <c r="J330" s="13">
        <f t="shared" si="25"/>
        <v>8.56188186157518</v>
      </c>
      <c r="M330" s="14">
        <v>36.158</v>
      </c>
      <c r="N330" s="16">
        <f t="shared" si="26"/>
        <v>0.793722772277228</v>
      </c>
      <c r="Q330" s="14">
        <v>0.00795907</v>
      </c>
      <c r="R330" s="17">
        <v>2.16352624113119</v>
      </c>
      <c r="S330" s="17">
        <f t="shared" si="27"/>
        <v>2.6232805781384</v>
      </c>
      <c r="V330" s="18">
        <v>3.77348</v>
      </c>
      <c r="Y330" s="14">
        <v>7.296</v>
      </c>
      <c r="Z330" s="19">
        <f t="shared" si="28"/>
        <v>3.93358388157895</v>
      </c>
    </row>
    <row r="331" spans="1:26">
      <c r="A331" s="1" t="s">
        <v>351</v>
      </c>
      <c r="B331" s="1">
        <v>28910660</v>
      </c>
      <c r="C331" s="2">
        <v>6.80596e-5</v>
      </c>
      <c r="E331" s="14">
        <f t="shared" si="29"/>
        <v>0.632299385149891</v>
      </c>
      <c r="F331" s="11">
        <v>2.815615132</v>
      </c>
      <c r="G331" s="15">
        <v>1.78031171678233</v>
      </c>
      <c r="I331" s="14">
        <v>0.018877</v>
      </c>
      <c r="J331" s="13">
        <f t="shared" si="25"/>
        <v>1.53152831488054</v>
      </c>
      <c r="M331" s="14">
        <v>255.819</v>
      </c>
      <c r="N331" s="16">
        <f t="shared" si="26"/>
        <v>0.113012168759944</v>
      </c>
      <c r="Q331" s="14">
        <v>0.00355073</v>
      </c>
      <c r="R331" s="17">
        <v>4.88530414872435</v>
      </c>
      <c r="S331" s="17">
        <f t="shared" si="27"/>
        <v>0.364421878880807</v>
      </c>
      <c r="V331" s="18">
        <v>1.2964</v>
      </c>
      <c r="Y331" s="14">
        <v>32.6832</v>
      </c>
      <c r="Z331" s="19">
        <f t="shared" si="28"/>
        <v>0.88457250208058</v>
      </c>
    </row>
    <row r="332" spans="1:26">
      <c r="A332" s="1" t="s">
        <v>352</v>
      </c>
      <c r="B332" s="1">
        <v>29324434</v>
      </c>
      <c r="C332" s="2">
        <v>0.884462</v>
      </c>
      <c r="E332" s="14">
        <f t="shared" si="29"/>
        <v>3.24617650914802</v>
      </c>
      <c r="F332" s="11">
        <v>11.31836962</v>
      </c>
      <c r="G332" s="15">
        <v>36.7414255822986</v>
      </c>
      <c r="I332" s="14">
        <v>0.001753</v>
      </c>
      <c r="J332" s="13">
        <f t="shared" si="25"/>
        <v>16.728142612664</v>
      </c>
      <c r="M332" s="14">
        <v>19.556</v>
      </c>
      <c r="N332" s="16">
        <f t="shared" si="26"/>
        <v>1.49951084066271</v>
      </c>
      <c r="Q332" s="14">
        <v>0.00646915</v>
      </c>
      <c r="R332" s="17">
        <v>2.71977932185836</v>
      </c>
      <c r="S332" s="17">
        <f t="shared" si="27"/>
        <v>13.5089730578561</v>
      </c>
      <c r="V332" s="18">
        <v>6.59669</v>
      </c>
      <c r="Y332" s="14">
        <v>4.0238</v>
      </c>
      <c r="Z332" s="19">
        <f t="shared" si="28"/>
        <v>7.28774640886724</v>
      </c>
    </row>
    <row r="333" spans="1:26">
      <c r="A333" s="1" t="s">
        <v>353</v>
      </c>
      <c r="B333" s="1">
        <v>29324434</v>
      </c>
      <c r="C333" s="2">
        <v>0.88694</v>
      </c>
      <c r="E333" s="14">
        <f t="shared" si="29"/>
        <v>3.10889299296305</v>
      </c>
      <c r="F333" s="11">
        <v>11.49437791</v>
      </c>
      <c r="G333" s="15">
        <v>35.7347909428683</v>
      </c>
      <c r="I333" s="14">
        <v>0.00173</v>
      </c>
      <c r="J333" s="13">
        <f t="shared" si="25"/>
        <v>16.9505398843931</v>
      </c>
      <c r="M333" s="14">
        <v>19.422</v>
      </c>
      <c r="N333" s="16">
        <f t="shared" si="26"/>
        <v>1.50985655442282</v>
      </c>
      <c r="Q333" s="14">
        <v>0.00648172</v>
      </c>
      <c r="R333" s="17">
        <v>2.71450485364996</v>
      </c>
      <c r="S333" s="17">
        <f t="shared" si="27"/>
        <v>13.1643864606905</v>
      </c>
      <c r="V333" s="18">
        <v>6.41422</v>
      </c>
      <c r="Y333" s="14">
        <v>3.8127</v>
      </c>
      <c r="Z333" s="19">
        <f t="shared" si="28"/>
        <v>7.69125134419178</v>
      </c>
    </row>
    <row r="334" spans="1:26">
      <c r="A334" s="1" t="s">
        <v>354</v>
      </c>
      <c r="B334" s="1">
        <v>29324434</v>
      </c>
      <c r="C334" s="2">
        <v>0.88694</v>
      </c>
      <c r="E334" s="14">
        <f t="shared" si="29"/>
        <v>3.0816002852442</v>
      </c>
      <c r="F334" s="11">
        <v>11.64830249</v>
      </c>
      <c r="G334" s="15">
        <v>35.8954122757947</v>
      </c>
      <c r="I334" s="14">
        <v>0.001716</v>
      </c>
      <c r="J334" s="13">
        <f t="shared" si="25"/>
        <v>17.088831002331</v>
      </c>
      <c r="M334" s="14">
        <v>19.42</v>
      </c>
      <c r="N334" s="16">
        <f t="shared" si="26"/>
        <v>1.51001204943357</v>
      </c>
      <c r="Q334" s="14">
        <v>0.00707314</v>
      </c>
      <c r="R334" s="17">
        <v>2.48753176100006</v>
      </c>
      <c r="S334" s="17">
        <f t="shared" si="27"/>
        <v>14.4301322453723</v>
      </c>
      <c r="V334" s="18">
        <v>6.53498</v>
      </c>
      <c r="Y334" s="14">
        <v>3.7058</v>
      </c>
      <c r="Z334" s="19">
        <f t="shared" si="28"/>
        <v>7.91311835501106</v>
      </c>
    </row>
    <row r="335" spans="1:26">
      <c r="A335" s="1" t="s">
        <v>355</v>
      </c>
      <c r="B335" s="1">
        <v>29710592</v>
      </c>
      <c r="C335" s="2">
        <v>0.000207857</v>
      </c>
      <c r="E335" s="14">
        <f t="shared" si="29"/>
        <v>1.05874906366917</v>
      </c>
      <c r="F335" s="11">
        <v>2.573902969</v>
      </c>
      <c r="G335" s="15">
        <v>2.72511735840404</v>
      </c>
      <c r="I335" s="14">
        <v>0.007355</v>
      </c>
      <c r="J335" s="13">
        <f t="shared" si="25"/>
        <v>4.03950944935418</v>
      </c>
      <c r="M335" s="14">
        <v>28.816</v>
      </c>
      <c r="N335" s="16">
        <f t="shared" si="26"/>
        <v>1.03104497501388</v>
      </c>
      <c r="Q335" s="14">
        <v>0.0181426</v>
      </c>
      <c r="R335" s="17">
        <v>0.982568937197535</v>
      </c>
      <c r="S335" s="17">
        <f t="shared" si="27"/>
        <v>2.77346174424827</v>
      </c>
      <c r="V335" s="18">
        <v>1.74177</v>
      </c>
      <c r="Y335" s="14">
        <v>18.8062</v>
      </c>
      <c r="Z335" s="19">
        <f t="shared" si="28"/>
        <v>1.57982963065372</v>
      </c>
    </row>
    <row r="336" spans="1:26">
      <c r="A336" s="1" t="s">
        <v>356</v>
      </c>
      <c r="B336" s="1">
        <v>29947392</v>
      </c>
      <c r="C336" s="2">
        <v>0</v>
      </c>
      <c r="E336" s="14">
        <f t="shared" si="29"/>
        <v>0.904640294030331</v>
      </c>
      <c r="F336" s="11">
        <v>4.561327419</v>
      </c>
      <c r="G336" s="15">
        <v>4.12636057749277</v>
      </c>
      <c r="I336" s="14">
        <v>0.004689</v>
      </c>
      <c r="J336" s="13">
        <f t="shared" si="25"/>
        <v>6.38673320537428</v>
      </c>
      <c r="M336" s="14">
        <v>131.368</v>
      </c>
      <c r="N336" s="16">
        <f t="shared" si="26"/>
        <v>0.22796565373607</v>
      </c>
      <c r="Q336" s="14">
        <v>0.0134318</v>
      </c>
      <c r="R336" s="17">
        <v>1.3377533316458</v>
      </c>
      <c r="S336" s="17">
        <f t="shared" si="27"/>
        <v>3.08454516978569</v>
      </c>
      <c r="V336" s="18">
        <v>2.52299</v>
      </c>
      <c r="Y336" s="14">
        <v>10.6053</v>
      </c>
      <c r="Z336" s="19">
        <f t="shared" si="28"/>
        <v>2.82381375350061</v>
      </c>
    </row>
    <row r="337" spans="1:26">
      <c r="A337" s="1" t="s">
        <v>357</v>
      </c>
      <c r="B337" s="1">
        <v>30147168</v>
      </c>
      <c r="C337" s="2">
        <v>0.976119</v>
      </c>
      <c r="E337" s="14">
        <f t="shared" si="29"/>
        <v>2.45985377383365</v>
      </c>
      <c r="F337" s="11">
        <v>4.664954376</v>
      </c>
      <c r="G337" s="15">
        <v>11.4751056265654</v>
      </c>
      <c r="I337" s="14">
        <v>0.002857</v>
      </c>
      <c r="J337" s="13">
        <f t="shared" si="25"/>
        <v>10.5520364018201</v>
      </c>
      <c r="M337" s="14">
        <v>26.161</v>
      </c>
      <c r="N337" s="16">
        <f t="shared" si="26"/>
        <v>1.1523706280341</v>
      </c>
      <c r="Q337" s="14">
        <v>0.00954651</v>
      </c>
      <c r="R337" s="17">
        <v>1.89475533990956</v>
      </c>
      <c r="S337" s="17">
        <f t="shared" si="27"/>
        <v>6.0562466218531</v>
      </c>
      <c r="V337" s="18">
        <v>4.67568</v>
      </c>
      <c r="Y337" s="14">
        <v>6.0429</v>
      </c>
      <c r="Z337" s="19">
        <f t="shared" si="28"/>
        <v>4.98885766767612</v>
      </c>
    </row>
    <row r="338" spans="1:26">
      <c r="A338" s="1" t="s">
        <v>358</v>
      </c>
      <c r="B338" s="1">
        <v>30316474</v>
      </c>
      <c r="C338" s="2">
        <v>1</v>
      </c>
      <c r="E338" s="14">
        <f t="shared" si="29"/>
        <v>4.44991040106826</v>
      </c>
      <c r="F338" s="11">
        <v>8.216898751</v>
      </c>
      <c r="G338" s="15">
        <v>36.5644632165997</v>
      </c>
      <c r="I338" s="14">
        <v>0.002315</v>
      </c>
      <c r="J338" s="13">
        <f t="shared" si="25"/>
        <v>13.0956691144708</v>
      </c>
      <c r="M338" s="14">
        <v>15.099</v>
      </c>
      <c r="N338" s="16">
        <f t="shared" si="26"/>
        <v>2.00784647989933</v>
      </c>
      <c r="Q338" s="14">
        <v>0.00684557</v>
      </c>
      <c r="R338" s="17">
        <v>2.65717601310044</v>
      </c>
      <c r="S338" s="17">
        <f t="shared" si="27"/>
        <v>13.760647784087</v>
      </c>
      <c r="V338" s="18">
        <v>6.50233</v>
      </c>
      <c r="Y338" s="14">
        <v>4.3115</v>
      </c>
      <c r="Z338" s="19">
        <f t="shared" si="28"/>
        <v>7.03153751594573</v>
      </c>
    </row>
    <row r="339" spans="1:26">
      <c r="A339" s="1" t="s">
        <v>359</v>
      </c>
      <c r="B339" s="1">
        <v>30668788</v>
      </c>
      <c r="C339" s="2">
        <v>0.704457</v>
      </c>
      <c r="E339" s="14">
        <f t="shared" si="29"/>
        <v>2.69709114933087</v>
      </c>
      <c r="F339" s="11">
        <v>6.540279651</v>
      </c>
      <c r="G339" s="15">
        <v>17.6397303608609</v>
      </c>
      <c r="I339" s="14">
        <v>0.002081</v>
      </c>
      <c r="J339" s="13">
        <f t="shared" si="25"/>
        <v>14.7375242671792</v>
      </c>
      <c r="M339" s="14">
        <v>27.997</v>
      </c>
      <c r="N339" s="16">
        <f t="shared" si="26"/>
        <v>1.09543122477408</v>
      </c>
      <c r="Q339" s="14">
        <v>0.0172389</v>
      </c>
      <c r="R339" s="17">
        <v>1.06742731844839</v>
      </c>
      <c r="S339" s="17">
        <f t="shared" si="27"/>
        <v>16.5254627233093</v>
      </c>
      <c r="V339" s="18">
        <v>4.83826</v>
      </c>
      <c r="Y339" s="14">
        <v>4.92</v>
      </c>
      <c r="Z339" s="19">
        <f t="shared" si="28"/>
        <v>6.23349349593496</v>
      </c>
    </row>
    <row r="340" spans="1:26">
      <c r="A340" s="1" t="s">
        <v>360</v>
      </c>
      <c r="B340" s="1">
        <v>30796486</v>
      </c>
      <c r="C340" s="2">
        <v>0</v>
      </c>
      <c r="E340" s="14">
        <f t="shared" si="29"/>
        <v>1.65401733503142</v>
      </c>
      <c r="F340" s="11">
        <v>1.146149824</v>
      </c>
      <c r="G340" s="15">
        <v>1.89575167743921</v>
      </c>
      <c r="I340" s="14">
        <v>0.007908</v>
      </c>
      <c r="J340" s="13">
        <f t="shared" si="25"/>
        <v>3.89434572584724</v>
      </c>
      <c r="M340" s="14">
        <v>172.982</v>
      </c>
      <c r="N340" s="16">
        <f t="shared" si="26"/>
        <v>0.178032893595865</v>
      </c>
      <c r="Q340" s="14">
        <v>0.00985196</v>
      </c>
      <c r="R340" s="17">
        <v>1.87555487436003</v>
      </c>
      <c r="S340" s="17">
        <f t="shared" si="27"/>
        <v>1.01076844157176</v>
      </c>
      <c r="V340" s="18">
        <v>1.9923</v>
      </c>
      <c r="Y340" s="14">
        <v>19.8362</v>
      </c>
      <c r="Z340" s="19">
        <f t="shared" si="28"/>
        <v>1.55253959931842</v>
      </c>
    </row>
    <row r="341" spans="1:26">
      <c r="A341" s="1" t="s">
        <v>361</v>
      </c>
      <c r="B341" s="1">
        <v>30798388</v>
      </c>
      <c r="C341" s="2">
        <v>0</v>
      </c>
      <c r="E341" s="14">
        <f t="shared" si="29"/>
        <v>1.93224239736171</v>
      </c>
      <c r="F341" s="11">
        <v>1.019632096</v>
      </c>
      <c r="G341" s="15">
        <v>1.97017636560199</v>
      </c>
      <c r="I341" s="14">
        <v>0.008188</v>
      </c>
      <c r="J341" s="13">
        <f t="shared" si="25"/>
        <v>3.76140547142159</v>
      </c>
      <c r="M341" s="14">
        <v>172.563</v>
      </c>
      <c r="N341" s="16">
        <f t="shared" si="26"/>
        <v>0.178476197099031</v>
      </c>
      <c r="Q341" s="14">
        <v>0.00869257</v>
      </c>
      <c r="R341" s="17">
        <v>2.12584227679501</v>
      </c>
      <c r="S341" s="17">
        <f t="shared" si="27"/>
        <v>0.926774477630717</v>
      </c>
      <c r="V341" s="18">
        <v>2.02312</v>
      </c>
      <c r="Y341" s="14">
        <v>19.9889</v>
      </c>
      <c r="Z341" s="19">
        <f t="shared" si="28"/>
        <v>1.54077452986407</v>
      </c>
    </row>
    <row r="342" spans="1:26">
      <c r="A342" s="1" t="s">
        <v>362</v>
      </c>
      <c r="B342" s="1">
        <v>32169814</v>
      </c>
      <c r="C342" s="2">
        <v>0.0549244</v>
      </c>
      <c r="E342" s="14">
        <f t="shared" si="29"/>
        <v>1.19989257182177</v>
      </c>
      <c r="F342" s="11">
        <v>3.917315668</v>
      </c>
      <c r="G342" s="15">
        <v>4.70035797151423</v>
      </c>
      <c r="I342" s="14">
        <v>0.003817</v>
      </c>
      <c r="J342" s="13">
        <f t="shared" si="25"/>
        <v>8.42803615404768</v>
      </c>
      <c r="M342" s="14">
        <v>84.544</v>
      </c>
      <c r="N342" s="16">
        <f t="shared" si="26"/>
        <v>0.380509722747918</v>
      </c>
      <c r="Q342" s="14">
        <v>0.0255971</v>
      </c>
      <c r="R342" s="17">
        <v>0.754065437100297</v>
      </c>
      <c r="S342" s="17">
        <f t="shared" si="27"/>
        <v>6.23335554217829</v>
      </c>
      <c r="V342" s="18">
        <v>2.37608</v>
      </c>
      <c r="Y342" s="14">
        <v>11.6685</v>
      </c>
      <c r="Z342" s="19">
        <f t="shared" si="28"/>
        <v>2.75697938895316</v>
      </c>
    </row>
    <row r="343" spans="1:26">
      <c r="A343" s="1" t="s">
        <v>363</v>
      </c>
      <c r="B343" s="1">
        <v>32169814</v>
      </c>
      <c r="C343" s="2">
        <v>0.0549244</v>
      </c>
      <c r="E343" s="14">
        <f t="shared" si="29"/>
        <v>1.16987418719124</v>
      </c>
      <c r="F343" s="11">
        <v>3.957749762</v>
      </c>
      <c r="G343" s="15">
        <v>4.63006928592606</v>
      </c>
      <c r="I343" s="14">
        <v>0.004839</v>
      </c>
      <c r="J343" s="13">
        <f t="shared" si="25"/>
        <v>6.64802934490597</v>
      </c>
      <c r="M343" s="14">
        <v>81.296</v>
      </c>
      <c r="N343" s="16">
        <f t="shared" si="26"/>
        <v>0.395712138358591</v>
      </c>
      <c r="Q343" s="14">
        <v>0.0256941</v>
      </c>
      <c r="R343" s="17">
        <v>0.751218700012843</v>
      </c>
      <c r="S343" s="17">
        <f t="shared" si="27"/>
        <v>6.16341058315894</v>
      </c>
      <c r="V343" s="18">
        <v>2.44245</v>
      </c>
      <c r="Y343" s="14">
        <v>11.4532</v>
      </c>
      <c r="Z343" s="19">
        <f t="shared" si="28"/>
        <v>2.80880574861174</v>
      </c>
    </row>
    <row r="344" spans="1:26">
      <c r="A344" s="1" t="s">
        <v>364</v>
      </c>
      <c r="B344" s="1">
        <v>32260732</v>
      </c>
      <c r="C344" s="2">
        <v>0</v>
      </c>
      <c r="E344" s="14">
        <f t="shared" si="29"/>
        <v>1.21185706679092</v>
      </c>
      <c r="F344" s="11">
        <v>1.622879576</v>
      </c>
      <c r="G344" s="15">
        <v>1.96669808272625</v>
      </c>
      <c r="I344" s="14">
        <v>0.012342</v>
      </c>
      <c r="J344" s="13">
        <f t="shared" si="25"/>
        <v>2.61389823367363</v>
      </c>
      <c r="M344" s="14">
        <v>135.512</v>
      </c>
      <c r="N344" s="16">
        <f t="shared" si="26"/>
        <v>0.238065499734341</v>
      </c>
      <c r="Q344" s="14">
        <v>0.0508857</v>
      </c>
      <c r="R344" s="17">
        <v>0.380390545870451</v>
      </c>
      <c r="S344" s="17">
        <f t="shared" si="27"/>
        <v>5.17020757765111</v>
      </c>
      <c r="V344" s="18">
        <v>1.32697</v>
      </c>
      <c r="Y344" s="14">
        <v>37.5321</v>
      </c>
      <c r="Z344" s="19">
        <f t="shared" si="28"/>
        <v>0.85955041151441</v>
      </c>
    </row>
    <row r="345" spans="1:26">
      <c r="A345" s="1" t="s">
        <v>365</v>
      </c>
      <c r="B345" s="1">
        <v>33005036</v>
      </c>
      <c r="C345" s="2">
        <v>0</v>
      </c>
      <c r="E345" s="14">
        <f t="shared" si="29"/>
        <v>1.12555645131623</v>
      </c>
      <c r="F345" s="11">
        <v>1.810080604</v>
      </c>
      <c r="G345" s="15">
        <v>2.03734790123457</v>
      </c>
      <c r="I345" s="14">
        <v>0.012873</v>
      </c>
      <c r="J345" s="13">
        <f t="shared" si="25"/>
        <v>2.56389621688806</v>
      </c>
      <c r="M345" s="14">
        <v>87.048</v>
      </c>
      <c r="N345" s="16">
        <f t="shared" si="26"/>
        <v>0.379159038691297</v>
      </c>
      <c r="Q345" s="14">
        <v>0.0147819</v>
      </c>
      <c r="R345" s="17">
        <v>1.33968039291295</v>
      </c>
      <c r="S345" s="17">
        <f t="shared" si="27"/>
        <v>1.52077160493828</v>
      </c>
      <c r="V345" s="18">
        <v>1.31872</v>
      </c>
      <c r="Y345" s="14">
        <v>38.8438</v>
      </c>
      <c r="Z345" s="19">
        <f t="shared" si="28"/>
        <v>0.849686076027577</v>
      </c>
    </row>
    <row r="346" spans="1:26">
      <c r="A346" s="1" t="s">
        <v>366</v>
      </c>
      <c r="B346" s="1">
        <v>33294908</v>
      </c>
      <c r="C346" s="2">
        <v>0.00499806</v>
      </c>
      <c r="E346" s="14">
        <f t="shared" si="29"/>
        <v>1.94103718272758</v>
      </c>
      <c r="F346" s="11">
        <v>2.870234549</v>
      </c>
      <c r="G346" s="15">
        <v>5.57123198275833</v>
      </c>
      <c r="I346" s="14">
        <v>0.003619</v>
      </c>
      <c r="J346" s="13">
        <f t="shared" si="25"/>
        <v>9.20002984249793</v>
      </c>
      <c r="M346" s="14">
        <v>38.694</v>
      </c>
      <c r="N346" s="16">
        <f t="shared" si="26"/>
        <v>0.860466945779707</v>
      </c>
      <c r="Q346" s="14">
        <v>0.0160789</v>
      </c>
      <c r="R346" s="17">
        <v>1.24243230569255</v>
      </c>
      <c r="S346" s="17">
        <f t="shared" si="27"/>
        <v>4.48413322579603</v>
      </c>
      <c r="V346" s="18">
        <v>2.84442</v>
      </c>
      <c r="Y346" s="14">
        <v>9.4184</v>
      </c>
      <c r="Z346" s="19">
        <f t="shared" si="28"/>
        <v>3.53509173532659</v>
      </c>
    </row>
    <row r="347" spans="1:26">
      <c r="A347" s="1" t="s">
        <v>367</v>
      </c>
      <c r="B347" s="1">
        <v>33294908</v>
      </c>
      <c r="C347" s="2">
        <v>0.00487409</v>
      </c>
      <c r="E347" s="14">
        <f t="shared" si="29"/>
        <v>1.91923084721096</v>
      </c>
      <c r="F347" s="11">
        <v>3.030655438</v>
      </c>
      <c r="G347" s="15">
        <v>5.81652740387723</v>
      </c>
      <c r="I347" s="14">
        <v>0.003708</v>
      </c>
      <c r="J347" s="13">
        <f t="shared" si="25"/>
        <v>8.9792092772384</v>
      </c>
      <c r="M347" s="14">
        <v>30.3</v>
      </c>
      <c r="N347" s="16">
        <f t="shared" si="26"/>
        <v>1.09884184818482</v>
      </c>
      <c r="Q347" s="14">
        <v>0.0161504</v>
      </c>
      <c r="R347" s="17">
        <v>1.23693189023182</v>
      </c>
      <c r="S347" s="17">
        <f t="shared" si="27"/>
        <v>4.70238292812317</v>
      </c>
      <c r="V347" s="18">
        <v>2.64036</v>
      </c>
      <c r="Y347" s="14">
        <v>9.5118</v>
      </c>
      <c r="Z347" s="19">
        <f t="shared" si="28"/>
        <v>3.5003793183204</v>
      </c>
    </row>
    <row r="348" spans="1:26">
      <c r="A348" s="1" t="s">
        <v>368</v>
      </c>
      <c r="B348" s="1">
        <v>33425162</v>
      </c>
      <c r="C348" s="2">
        <v>0.26925</v>
      </c>
      <c r="E348" s="14">
        <f t="shared" si="29"/>
        <v>1.75289950153282</v>
      </c>
      <c r="F348" s="11">
        <v>7.077531902</v>
      </c>
      <c r="G348" s="15">
        <v>12.4062021430984</v>
      </c>
      <c r="I348" s="14">
        <v>0.003188</v>
      </c>
      <c r="J348" s="13">
        <f t="shared" si="25"/>
        <v>10.4846806775408</v>
      </c>
      <c r="M348" s="14">
        <v>53.132</v>
      </c>
      <c r="N348" s="16">
        <f t="shared" si="26"/>
        <v>0.629096627267936</v>
      </c>
      <c r="Q348" s="14">
        <v>0.0134358</v>
      </c>
      <c r="R348" s="17">
        <v>1.49266118876435</v>
      </c>
      <c r="S348" s="17">
        <f t="shared" si="27"/>
        <v>8.3114656135519</v>
      </c>
      <c r="V348" s="18">
        <v>4.16281</v>
      </c>
      <c r="Y348" s="14">
        <v>8.3492</v>
      </c>
      <c r="Z348" s="19">
        <f t="shared" si="28"/>
        <v>4.003396972165</v>
      </c>
    </row>
    <row r="349" spans="1:26">
      <c r="A349" s="1" t="s">
        <v>369</v>
      </c>
      <c r="B349" s="1">
        <v>33527500</v>
      </c>
      <c r="C349" s="2">
        <v>0.0314886</v>
      </c>
      <c r="E349" s="14">
        <f t="shared" si="29"/>
        <v>1.0800193325524</v>
      </c>
      <c r="F349" s="11">
        <v>1.305206619</v>
      </c>
      <c r="G349" s="15">
        <v>1.40964838149536</v>
      </c>
      <c r="I349" s="14">
        <v>0.026251</v>
      </c>
      <c r="J349" s="13">
        <f t="shared" si="25"/>
        <v>1.27718944040227</v>
      </c>
      <c r="M349" s="14">
        <v>534.576</v>
      </c>
      <c r="N349" s="16">
        <f t="shared" si="26"/>
        <v>0.0627179297237437</v>
      </c>
      <c r="Q349" s="14">
        <v>0.0476158</v>
      </c>
      <c r="R349" s="17">
        <v>0.422475312816334</v>
      </c>
      <c r="S349" s="17">
        <f t="shared" si="27"/>
        <v>3.33664083730305</v>
      </c>
      <c r="V349" s="18">
        <v>1.15659</v>
      </c>
      <c r="Y349" s="14">
        <v>49.1325</v>
      </c>
      <c r="Z349" s="19">
        <f t="shared" si="28"/>
        <v>0.682389457080344</v>
      </c>
    </row>
    <row r="350" spans="1:26">
      <c r="A350" s="1" t="s">
        <v>370</v>
      </c>
      <c r="B350" s="1">
        <v>33640560</v>
      </c>
      <c r="C350" s="2">
        <v>1</v>
      </c>
      <c r="E350" s="14">
        <f t="shared" si="29"/>
        <v>3.68013682660918</v>
      </c>
      <c r="F350" s="11">
        <v>9.881348201</v>
      </c>
      <c r="G350" s="15">
        <v>36.3647134110485</v>
      </c>
      <c r="I350" s="14">
        <v>0.002029</v>
      </c>
      <c r="J350" s="13">
        <f t="shared" si="25"/>
        <v>16.5798718580582</v>
      </c>
      <c r="M350" s="14">
        <v>12.238</v>
      </c>
      <c r="N350" s="16">
        <f t="shared" si="26"/>
        <v>2.74886092498774</v>
      </c>
      <c r="Q350" s="14">
        <v>0.00758809</v>
      </c>
      <c r="R350" s="17">
        <v>2.66000218763879</v>
      </c>
      <c r="S350" s="17">
        <f t="shared" si="27"/>
        <v>13.6709336481142</v>
      </c>
      <c r="V350" s="18">
        <v>6.89798</v>
      </c>
      <c r="Y350" s="14">
        <v>4.2872</v>
      </c>
      <c r="Z350" s="19">
        <f t="shared" si="28"/>
        <v>7.84674379548423</v>
      </c>
    </row>
    <row r="351" spans="1:26">
      <c r="A351" s="1" t="s">
        <v>371</v>
      </c>
      <c r="B351" s="1">
        <v>33640560</v>
      </c>
      <c r="C351" s="2">
        <v>1</v>
      </c>
      <c r="E351" s="14">
        <f t="shared" si="29"/>
        <v>4.6041242776199</v>
      </c>
      <c r="F351" s="11">
        <v>7.788496292</v>
      </c>
      <c r="G351" s="15">
        <v>35.8592048641498</v>
      </c>
      <c r="I351" s="14">
        <v>0.001927</v>
      </c>
      <c r="J351" s="13">
        <f t="shared" si="25"/>
        <v>17.4574779449922</v>
      </c>
      <c r="M351" s="14">
        <v>12.825</v>
      </c>
      <c r="N351" s="16">
        <f t="shared" si="26"/>
        <v>2.62304561403509</v>
      </c>
      <c r="Q351" s="14">
        <v>0.00779815</v>
      </c>
      <c r="R351" s="17">
        <v>2.58834928797215</v>
      </c>
      <c r="S351" s="17">
        <f t="shared" si="27"/>
        <v>13.8540826119506</v>
      </c>
      <c r="V351" s="18">
        <v>6.98104</v>
      </c>
      <c r="Y351" s="14">
        <v>4.1873</v>
      </c>
      <c r="Z351" s="19">
        <f t="shared" si="28"/>
        <v>8.03395027822224</v>
      </c>
    </row>
    <row r="352" spans="1:26">
      <c r="A352" s="1" t="s">
        <v>372</v>
      </c>
      <c r="B352" s="1">
        <v>33640560</v>
      </c>
      <c r="C352" s="2">
        <v>1</v>
      </c>
      <c r="E352" s="14">
        <f t="shared" si="29"/>
        <v>3.59247933180607</v>
      </c>
      <c r="F352" s="11">
        <v>9.840687904</v>
      </c>
      <c r="G352" s="15">
        <v>35.352467905874</v>
      </c>
      <c r="I352" s="14">
        <v>0.002053</v>
      </c>
      <c r="J352" s="13">
        <f t="shared" si="25"/>
        <v>16.3860496833902</v>
      </c>
      <c r="M352" s="14">
        <v>13.076</v>
      </c>
      <c r="N352" s="16">
        <f t="shared" si="26"/>
        <v>2.57269501376568</v>
      </c>
      <c r="Q352" s="14">
        <v>0.0079756</v>
      </c>
      <c r="R352" s="17">
        <v>2.53076082050253</v>
      </c>
      <c r="S352" s="17">
        <f t="shared" si="27"/>
        <v>13.9691066889735</v>
      </c>
      <c r="V352" s="18">
        <v>7.01238</v>
      </c>
      <c r="Y352" s="14">
        <v>4.3455</v>
      </c>
      <c r="Z352" s="19">
        <f t="shared" si="28"/>
        <v>7.74147048671039</v>
      </c>
    </row>
    <row r="353" spans="1:26">
      <c r="A353" s="1" t="s">
        <v>373</v>
      </c>
      <c r="B353" s="1">
        <v>33640560</v>
      </c>
      <c r="C353" s="2">
        <v>1</v>
      </c>
      <c r="E353" s="14">
        <f t="shared" si="29"/>
        <v>4.24096399923513</v>
      </c>
      <c r="F353" s="11">
        <v>7.840168883</v>
      </c>
      <c r="G353" s="15">
        <v>33.2498739807265</v>
      </c>
      <c r="I353" s="14">
        <v>0.00216</v>
      </c>
      <c r="J353" s="13">
        <f t="shared" si="25"/>
        <v>15.5743333333333</v>
      </c>
      <c r="M353" s="14">
        <v>13.351</v>
      </c>
      <c r="N353" s="16">
        <f t="shared" si="26"/>
        <v>2.51970339300427</v>
      </c>
      <c r="Q353" s="14">
        <v>0.0101307</v>
      </c>
      <c r="R353" s="17">
        <v>1.99239302318695</v>
      </c>
      <c r="S353" s="17">
        <f t="shared" si="27"/>
        <v>16.688411168767</v>
      </c>
      <c r="V353" s="18">
        <v>6.90527</v>
      </c>
      <c r="Y353" s="14">
        <v>4.2954</v>
      </c>
      <c r="Z353" s="19">
        <f t="shared" si="28"/>
        <v>7.83176421287889</v>
      </c>
    </row>
    <row r="354" spans="1:26">
      <c r="A354" s="1" t="s">
        <v>374</v>
      </c>
      <c r="B354" s="1">
        <v>33640560</v>
      </c>
      <c r="C354" s="2">
        <v>1</v>
      </c>
      <c r="E354" s="14">
        <f t="shared" si="29"/>
        <v>3.86180056634248</v>
      </c>
      <c r="F354" s="11">
        <v>9.856223263</v>
      </c>
      <c r="G354" s="15">
        <v>38.0627685790513</v>
      </c>
      <c r="I354" s="14">
        <v>0.001961</v>
      </c>
      <c r="J354" s="13">
        <f t="shared" si="25"/>
        <v>17.1547985721571</v>
      </c>
      <c r="M354" s="14">
        <v>12.889</v>
      </c>
      <c r="N354" s="16">
        <f t="shared" si="26"/>
        <v>2.61002094809528</v>
      </c>
      <c r="Q354" s="14">
        <v>0.0106349</v>
      </c>
      <c r="R354" s="17">
        <v>1.89793378405063</v>
      </c>
      <c r="S354" s="17">
        <f t="shared" si="27"/>
        <v>20.0548453791768</v>
      </c>
      <c r="V354" s="18">
        <v>6.83153</v>
      </c>
      <c r="Y354" s="14">
        <v>4.5205</v>
      </c>
      <c r="Z354" s="19">
        <f t="shared" si="28"/>
        <v>7.44177856431811</v>
      </c>
    </row>
    <row r="355" spans="1:26">
      <c r="A355" s="1" t="s">
        <v>375</v>
      </c>
      <c r="B355" s="1">
        <v>33641008</v>
      </c>
      <c r="C355" s="2">
        <v>1</v>
      </c>
      <c r="E355" s="14">
        <f t="shared" si="29"/>
        <v>3.67040998180575</v>
      </c>
      <c r="F355" s="11">
        <v>10.060649869</v>
      </c>
      <c r="G355" s="15">
        <v>36.9267097026303</v>
      </c>
      <c r="I355" s="14">
        <v>0.002056</v>
      </c>
      <c r="J355" s="13">
        <f t="shared" si="25"/>
        <v>16.3623579766537</v>
      </c>
      <c r="M355" s="14">
        <v>13.815</v>
      </c>
      <c r="N355" s="16">
        <f t="shared" si="26"/>
        <v>2.4351073470865</v>
      </c>
      <c r="Q355" s="14">
        <v>0.00722032</v>
      </c>
      <c r="R355" s="17">
        <v>2.79552773284287</v>
      </c>
      <c r="S355" s="17">
        <f t="shared" si="27"/>
        <v>13.2092088619984</v>
      </c>
      <c r="V355" s="18">
        <v>5.59875</v>
      </c>
      <c r="Y355" s="14">
        <v>4.8695</v>
      </c>
      <c r="Z355" s="19">
        <f t="shared" si="28"/>
        <v>6.90851381045282</v>
      </c>
    </row>
    <row r="356" spans="1:26">
      <c r="A356" s="1" t="s">
        <v>376</v>
      </c>
      <c r="B356" s="1">
        <v>33641596</v>
      </c>
      <c r="C356" s="2">
        <v>1</v>
      </c>
      <c r="E356" s="14">
        <f t="shared" si="29"/>
        <v>3.72919789650194</v>
      </c>
      <c r="F356" s="11">
        <v>10.036708989</v>
      </c>
      <c r="G356" s="15">
        <v>37.4288740495809</v>
      </c>
      <c r="I356" s="14">
        <v>0.001959</v>
      </c>
      <c r="J356" s="13">
        <f t="shared" si="25"/>
        <v>17.1728412455334</v>
      </c>
      <c r="M356" s="14">
        <v>14.143</v>
      </c>
      <c r="N356" s="16">
        <f t="shared" si="26"/>
        <v>2.37867468005374</v>
      </c>
      <c r="Q356" s="14">
        <v>0.0068884</v>
      </c>
      <c r="R356" s="17">
        <v>2.930282445851</v>
      </c>
      <c r="S356" s="17">
        <f t="shared" si="27"/>
        <v>12.7731284411087</v>
      </c>
      <c r="V356" s="18">
        <v>6.82452</v>
      </c>
      <c r="Y356" s="14">
        <v>4.5639</v>
      </c>
      <c r="Z356" s="19">
        <f t="shared" si="28"/>
        <v>7.37123863362475</v>
      </c>
    </row>
    <row r="357" spans="1:26">
      <c r="A357" s="1" t="s">
        <v>377</v>
      </c>
      <c r="B357" s="1">
        <v>33771140</v>
      </c>
      <c r="C357" s="2">
        <v>1</v>
      </c>
      <c r="E357" s="14">
        <f t="shared" si="29"/>
        <v>3.7910277329144</v>
      </c>
      <c r="F357" s="11">
        <v>7.674235135</v>
      </c>
      <c r="G357" s="15">
        <v>29.0932382256911</v>
      </c>
      <c r="I357" s="14">
        <v>0.001994</v>
      </c>
      <c r="J357" s="13">
        <f t="shared" si="25"/>
        <v>16.9363791374122</v>
      </c>
      <c r="M357" s="14">
        <v>14.584</v>
      </c>
      <c r="N357" s="16">
        <f t="shared" si="26"/>
        <v>2.31562945693911</v>
      </c>
      <c r="Q357" s="14">
        <v>0.00666709</v>
      </c>
      <c r="R357" s="17">
        <v>3.03920961018975</v>
      </c>
      <c r="S357" s="17">
        <f t="shared" si="27"/>
        <v>9.57263300568291</v>
      </c>
      <c r="V357" s="18">
        <v>6.86481</v>
      </c>
      <c r="Y357" s="14">
        <v>4.6049</v>
      </c>
      <c r="Z357" s="19">
        <f t="shared" si="28"/>
        <v>7.33374014636583</v>
      </c>
    </row>
    <row r="358" spans="1:26">
      <c r="A358" s="1" t="s">
        <v>378</v>
      </c>
      <c r="B358" s="1">
        <v>34857344</v>
      </c>
      <c r="C358" s="2">
        <v>1</v>
      </c>
      <c r="E358" s="14">
        <f t="shared" si="29"/>
        <v>2.41230972068115</v>
      </c>
      <c r="F358" s="11">
        <v>10.961418017</v>
      </c>
      <c r="G358" s="15">
        <v>26.4423352348586</v>
      </c>
      <c r="I358" s="14">
        <v>0.00208</v>
      </c>
      <c r="J358" s="13">
        <f t="shared" si="25"/>
        <v>16.7583384615385</v>
      </c>
      <c r="M358" s="14">
        <v>12.445</v>
      </c>
      <c r="N358" s="16">
        <f t="shared" si="26"/>
        <v>2.80091153073523</v>
      </c>
      <c r="Q358" s="14">
        <v>0.00715872</v>
      </c>
      <c r="R358" s="17">
        <v>2.92152876491887</v>
      </c>
      <c r="S358" s="17">
        <f t="shared" si="27"/>
        <v>9.0508556863697</v>
      </c>
      <c r="V358" s="18">
        <v>6.9821</v>
      </c>
      <c r="Y358" s="14">
        <v>4.8886</v>
      </c>
      <c r="Z358" s="19">
        <f t="shared" si="28"/>
        <v>7.13033261056335</v>
      </c>
    </row>
    <row r="359" spans="1:26">
      <c r="A359" s="1" t="s">
        <v>379</v>
      </c>
      <c r="B359" s="1">
        <v>35346376</v>
      </c>
      <c r="C359" s="2">
        <v>0</v>
      </c>
      <c r="E359" s="14">
        <f t="shared" si="29"/>
        <v>1.35677556539448</v>
      </c>
      <c r="F359" s="11">
        <v>3.293079391</v>
      </c>
      <c r="G359" s="15">
        <v>4.46796965261292</v>
      </c>
      <c r="I359" s="14">
        <v>0.010727</v>
      </c>
      <c r="J359" s="13">
        <f t="shared" si="25"/>
        <v>3.29508492588795</v>
      </c>
      <c r="M359" s="14">
        <v>75.684</v>
      </c>
      <c r="N359" s="16">
        <f t="shared" si="26"/>
        <v>0.467025738597326</v>
      </c>
      <c r="Q359" s="14">
        <v>0.0168202</v>
      </c>
      <c r="R359" s="17">
        <v>1.26085454394121</v>
      </c>
      <c r="S359" s="17">
        <f t="shared" si="27"/>
        <v>3.54360435474724</v>
      </c>
      <c r="V359" s="18">
        <v>2.63436</v>
      </c>
      <c r="Y359" s="14">
        <v>29.0591</v>
      </c>
      <c r="Z359" s="19">
        <f t="shared" si="28"/>
        <v>1.21636169048594</v>
      </c>
    </row>
    <row r="360" spans="1:26">
      <c r="A360" s="1" t="s">
        <v>380</v>
      </c>
      <c r="B360" s="1">
        <v>35555734</v>
      </c>
      <c r="C360" s="2">
        <v>0</v>
      </c>
      <c r="E360" s="14">
        <f t="shared" si="29"/>
        <v>2.93469515099843</v>
      </c>
      <c r="F360" s="11">
        <v>2.668409874</v>
      </c>
      <c r="G360" s="15">
        <v>7.83096951810413</v>
      </c>
      <c r="I360" s="14">
        <v>0.003565</v>
      </c>
      <c r="J360" s="13">
        <f t="shared" si="25"/>
        <v>9.97355792426367</v>
      </c>
      <c r="M360" s="14">
        <v>11.746</v>
      </c>
      <c r="N360" s="16">
        <f t="shared" si="26"/>
        <v>3.02705040013622</v>
      </c>
      <c r="Q360" s="14">
        <v>0.0140557</v>
      </c>
      <c r="R360" s="17">
        <v>1.51777858093158</v>
      </c>
      <c r="S360" s="17">
        <f t="shared" si="27"/>
        <v>5.15949402402137</v>
      </c>
      <c r="V360" s="18">
        <v>1.16742</v>
      </c>
      <c r="Y360" s="14">
        <v>9.9339</v>
      </c>
      <c r="Z360" s="19">
        <f t="shared" si="28"/>
        <v>3.5792321243419</v>
      </c>
    </row>
    <row r="361" spans="1:26">
      <c r="A361" s="1" t="s">
        <v>381</v>
      </c>
      <c r="B361" s="1">
        <v>35562618</v>
      </c>
      <c r="C361" s="2">
        <v>0.0105084</v>
      </c>
      <c r="E361" s="14">
        <f t="shared" si="29"/>
        <v>1.13480313061118</v>
      </c>
      <c r="F361" s="11">
        <v>6.597391788</v>
      </c>
      <c r="G361" s="15">
        <v>7.48674085489086</v>
      </c>
      <c r="I361" s="14">
        <v>0.006397</v>
      </c>
      <c r="J361" s="13">
        <f t="shared" si="25"/>
        <v>5.55926496795373</v>
      </c>
      <c r="M361" s="14">
        <v>80.301</v>
      </c>
      <c r="N361" s="16">
        <f t="shared" si="26"/>
        <v>0.442866440019427</v>
      </c>
      <c r="Q361" s="14">
        <v>0.00169079</v>
      </c>
      <c r="R361" s="17">
        <v>12.6198823035386</v>
      </c>
      <c r="S361" s="17">
        <f t="shared" si="27"/>
        <v>0.593249657549626</v>
      </c>
      <c r="V361" s="18">
        <v>2.77272</v>
      </c>
      <c r="Y361" s="14">
        <v>7.5209</v>
      </c>
      <c r="Z361" s="19">
        <f t="shared" si="28"/>
        <v>4.72850563097502</v>
      </c>
    </row>
    <row r="362" spans="1:26">
      <c r="A362" s="1" t="s">
        <v>382</v>
      </c>
      <c r="B362" s="1">
        <v>36031146</v>
      </c>
      <c r="C362" s="2">
        <v>0</v>
      </c>
      <c r="E362" s="14">
        <f t="shared" si="29"/>
        <v>0.970465406382405</v>
      </c>
      <c r="F362" s="11">
        <v>6.137428312</v>
      </c>
      <c r="G362" s="15">
        <v>5.95616186094796</v>
      </c>
      <c r="I362" s="14">
        <v>0.00245</v>
      </c>
      <c r="J362" s="13">
        <f t="shared" si="25"/>
        <v>14.7065902040816</v>
      </c>
      <c r="M362" s="14">
        <v>112.617</v>
      </c>
      <c r="N362" s="16">
        <f t="shared" si="26"/>
        <v>0.319944111457418</v>
      </c>
      <c r="Q362" s="14">
        <v>0.0131311</v>
      </c>
      <c r="R362" s="17">
        <v>1.64637293143758</v>
      </c>
      <c r="S362" s="17">
        <f t="shared" si="27"/>
        <v>3.61774768475278</v>
      </c>
      <c r="V362" s="18">
        <v>5.30884</v>
      </c>
      <c r="Y362" s="14">
        <v>6.2611</v>
      </c>
      <c r="Z362" s="19">
        <f t="shared" si="28"/>
        <v>5.75476290108767</v>
      </c>
    </row>
    <row r="363" spans="1:26">
      <c r="A363" s="1" t="s">
        <v>383</v>
      </c>
      <c r="B363" s="1">
        <v>36031146</v>
      </c>
      <c r="C363" s="2">
        <v>0</v>
      </c>
      <c r="E363" s="14">
        <f t="shared" si="29"/>
        <v>0.983790521936304</v>
      </c>
      <c r="F363" s="11">
        <v>5.786660379</v>
      </c>
      <c r="G363" s="15">
        <v>5.69286163452454</v>
      </c>
      <c r="I363" s="14">
        <v>0.002512</v>
      </c>
      <c r="J363" s="13">
        <f t="shared" si="25"/>
        <v>14.3436090764331</v>
      </c>
      <c r="M363" s="14">
        <v>112.804</v>
      </c>
      <c r="N363" s="16">
        <f t="shared" si="26"/>
        <v>0.319413726463601</v>
      </c>
      <c r="Q363" s="14">
        <v>0.0133756</v>
      </c>
      <c r="R363" s="17">
        <v>1.61627796883878</v>
      </c>
      <c r="S363" s="17">
        <f t="shared" si="27"/>
        <v>3.52220456151772</v>
      </c>
      <c r="V363" s="18">
        <v>5.59749</v>
      </c>
      <c r="Y363" s="14">
        <v>6.371</v>
      </c>
      <c r="Z363" s="19">
        <f t="shared" si="28"/>
        <v>5.65549301522524</v>
      </c>
    </row>
    <row r="364" spans="1:26">
      <c r="A364" s="1" t="s">
        <v>384</v>
      </c>
      <c r="B364" s="1">
        <v>36033704</v>
      </c>
      <c r="C364" s="2">
        <v>1</v>
      </c>
      <c r="E364" s="14">
        <f t="shared" si="29"/>
        <v>2.9185598814785</v>
      </c>
      <c r="F364" s="11">
        <v>11.619702529</v>
      </c>
      <c r="G364" s="15">
        <v>33.9127976358537</v>
      </c>
      <c r="I364" s="14">
        <v>0.002206</v>
      </c>
      <c r="J364" s="13">
        <f t="shared" si="25"/>
        <v>16.3344079782412</v>
      </c>
      <c r="M364" s="14">
        <v>14.371</v>
      </c>
      <c r="N364" s="16">
        <f t="shared" si="26"/>
        <v>2.50739016074038</v>
      </c>
      <c r="Q364" s="14">
        <v>0.00781277</v>
      </c>
      <c r="R364" s="17">
        <v>2.76729282955981</v>
      </c>
      <c r="S364" s="17">
        <f t="shared" si="27"/>
        <v>12.2548641306053</v>
      </c>
      <c r="V364" s="18">
        <v>6.94426</v>
      </c>
      <c r="Y364" s="14">
        <v>4.9524</v>
      </c>
      <c r="Z364" s="19">
        <f t="shared" si="28"/>
        <v>7.27600839996769</v>
      </c>
    </row>
    <row r="365" spans="1:26">
      <c r="A365" s="1" t="s">
        <v>385</v>
      </c>
      <c r="B365" s="1">
        <v>36962802</v>
      </c>
      <c r="C365" s="2">
        <v>0</v>
      </c>
      <c r="E365" s="14">
        <f t="shared" si="29"/>
        <v>1.27707389989044</v>
      </c>
      <c r="F365" s="11">
        <v>3.325851306</v>
      </c>
      <c r="G365" s="15">
        <v>4.24735789780915</v>
      </c>
      <c r="I365" s="14">
        <v>0.006285</v>
      </c>
      <c r="J365" s="13">
        <f t="shared" si="25"/>
        <v>5.88111408114558</v>
      </c>
      <c r="M365" s="14">
        <v>72.509</v>
      </c>
      <c r="N365" s="16">
        <f t="shared" si="26"/>
        <v>0.509768470120951</v>
      </c>
      <c r="Q365" s="14">
        <v>0.0158373</v>
      </c>
      <c r="R365" s="17">
        <v>1.40034483150537</v>
      </c>
      <c r="S365" s="17">
        <f t="shared" si="27"/>
        <v>3.03307999733412</v>
      </c>
      <c r="V365" s="18">
        <v>2.01877</v>
      </c>
      <c r="Y365" s="14">
        <v>21.2803</v>
      </c>
      <c r="Z365" s="19">
        <f t="shared" si="28"/>
        <v>1.73694929112841</v>
      </c>
    </row>
    <row r="366" spans="1:26">
      <c r="A366" s="1" t="s">
        <v>386</v>
      </c>
      <c r="B366" s="1">
        <v>37457212</v>
      </c>
      <c r="C366" s="2">
        <v>1</v>
      </c>
      <c r="E366" s="14">
        <f t="shared" si="29"/>
        <v>4.55418572436745</v>
      </c>
      <c r="F366" s="11">
        <v>6.979149395</v>
      </c>
      <c r="G366" s="15">
        <v>31.7843425429367</v>
      </c>
      <c r="I366" s="14">
        <v>0.002316</v>
      </c>
      <c r="J366" s="13">
        <f t="shared" si="25"/>
        <v>16.1732348877375</v>
      </c>
      <c r="M366" s="14">
        <v>19.958</v>
      </c>
      <c r="N366" s="16">
        <f t="shared" si="26"/>
        <v>1.87680188395631</v>
      </c>
      <c r="Q366" s="14">
        <v>0.00915948</v>
      </c>
      <c r="R366" s="17">
        <v>2.45366846152838</v>
      </c>
      <c r="S366" s="17">
        <f t="shared" si="27"/>
        <v>12.9538049012287</v>
      </c>
      <c r="V366" s="18">
        <v>6.95128</v>
      </c>
      <c r="Y366" s="14">
        <v>4.5811</v>
      </c>
      <c r="Z366" s="19">
        <f t="shared" si="28"/>
        <v>8.17646678745279</v>
      </c>
    </row>
    <row r="367" spans="1:26">
      <c r="A367" s="1" t="s">
        <v>387</v>
      </c>
      <c r="B367" s="1">
        <v>38110342</v>
      </c>
      <c r="C367" s="2">
        <v>0.038976</v>
      </c>
      <c r="E367" s="14">
        <f t="shared" si="29"/>
        <v>1.21084411724306</v>
      </c>
      <c r="F367" s="11">
        <v>3.621907314</v>
      </c>
      <c r="G367" s="15">
        <v>4.38556516435653</v>
      </c>
      <c r="I367" s="14">
        <v>0.007078</v>
      </c>
      <c r="J367" s="13">
        <f t="shared" si="25"/>
        <v>5.38433766600735</v>
      </c>
      <c r="M367" s="14">
        <v>90.803</v>
      </c>
      <c r="N367" s="16">
        <f t="shared" si="26"/>
        <v>0.41970355604991</v>
      </c>
      <c r="Q367" s="14">
        <v>0.00185352</v>
      </c>
      <c r="R367" s="17">
        <v>12.3366379645216</v>
      </c>
      <c r="S367" s="17">
        <f t="shared" si="27"/>
        <v>0.355491113297544</v>
      </c>
      <c r="V367" s="18">
        <v>3.12518</v>
      </c>
      <c r="Y367" s="14">
        <v>13.8176</v>
      </c>
      <c r="Z367" s="19">
        <f t="shared" si="28"/>
        <v>2.75810140690134</v>
      </c>
    </row>
    <row r="368" spans="1:26">
      <c r="A368" s="1" t="s">
        <v>388</v>
      </c>
      <c r="B368" s="1">
        <v>38173744</v>
      </c>
      <c r="C368" s="2">
        <v>0.00241607</v>
      </c>
      <c r="E368" s="14">
        <f t="shared" si="29"/>
        <v>1.71111147467975</v>
      </c>
      <c r="F368" s="11">
        <v>4.241171627</v>
      </c>
      <c r="G368" s="15">
        <v>7.25711743704588</v>
      </c>
      <c r="I368" s="14">
        <v>0.003668</v>
      </c>
      <c r="J368" s="13">
        <f t="shared" si="25"/>
        <v>10.4072366412214</v>
      </c>
      <c r="M368" s="14">
        <v>59.925</v>
      </c>
      <c r="N368" s="16">
        <f t="shared" si="26"/>
        <v>0.637025348352107</v>
      </c>
      <c r="Q368" s="14">
        <v>0.0191592</v>
      </c>
      <c r="R368" s="17">
        <v>1.19546987348115</v>
      </c>
      <c r="S368" s="17">
        <f t="shared" si="27"/>
        <v>6.07051469721567</v>
      </c>
      <c r="V368" s="18">
        <v>1.76289</v>
      </c>
      <c r="Y368" s="14">
        <v>9.4814</v>
      </c>
      <c r="Z368" s="19">
        <f t="shared" si="28"/>
        <v>4.02617166241272</v>
      </c>
    </row>
    <row r="369" spans="1:26">
      <c r="A369" s="1" t="s">
        <v>389</v>
      </c>
      <c r="B369" s="1">
        <v>38178920</v>
      </c>
      <c r="C369" s="2">
        <v>0.641466</v>
      </c>
      <c r="E369" s="14">
        <f t="shared" si="29"/>
        <v>2.02711080172399</v>
      </c>
      <c r="F369" s="11">
        <v>11.198808106</v>
      </c>
      <c r="G369" s="15">
        <v>22.7012248781068</v>
      </c>
      <c r="I369" s="14">
        <v>0.002574</v>
      </c>
      <c r="J369" s="13">
        <f t="shared" si="25"/>
        <v>14.8325252525253</v>
      </c>
      <c r="M369" s="14">
        <v>35.897</v>
      </c>
      <c r="N369" s="16">
        <f t="shared" si="26"/>
        <v>1.06356854333231</v>
      </c>
      <c r="Q369" s="14">
        <v>0.0095044</v>
      </c>
      <c r="R369" s="17">
        <v>2.4101839148184</v>
      </c>
      <c r="S369" s="17">
        <f t="shared" si="27"/>
        <v>9.41887660046776</v>
      </c>
      <c r="V369" s="18">
        <v>5.43957</v>
      </c>
      <c r="Y369" s="14">
        <v>5.7503</v>
      </c>
      <c r="Z369" s="19">
        <f t="shared" si="28"/>
        <v>6.63946576700346</v>
      </c>
    </row>
    <row r="370" spans="1:26">
      <c r="A370" s="1" t="s">
        <v>390</v>
      </c>
      <c r="B370" s="1">
        <v>38247776</v>
      </c>
      <c r="C370" s="2">
        <v>0.549592</v>
      </c>
      <c r="E370" s="14">
        <f t="shared" si="29"/>
        <v>2.78369890760916</v>
      </c>
      <c r="F370" s="11">
        <v>8.751591585</v>
      </c>
      <c r="G370" s="15">
        <v>24.361795935006</v>
      </c>
      <c r="I370" s="14">
        <v>0.002446</v>
      </c>
      <c r="J370" s="13">
        <f t="shared" si="25"/>
        <v>15.6368667211774</v>
      </c>
      <c r="M370" s="14">
        <v>31.011</v>
      </c>
      <c r="N370" s="16">
        <f t="shared" si="26"/>
        <v>1.23336158137435</v>
      </c>
      <c r="Q370" s="14">
        <v>0.00876313</v>
      </c>
      <c r="R370" s="17">
        <v>2.61877498108553</v>
      </c>
      <c r="S370" s="17">
        <f t="shared" si="27"/>
        <v>9.30274502809997</v>
      </c>
      <c r="V370" s="18">
        <v>5.09682</v>
      </c>
      <c r="Y370" s="14">
        <v>5.4075</v>
      </c>
      <c r="Z370" s="19">
        <f t="shared" si="28"/>
        <v>7.07309773462783</v>
      </c>
    </row>
    <row r="371" spans="1:26">
      <c r="A371" s="1" t="s">
        <v>391</v>
      </c>
      <c r="B371" s="1">
        <v>38301936</v>
      </c>
      <c r="C371" s="2">
        <v>0</v>
      </c>
      <c r="E371" s="14">
        <f t="shared" si="29"/>
        <v>1.09292684307232</v>
      </c>
      <c r="F371" s="11">
        <v>1.877855368</v>
      </c>
      <c r="G371" s="15">
        <v>2.05235853909465</v>
      </c>
      <c r="I371" s="14">
        <v>0.018486</v>
      </c>
      <c r="J371" s="13">
        <f t="shared" si="25"/>
        <v>2.07194287568971</v>
      </c>
      <c r="M371" s="14">
        <v>106.324</v>
      </c>
      <c r="N371" s="16">
        <f t="shared" si="26"/>
        <v>0.360237914299688</v>
      </c>
      <c r="Q371" s="14">
        <v>0.0154523</v>
      </c>
      <c r="R371" s="17">
        <v>1.48723242494645</v>
      </c>
      <c r="S371" s="17">
        <f t="shared" si="27"/>
        <v>1.37998506801554</v>
      </c>
      <c r="V371" s="18">
        <v>1.45961</v>
      </c>
      <c r="Y371" s="14">
        <v>31.4586</v>
      </c>
      <c r="Z371" s="19">
        <f t="shared" si="28"/>
        <v>1.21753466460682</v>
      </c>
    </row>
    <row r="372" spans="1:26">
      <c r="A372" s="1" t="s">
        <v>392</v>
      </c>
      <c r="B372" s="1">
        <v>38356128</v>
      </c>
      <c r="C372" s="2">
        <v>0</v>
      </c>
      <c r="E372" s="14">
        <f t="shared" si="29"/>
        <v>1.20242691708532</v>
      </c>
      <c r="F372" s="11">
        <v>3.302586833</v>
      </c>
      <c r="G372" s="15">
        <v>3.97111930401076</v>
      </c>
      <c r="I372" s="14">
        <v>0.011168</v>
      </c>
      <c r="J372" s="13">
        <f t="shared" si="25"/>
        <v>3.4344670487106</v>
      </c>
      <c r="M372" s="14">
        <v>65.375</v>
      </c>
      <c r="N372" s="16">
        <f t="shared" si="26"/>
        <v>0.586709414913958</v>
      </c>
      <c r="Q372" s="14">
        <v>0.0212652</v>
      </c>
      <c r="R372" s="17">
        <v>1.08222244794312</v>
      </c>
      <c r="S372" s="17">
        <f t="shared" si="27"/>
        <v>3.6694113225597</v>
      </c>
      <c r="V372" s="18">
        <v>1.66174</v>
      </c>
      <c r="Y372" s="14">
        <v>37.9093</v>
      </c>
      <c r="Z372" s="19">
        <f t="shared" si="28"/>
        <v>1.01178676472528</v>
      </c>
    </row>
    <row r="373" spans="1:26">
      <c r="A373" s="1" t="s">
        <v>393</v>
      </c>
      <c r="B373" s="1">
        <v>38356128</v>
      </c>
      <c r="C373" s="2">
        <v>0</v>
      </c>
      <c r="E373" s="14">
        <f t="shared" si="29"/>
        <v>1.22201456921714</v>
      </c>
      <c r="F373" s="11">
        <v>3.271731641</v>
      </c>
      <c r="G373" s="15">
        <v>3.99810373187069</v>
      </c>
      <c r="I373" s="14">
        <v>0.011194</v>
      </c>
      <c r="J373" s="13">
        <f t="shared" si="25"/>
        <v>3.42648990530641</v>
      </c>
      <c r="M373" s="14">
        <v>65.65</v>
      </c>
      <c r="N373" s="16">
        <f t="shared" si="26"/>
        <v>0.584251759329779</v>
      </c>
      <c r="Q373" s="14">
        <v>0.0230647</v>
      </c>
      <c r="R373" s="17">
        <v>0.997787822950223</v>
      </c>
      <c r="S373" s="17">
        <f t="shared" si="27"/>
        <v>4.00696785419694</v>
      </c>
      <c r="V373" s="18">
        <v>1.72365</v>
      </c>
      <c r="Y373" s="14">
        <v>35.4241</v>
      </c>
      <c r="Z373" s="19">
        <f t="shared" si="28"/>
        <v>1.0827693011255</v>
      </c>
    </row>
    <row r="374" spans="1:26">
      <c r="A374" s="1" t="s">
        <v>394</v>
      </c>
      <c r="B374" s="1">
        <v>38440814</v>
      </c>
      <c r="C374" s="2">
        <v>0.054763</v>
      </c>
      <c r="E374" s="14">
        <f t="shared" si="29"/>
        <v>0.889621341158134</v>
      </c>
      <c r="F374" s="11">
        <v>5.407128458</v>
      </c>
      <c r="G374" s="15">
        <v>4.81029687062027</v>
      </c>
      <c r="I374" s="14">
        <v>0.006181</v>
      </c>
      <c r="J374" s="13">
        <f t="shared" si="25"/>
        <v>6.21919009868953</v>
      </c>
      <c r="M374" s="14">
        <v>98.59</v>
      </c>
      <c r="N374" s="16">
        <f t="shared" si="26"/>
        <v>0.389905811948473</v>
      </c>
      <c r="Q374" s="14">
        <v>0.0274914</v>
      </c>
      <c r="R374" s="17">
        <v>0.838971038215587</v>
      </c>
      <c r="S374" s="17">
        <f t="shared" si="27"/>
        <v>5.73356725263285</v>
      </c>
      <c r="V374" s="18">
        <v>2.43729</v>
      </c>
      <c r="Y374" s="14">
        <v>18.0975</v>
      </c>
      <c r="Z374" s="19">
        <f t="shared" si="28"/>
        <v>2.12409526177649</v>
      </c>
    </row>
    <row r="375" spans="1:26">
      <c r="A375" s="1" t="s">
        <v>395</v>
      </c>
      <c r="B375" s="1">
        <v>38440814</v>
      </c>
      <c r="C375" s="2">
        <v>0.054763</v>
      </c>
      <c r="E375" s="14">
        <f t="shared" si="29"/>
        <v>1.05457078784903</v>
      </c>
      <c r="F375" s="11">
        <v>4.531241848</v>
      </c>
      <c r="G375" s="15">
        <v>4.77851528557985</v>
      </c>
      <c r="I375" s="14">
        <v>0.0062</v>
      </c>
      <c r="J375" s="13">
        <f t="shared" si="25"/>
        <v>6.20013129032258</v>
      </c>
      <c r="M375" s="14">
        <v>96.914</v>
      </c>
      <c r="N375" s="16">
        <f t="shared" si="26"/>
        <v>0.396648719483253</v>
      </c>
      <c r="Q375" s="14">
        <v>0.0301483</v>
      </c>
      <c r="R375" s="17">
        <v>0.765034459654442</v>
      </c>
      <c r="S375" s="17">
        <f t="shared" si="27"/>
        <v>6.24614385048519</v>
      </c>
      <c r="V375" s="18">
        <v>2.47392</v>
      </c>
      <c r="Y375" s="14">
        <v>18.2065</v>
      </c>
      <c r="Z375" s="19">
        <f t="shared" si="28"/>
        <v>2.11137857358636</v>
      </c>
    </row>
    <row r="376" spans="1:26">
      <c r="A376" s="1" t="s">
        <v>396</v>
      </c>
      <c r="B376" s="1">
        <v>38700932</v>
      </c>
      <c r="C376" s="2">
        <v>0.591558</v>
      </c>
      <c r="E376" s="14">
        <f t="shared" si="29"/>
        <v>2.29682702161943</v>
      </c>
      <c r="F376" s="11">
        <v>7.824967528</v>
      </c>
      <c r="G376" s="15">
        <v>17.972596861605</v>
      </c>
      <c r="I376" s="14">
        <v>0.002649</v>
      </c>
      <c r="J376" s="13">
        <f t="shared" si="25"/>
        <v>14.6096383540959</v>
      </c>
      <c r="M376" s="14">
        <v>44.65</v>
      </c>
      <c r="N376" s="16">
        <f t="shared" si="26"/>
        <v>0.866762194848824</v>
      </c>
      <c r="Q376" s="14">
        <v>0.00873407</v>
      </c>
      <c r="R376" s="17">
        <v>2.65861839898238</v>
      </c>
      <c r="S376" s="17">
        <f t="shared" si="27"/>
        <v>6.76012656366338</v>
      </c>
      <c r="V376" s="18">
        <v>5.42452</v>
      </c>
      <c r="Y376" s="14">
        <v>5.094</v>
      </c>
      <c r="Z376" s="19">
        <f t="shared" si="28"/>
        <v>7.59735610522183</v>
      </c>
    </row>
    <row r="377" spans="1:26">
      <c r="A377" s="1" t="s">
        <v>397</v>
      </c>
      <c r="B377" s="1">
        <v>39798360</v>
      </c>
      <c r="C377" s="2">
        <v>6.66978e-5</v>
      </c>
      <c r="E377" s="14">
        <f t="shared" si="29"/>
        <v>0.40711823009463</v>
      </c>
      <c r="F377" s="11">
        <v>4.606429783</v>
      </c>
      <c r="G377" s="15">
        <v>1.87536154031015</v>
      </c>
      <c r="I377" s="14">
        <v>0.019348</v>
      </c>
      <c r="J377" s="13">
        <f t="shared" si="25"/>
        <v>2.05697539797395</v>
      </c>
      <c r="M377" s="14">
        <v>277.619</v>
      </c>
      <c r="N377" s="16">
        <f t="shared" si="26"/>
        <v>0.143356038311499</v>
      </c>
      <c r="Q377" s="14">
        <v>0.00371214</v>
      </c>
      <c r="R377" s="17">
        <v>6.43268195703826</v>
      </c>
      <c r="S377" s="17">
        <f t="shared" si="27"/>
        <v>0.291536493306379</v>
      </c>
      <c r="V377" s="18">
        <v>1.25776</v>
      </c>
      <c r="Y377" s="14">
        <v>42.8521</v>
      </c>
      <c r="Z377" s="19">
        <f t="shared" si="28"/>
        <v>0.928737681467186</v>
      </c>
    </row>
    <row r="378" spans="1:26">
      <c r="A378" s="1" t="s">
        <v>398</v>
      </c>
      <c r="B378" s="1">
        <v>40588948</v>
      </c>
      <c r="C378" s="2">
        <v>0.126906</v>
      </c>
      <c r="E378" s="14">
        <f t="shared" si="29"/>
        <v>0.861819485652278</v>
      </c>
      <c r="F378" s="11">
        <v>1.629269662</v>
      </c>
      <c r="G378" s="15">
        <v>1.4041363420937</v>
      </c>
      <c r="I378" s="14">
        <v>0.025846</v>
      </c>
      <c r="J378" s="13">
        <f t="shared" si="25"/>
        <v>1.57041507389925</v>
      </c>
      <c r="M378" s="14">
        <v>121.864</v>
      </c>
      <c r="N378" s="16">
        <f t="shared" si="26"/>
        <v>0.333067583535745</v>
      </c>
      <c r="Q378" s="14">
        <v>0.0696468</v>
      </c>
      <c r="R378" s="17">
        <v>0.34966960147487</v>
      </c>
      <c r="S378" s="17">
        <f t="shared" si="27"/>
        <v>4.01560883808944</v>
      </c>
      <c r="V378" s="18">
        <v>0.598144</v>
      </c>
      <c r="Y378" s="14">
        <v>62.9545</v>
      </c>
      <c r="Z378" s="19">
        <f t="shared" si="28"/>
        <v>0.64473465757015</v>
      </c>
    </row>
    <row r="379" spans="1:26">
      <c r="A379" s="1" t="s">
        <v>399</v>
      </c>
      <c r="B379" s="1">
        <v>41569568</v>
      </c>
      <c r="C379" s="2">
        <v>0</v>
      </c>
      <c r="E379" s="14">
        <f t="shared" si="29"/>
        <v>1.15732142885304</v>
      </c>
      <c r="F379" s="11">
        <v>1.799790301</v>
      </c>
      <c r="G379" s="15">
        <v>2.08293588278917</v>
      </c>
      <c r="I379" s="14">
        <v>0.028508</v>
      </c>
      <c r="J379" s="13">
        <f t="shared" si="25"/>
        <v>1.45817202188859</v>
      </c>
      <c r="M379" s="14">
        <v>104.564</v>
      </c>
      <c r="N379" s="16">
        <f t="shared" si="26"/>
        <v>0.397551432615432</v>
      </c>
      <c r="Q379" s="14">
        <v>0.0153955</v>
      </c>
      <c r="R379" s="17">
        <v>1.6200669546296</v>
      </c>
      <c r="S379" s="17">
        <f t="shared" si="27"/>
        <v>1.28570975220305</v>
      </c>
      <c r="V379" s="18">
        <v>1.15857</v>
      </c>
      <c r="Y379" s="14">
        <v>36.2304</v>
      </c>
      <c r="Z379" s="19">
        <f t="shared" si="28"/>
        <v>1.14736707295531</v>
      </c>
    </row>
    <row r="380" spans="1:26">
      <c r="A380" s="1" t="s">
        <v>400</v>
      </c>
      <c r="B380" s="1">
        <v>42568710</v>
      </c>
      <c r="C380" s="2">
        <v>0.568765</v>
      </c>
      <c r="E380" s="14">
        <f t="shared" si="29"/>
        <v>1.43167808302854</v>
      </c>
      <c r="F380" s="11">
        <v>4.161584178</v>
      </c>
      <c r="G380" s="15">
        <v>5.95804885832095</v>
      </c>
      <c r="I380" s="14">
        <v>0.004925</v>
      </c>
      <c r="J380" s="13">
        <f t="shared" si="25"/>
        <v>8.64339289340102</v>
      </c>
      <c r="M380" s="14">
        <v>59.208</v>
      </c>
      <c r="N380" s="16">
        <f t="shared" si="26"/>
        <v>0.718968889339278</v>
      </c>
      <c r="Q380" s="14">
        <v>0.0108916</v>
      </c>
      <c r="R380" s="17">
        <v>2.34503892908296</v>
      </c>
      <c r="S380" s="17">
        <f t="shared" si="27"/>
        <v>2.54070360386336</v>
      </c>
      <c r="V380" s="18">
        <v>3.16949</v>
      </c>
      <c r="Y380" s="14">
        <v>10.5609</v>
      </c>
      <c r="Z380" s="19">
        <f t="shared" si="28"/>
        <v>4.03078430815555</v>
      </c>
    </row>
    <row r="381" spans="1:26">
      <c r="A381" s="1" t="s">
        <v>401</v>
      </c>
      <c r="B381" s="1">
        <v>42712232</v>
      </c>
      <c r="C381" s="2">
        <v>4.33651e-5</v>
      </c>
      <c r="E381" s="14">
        <f t="shared" si="29"/>
        <v>0.8863594194589</v>
      </c>
      <c r="F381" s="11">
        <v>1.192395249</v>
      </c>
      <c r="G381" s="15">
        <v>1.05689076066919</v>
      </c>
      <c r="I381" s="14">
        <v>0.054786</v>
      </c>
      <c r="J381" s="13">
        <f t="shared" si="25"/>
        <v>0.779619464826781</v>
      </c>
      <c r="M381" s="14">
        <v>132.303</v>
      </c>
      <c r="N381" s="16">
        <f t="shared" si="26"/>
        <v>0.322836458734874</v>
      </c>
      <c r="Q381" s="14">
        <v>0.0289557</v>
      </c>
      <c r="R381" s="17">
        <v>0.885053347009397</v>
      </c>
      <c r="S381" s="17">
        <f t="shared" si="27"/>
        <v>1.19415486562526</v>
      </c>
      <c r="V381" s="18">
        <v>0.549499</v>
      </c>
      <c r="Y381" s="14">
        <v>65.1359</v>
      </c>
      <c r="Z381" s="19">
        <f t="shared" si="28"/>
        <v>0.65574025997952</v>
      </c>
    </row>
    <row r="382" spans="1:26">
      <c r="A382" s="1" t="s">
        <v>402</v>
      </c>
      <c r="B382" s="1">
        <v>42805332</v>
      </c>
      <c r="C382" s="2">
        <v>1</v>
      </c>
      <c r="E382" s="14">
        <f t="shared" si="29"/>
        <v>3.2903853475452</v>
      </c>
      <c r="F382" s="11">
        <v>11.401591131</v>
      </c>
      <c r="G382" s="15">
        <v>37.5156283961437</v>
      </c>
      <c r="I382" s="14">
        <v>0.002191</v>
      </c>
      <c r="J382" s="13">
        <f t="shared" si="25"/>
        <v>19.5368927430397</v>
      </c>
      <c r="M382" s="14">
        <v>18.389</v>
      </c>
      <c r="N382" s="16">
        <f t="shared" si="26"/>
        <v>2.32776833976834</v>
      </c>
      <c r="Q382" s="14">
        <v>0.00770724</v>
      </c>
      <c r="R382" s="17">
        <v>3.3323471437246</v>
      </c>
      <c r="S382" s="17">
        <f t="shared" si="27"/>
        <v>11.2580192813322</v>
      </c>
      <c r="V382" s="18">
        <v>7.24407</v>
      </c>
      <c r="Y382" s="14">
        <v>5.9837</v>
      </c>
      <c r="Z382" s="19">
        <f t="shared" si="28"/>
        <v>7.15365609906914</v>
      </c>
    </row>
    <row r="383" spans="1:26">
      <c r="A383" s="1" t="s">
        <v>403</v>
      </c>
      <c r="B383" s="1">
        <v>43168124</v>
      </c>
      <c r="C383" s="2">
        <v>0.0545982</v>
      </c>
      <c r="E383" s="14">
        <f t="shared" si="29"/>
        <v>1.2660702831854</v>
      </c>
      <c r="F383" s="11">
        <v>0.825213015</v>
      </c>
      <c r="G383" s="15">
        <v>1.04477767558933</v>
      </c>
      <c r="I383" s="14">
        <v>0.021238</v>
      </c>
      <c r="J383" s="13">
        <f t="shared" si="25"/>
        <v>2.03258894434504</v>
      </c>
      <c r="M383" s="14">
        <v>974.952</v>
      </c>
      <c r="N383" s="16">
        <f t="shared" si="26"/>
        <v>0.0442771787739294</v>
      </c>
      <c r="Q383" s="14">
        <v>0.0680797</v>
      </c>
      <c r="R383" s="17">
        <v>0.380449302802451</v>
      </c>
      <c r="S383" s="17">
        <f t="shared" si="27"/>
        <v>2.74616793326556</v>
      </c>
      <c r="V383" s="18">
        <v>1.0887</v>
      </c>
      <c r="Y383" s="14">
        <v>57.9996</v>
      </c>
      <c r="Z383" s="19">
        <f t="shared" si="28"/>
        <v>0.744283132987124</v>
      </c>
    </row>
    <row r="384" spans="1:26">
      <c r="A384" s="1" t="s">
        <v>404</v>
      </c>
      <c r="B384" s="1">
        <v>43444082</v>
      </c>
      <c r="C384" s="2">
        <v>1</v>
      </c>
      <c r="E384" s="14">
        <f t="shared" si="29"/>
        <v>2.65558985146792</v>
      </c>
      <c r="F384" s="11">
        <v>12.280143877</v>
      </c>
      <c r="G384" s="15">
        <v>32.6110254543271</v>
      </c>
      <c r="I384" s="14">
        <v>0.002452</v>
      </c>
      <c r="J384" s="13">
        <f t="shared" si="25"/>
        <v>17.7178148450245</v>
      </c>
      <c r="M384" s="14">
        <v>23.453</v>
      </c>
      <c r="N384" s="16">
        <f t="shared" si="26"/>
        <v>1.85238911866286</v>
      </c>
      <c r="Q384" s="14">
        <v>0.00871638</v>
      </c>
      <c r="R384" s="17">
        <v>2.99051317175249</v>
      </c>
      <c r="S384" s="17">
        <f t="shared" si="27"/>
        <v>10.9048258881991</v>
      </c>
      <c r="V384" s="18">
        <v>6.6833</v>
      </c>
      <c r="Y384" s="14">
        <v>5.3889</v>
      </c>
      <c r="Z384" s="19">
        <f t="shared" si="28"/>
        <v>8.06177179016126</v>
      </c>
    </row>
    <row r="385" spans="1:26">
      <c r="A385" s="1" t="s">
        <v>405</v>
      </c>
      <c r="B385" s="1">
        <v>44060988</v>
      </c>
      <c r="C385" s="2">
        <v>0.254212</v>
      </c>
      <c r="E385" s="14">
        <f t="shared" si="29"/>
        <v>1.87749444587325</v>
      </c>
      <c r="F385" s="11">
        <v>7.480022594</v>
      </c>
      <c r="G385" s="15">
        <v>14.0437008752414</v>
      </c>
      <c r="I385" s="14">
        <v>0.002991</v>
      </c>
      <c r="J385" s="13">
        <f t="shared" si="25"/>
        <v>14.7311895687061</v>
      </c>
      <c r="M385" s="14">
        <v>70.724</v>
      </c>
      <c r="N385" s="16">
        <f t="shared" si="26"/>
        <v>0.622999095073808</v>
      </c>
      <c r="Q385" s="14">
        <v>0.00985356</v>
      </c>
      <c r="R385" s="17">
        <v>2.68294837601841</v>
      </c>
      <c r="S385" s="17">
        <f t="shared" si="27"/>
        <v>5.23442828821133</v>
      </c>
      <c r="V385" s="18">
        <v>5.01661</v>
      </c>
      <c r="Y385" s="14">
        <v>8.2778</v>
      </c>
      <c r="Z385" s="19">
        <f t="shared" si="28"/>
        <v>5.32278963009495</v>
      </c>
    </row>
    <row r="386" spans="1:26">
      <c r="A386" s="1" t="s">
        <v>406</v>
      </c>
      <c r="B386" s="1">
        <v>44404850</v>
      </c>
      <c r="C386" s="2">
        <v>0.0503148</v>
      </c>
      <c r="E386" s="14">
        <f t="shared" si="29"/>
        <v>0.910474146694754</v>
      </c>
      <c r="F386" s="11">
        <v>1.155897423</v>
      </c>
      <c r="G386" s="15">
        <v>1.05241471987259</v>
      </c>
      <c r="I386" s="14">
        <v>0.021876</v>
      </c>
      <c r="J386" s="13">
        <f t="shared" ref="J386:J449" si="30">B386/I386/1000000000</f>
        <v>2.02984320716767</v>
      </c>
      <c r="M386" s="14">
        <v>956.928</v>
      </c>
      <c r="N386" s="16">
        <f t="shared" ref="N386:N449" si="31">B386/M386/1000000</f>
        <v>0.0464035434222846</v>
      </c>
      <c r="Q386" s="14">
        <v>0.0724692</v>
      </c>
      <c r="R386" s="17">
        <v>0.367644599360832</v>
      </c>
      <c r="S386" s="17">
        <f t="shared" ref="S386:S449" si="32">G386/R386</f>
        <v>2.86258718801327</v>
      </c>
      <c r="V386" s="18">
        <v>1.13204</v>
      </c>
      <c r="Y386" s="14">
        <v>58.6882</v>
      </c>
      <c r="Z386" s="19">
        <f t="shared" ref="Z386:Z449" si="33">B386/Y386/1000000</f>
        <v>0.756623137189418</v>
      </c>
    </row>
    <row r="387" spans="1:26">
      <c r="A387" s="1" t="s">
        <v>407</v>
      </c>
      <c r="B387" s="1">
        <v>44711814</v>
      </c>
      <c r="C387" s="2">
        <v>0.0538439</v>
      </c>
      <c r="E387" s="14">
        <f t="shared" ref="E387:E450" si="34">G387/F387</f>
        <v>1.52885733486838</v>
      </c>
      <c r="F387" s="11">
        <v>3.138481497</v>
      </c>
      <c r="G387" s="15">
        <v>4.79829045703714</v>
      </c>
      <c r="I387" s="14">
        <v>0.00701</v>
      </c>
      <c r="J387" s="13">
        <f t="shared" si="30"/>
        <v>6.37829015691869</v>
      </c>
      <c r="M387" s="14">
        <v>119.673</v>
      </c>
      <c r="N387" s="16">
        <f t="shared" si="31"/>
        <v>0.373616555112682</v>
      </c>
      <c r="Q387" s="14">
        <v>0.0304637</v>
      </c>
      <c r="R387" s="17">
        <v>0.88062475667762</v>
      </c>
      <c r="S387" s="17">
        <f t="shared" si="32"/>
        <v>5.44873445886294</v>
      </c>
      <c r="V387" s="18">
        <v>2.44747</v>
      </c>
      <c r="Y387" s="14">
        <v>22.1922</v>
      </c>
      <c r="Z387" s="19">
        <f t="shared" si="33"/>
        <v>2.01475356206235</v>
      </c>
    </row>
    <row r="388" spans="1:26">
      <c r="A388" s="1" t="s">
        <v>408</v>
      </c>
      <c r="B388" s="1">
        <v>44711814</v>
      </c>
      <c r="C388" s="2">
        <v>0.0531603</v>
      </c>
      <c r="E388" s="14">
        <f t="shared" si="34"/>
        <v>1.03848706125762</v>
      </c>
      <c r="F388" s="11">
        <v>4.681152829</v>
      </c>
      <c r="G388" s="15">
        <v>4.86131664468599</v>
      </c>
      <c r="I388" s="14">
        <v>0.006936</v>
      </c>
      <c r="J388" s="13">
        <f t="shared" si="30"/>
        <v>6.44633996539792</v>
      </c>
      <c r="M388" s="14">
        <v>120.038</v>
      </c>
      <c r="N388" s="16">
        <f t="shared" si="31"/>
        <v>0.37248049784235</v>
      </c>
      <c r="Q388" s="14">
        <v>0.0307431</v>
      </c>
      <c r="R388" s="17">
        <v>0.872621446763664</v>
      </c>
      <c r="S388" s="17">
        <f t="shared" si="32"/>
        <v>5.57093418081277</v>
      </c>
      <c r="V388" s="18">
        <v>2.47834</v>
      </c>
      <c r="Y388" s="14">
        <v>21.6307</v>
      </c>
      <c r="Z388" s="19">
        <f t="shared" si="33"/>
        <v>2.06705349341445</v>
      </c>
    </row>
    <row r="389" spans="1:26">
      <c r="A389" s="1" t="s">
        <v>409</v>
      </c>
      <c r="B389" s="1">
        <v>45278092</v>
      </c>
      <c r="C389" s="2">
        <v>0.0501619</v>
      </c>
      <c r="E389" s="14">
        <f t="shared" si="34"/>
        <v>1.34377513148867</v>
      </c>
      <c r="F389" s="11">
        <v>0.780898896</v>
      </c>
      <c r="G389" s="15">
        <v>1.04935251665176</v>
      </c>
      <c r="I389" s="14">
        <v>0.022273</v>
      </c>
      <c r="J389" s="13">
        <f t="shared" si="30"/>
        <v>2.03286903425672</v>
      </c>
      <c r="M389" s="14">
        <v>961.363</v>
      </c>
      <c r="N389" s="16">
        <f t="shared" si="31"/>
        <v>0.0470978100883849</v>
      </c>
      <c r="Q389" s="14">
        <v>0.0752857</v>
      </c>
      <c r="R389" s="17">
        <v>0.360850137542721</v>
      </c>
      <c r="S389" s="17">
        <f t="shared" si="32"/>
        <v>2.90800087758738</v>
      </c>
      <c r="V389" s="18">
        <v>1.13901</v>
      </c>
      <c r="Y389" s="14">
        <v>61.4197</v>
      </c>
      <c r="Z389" s="19">
        <f t="shared" si="33"/>
        <v>0.737191682798841</v>
      </c>
    </row>
    <row r="390" spans="1:26">
      <c r="A390" s="1" t="s">
        <v>410</v>
      </c>
      <c r="B390" s="1">
        <v>46610030</v>
      </c>
      <c r="C390" s="2">
        <v>0.465955</v>
      </c>
      <c r="E390" s="14">
        <f t="shared" si="34"/>
        <v>0.681553227241771</v>
      </c>
      <c r="F390" s="11">
        <v>2.782735573</v>
      </c>
      <c r="G390" s="15">
        <v>1.89658241033863</v>
      </c>
      <c r="I390" s="14">
        <v>0.020501</v>
      </c>
      <c r="J390" s="13">
        <f t="shared" si="30"/>
        <v>2.27354909516609</v>
      </c>
      <c r="M390" s="14">
        <v>285.924</v>
      </c>
      <c r="N390" s="16">
        <f t="shared" si="31"/>
        <v>0.163015451658483</v>
      </c>
      <c r="Q390" s="14">
        <v>0.063101</v>
      </c>
      <c r="R390" s="17">
        <v>0.443194529405239</v>
      </c>
      <c r="S390" s="17">
        <f t="shared" si="32"/>
        <v>4.27934526376898</v>
      </c>
      <c r="V390" s="18">
        <v>1.08025</v>
      </c>
      <c r="Y390" s="14">
        <v>65.3544</v>
      </c>
      <c r="Z390" s="19">
        <f t="shared" si="33"/>
        <v>0.713188859510607</v>
      </c>
    </row>
    <row r="391" spans="1:26">
      <c r="A391" s="1" t="s">
        <v>411</v>
      </c>
      <c r="B391" s="1">
        <v>47745340</v>
      </c>
      <c r="C391" s="2">
        <v>1</v>
      </c>
      <c r="E391" s="14">
        <f t="shared" si="34"/>
        <v>2.68001202705483</v>
      </c>
      <c r="F391" s="11">
        <v>7.798834432</v>
      </c>
      <c r="G391" s="15">
        <v>20.9009700747693</v>
      </c>
      <c r="I391" s="14">
        <v>0.003267</v>
      </c>
      <c r="J391" s="13">
        <f t="shared" si="30"/>
        <v>14.6144291398837</v>
      </c>
      <c r="M391" s="14">
        <v>10.097</v>
      </c>
      <c r="N391" s="16">
        <f t="shared" si="31"/>
        <v>4.72866594037833</v>
      </c>
      <c r="Q391" s="14">
        <v>0.00379791</v>
      </c>
      <c r="R391" s="17">
        <v>7.54288648230211</v>
      </c>
      <c r="S391" s="17">
        <f t="shared" si="32"/>
        <v>2.77095116356441</v>
      </c>
      <c r="V391" s="18">
        <v>5.49743</v>
      </c>
      <c r="Y391" s="14">
        <v>7.522</v>
      </c>
      <c r="Z391" s="19">
        <f t="shared" si="33"/>
        <v>6.3474262164318</v>
      </c>
    </row>
    <row r="392" spans="1:26">
      <c r="A392" s="1" t="s">
        <v>412</v>
      </c>
      <c r="B392" s="1">
        <v>47813606</v>
      </c>
      <c r="C392" s="2">
        <v>0.797101</v>
      </c>
      <c r="E392" s="14">
        <f t="shared" si="34"/>
        <v>2.63302553976646</v>
      </c>
      <c r="F392" s="11">
        <v>11.555248189</v>
      </c>
      <c r="G392" s="15">
        <v>30.4252635999771</v>
      </c>
      <c r="I392" s="14">
        <v>0.003417</v>
      </c>
      <c r="J392" s="13">
        <f t="shared" si="30"/>
        <v>13.9928609891718</v>
      </c>
      <c r="M392" s="14">
        <v>26.584</v>
      </c>
      <c r="N392" s="16">
        <f t="shared" si="31"/>
        <v>1.79858584110743</v>
      </c>
      <c r="Q392" s="14">
        <v>0.0142922</v>
      </c>
      <c r="R392" s="17">
        <v>2.00726015588923</v>
      </c>
      <c r="S392" s="17">
        <f t="shared" si="32"/>
        <v>15.1576084996807</v>
      </c>
      <c r="V392" s="18">
        <v>6.26127</v>
      </c>
      <c r="Y392" s="14">
        <v>7.4833</v>
      </c>
      <c r="Z392" s="19">
        <f t="shared" si="33"/>
        <v>6.38937447382839</v>
      </c>
    </row>
    <row r="393" spans="1:26">
      <c r="A393" s="1" t="s">
        <v>413</v>
      </c>
      <c r="B393" s="1">
        <v>48301476</v>
      </c>
      <c r="C393" s="2">
        <v>1</v>
      </c>
      <c r="E393" s="14">
        <f t="shared" si="34"/>
        <v>3.10934782803557</v>
      </c>
      <c r="F393" s="11">
        <v>13.09760108</v>
      </c>
      <c r="G393" s="15">
        <v>40.7249974705744</v>
      </c>
      <c r="I393" s="14">
        <v>0.00251</v>
      </c>
      <c r="J393" s="13">
        <f t="shared" si="30"/>
        <v>19.243615936255</v>
      </c>
      <c r="M393" s="14">
        <v>26.795</v>
      </c>
      <c r="N393" s="16">
        <f t="shared" si="31"/>
        <v>1.80263019220004</v>
      </c>
      <c r="Q393" s="14">
        <v>0.00945356</v>
      </c>
      <c r="R393" s="17">
        <v>3.06560550734327</v>
      </c>
      <c r="S393" s="17">
        <f t="shared" si="32"/>
        <v>13.2844873135251</v>
      </c>
      <c r="V393" s="18">
        <v>7.32113</v>
      </c>
      <c r="Y393" s="14">
        <v>6.7872</v>
      </c>
      <c r="Z393" s="19">
        <f t="shared" si="33"/>
        <v>7.11655410183875</v>
      </c>
    </row>
    <row r="394" spans="1:26">
      <c r="A394" s="1" t="s">
        <v>414</v>
      </c>
      <c r="B394" s="1">
        <v>48844004</v>
      </c>
      <c r="C394" s="2">
        <v>5.6164e-5</v>
      </c>
      <c r="E394" s="14">
        <f t="shared" si="34"/>
        <v>0.540141858903878</v>
      </c>
      <c r="F394" s="11">
        <v>3.753324796</v>
      </c>
      <c r="G394" s="15">
        <v>2.02732783238146</v>
      </c>
      <c r="I394" s="14">
        <v>0.025588</v>
      </c>
      <c r="J394" s="13">
        <f t="shared" si="30"/>
        <v>1.90886368610286</v>
      </c>
      <c r="M394" s="14">
        <v>373.343</v>
      </c>
      <c r="N394" s="16">
        <f t="shared" si="31"/>
        <v>0.130828766040879</v>
      </c>
      <c r="Q394" s="14">
        <v>0.00350075</v>
      </c>
      <c r="R394" s="17">
        <v>8.37146394344069</v>
      </c>
      <c r="S394" s="17">
        <f t="shared" si="32"/>
        <v>0.242171243414354</v>
      </c>
      <c r="V394" s="18">
        <v>1.54749</v>
      </c>
      <c r="Y394" s="14">
        <v>49.9817</v>
      </c>
      <c r="Z394" s="19">
        <f t="shared" si="33"/>
        <v>0.97723774901614</v>
      </c>
    </row>
    <row r="395" spans="1:26">
      <c r="A395" s="1" t="s">
        <v>415</v>
      </c>
      <c r="B395" s="1">
        <v>49280096</v>
      </c>
      <c r="C395" s="2">
        <v>7.3654e-5</v>
      </c>
      <c r="E395" s="14">
        <f t="shared" si="34"/>
        <v>0.773683168068335</v>
      </c>
      <c r="F395" s="11">
        <v>3.283761387</v>
      </c>
      <c r="G395" s="15">
        <v>2.54059091307463</v>
      </c>
      <c r="I395" s="14">
        <v>0.035396</v>
      </c>
      <c r="J395" s="13">
        <f t="shared" si="30"/>
        <v>1.3922504237767</v>
      </c>
      <c r="M395" s="14">
        <v>318.783</v>
      </c>
      <c r="N395" s="16">
        <f t="shared" si="31"/>
        <v>0.15458821831779</v>
      </c>
      <c r="Q395" s="14">
        <v>0.00414346</v>
      </c>
      <c r="R395" s="17">
        <v>7.1360789292041</v>
      </c>
      <c r="S395" s="17">
        <f t="shared" si="32"/>
        <v>0.356020573522158</v>
      </c>
      <c r="V395" s="18">
        <v>1.7869</v>
      </c>
      <c r="Y395" s="14">
        <v>40.3092</v>
      </c>
      <c r="Z395" s="19">
        <f t="shared" si="33"/>
        <v>1.22255207247973</v>
      </c>
    </row>
    <row r="396" spans="1:26">
      <c r="A396" s="1" t="s">
        <v>416</v>
      </c>
      <c r="B396" s="1">
        <v>50814278</v>
      </c>
      <c r="C396" s="2">
        <v>0.0549182</v>
      </c>
      <c r="E396" s="14">
        <f t="shared" si="34"/>
        <v>0.416894698328133</v>
      </c>
      <c r="F396" s="11">
        <v>4.314863587</v>
      </c>
      <c r="G396" s="15">
        <v>1.79884375342941</v>
      </c>
      <c r="I396" s="14">
        <v>0.024218</v>
      </c>
      <c r="J396" s="13">
        <f t="shared" si="30"/>
        <v>2.09820290692873</v>
      </c>
      <c r="M396" s="14">
        <v>1360.602</v>
      </c>
      <c r="N396" s="16">
        <f t="shared" si="31"/>
        <v>0.0373469082068085</v>
      </c>
      <c r="Q396" s="14">
        <v>0.0618099</v>
      </c>
      <c r="R396" s="17">
        <v>0.493263486917144</v>
      </c>
      <c r="S396" s="17">
        <f t="shared" si="32"/>
        <v>3.64682122464007</v>
      </c>
      <c r="V396" s="18">
        <v>0.98144</v>
      </c>
      <c r="Y396" s="14">
        <v>77.0493</v>
      </c>
      <c r="Z396" s="19">
        <f t="shared" si="33"/>
        <v>0.659503434813814</v>
      </c>
    </row>
    <row r="397" spans="1:26">
      <c r="A397" s="1" t="s">
        <v>417</v>
      </c>
      <c r="B397" s="1">
        <v>50982814</v>
      </c>
      <c r="C397" s="2">
        <v>0.05307</v>
      </c>
      <c r="E397" s="14">
        <f t="shared" si="34"/>
        <v>0.898405992885156</v>
      </c>
      <c r="F397" s="11">
        <v>5.302468531</v>
      </c>
      <c r="G397" s="15">
        <v>4.76376950533535</v>
      </c>
      <c r="I397" s="14">
        <v>0.007846</v>
      </c>
      <c r="J397" s="13">
        <f t="shared" si="30"/>
        <v>6.49793703798114</v>
      </c>
      <c r="M397" s="14">
        <v>130.212</v>
      </c>
      <c r="N397" s="16">
        <f t="shared" si="31"/>
        <v>0.391536985838479</v>
      </c>
      <c r="Q397" s="14">
        <v>0.029399</v>
      </c>
      <c r="R397" s="17">
        <v>1.04050098302663</v>
      </c>
      <c r="S397" s="17">
        <f t="shared" si="32"/>
        <v>4.57834214772042</v>
      </c>
      <c r="V397" s="18">
        <v>2.93176</v>
      </c>
      <c r="Y397" s="14">
        <v>22.9746</v>
      </c>
      <c r="Z397" s="19">
        <f t="shared" si="33"/>
        <v>2.21909473940787</v>
      </c>
    </row>
    <row r="398" spans="1:26">
      <c r="A398" s="1" t="s">
        <v>418</v>
      </c>
      <c r="B398" s="1">
        <v>50982814</v>
      </c>
      <c r="C398" s="2">
        <v>0.05307</v>
      </c>
      <c r="E398" s="14">
        <f t="shared" si="34"/>
        <v>1.01275838443431</v>
      </c>
      <c r="F398" s="11">
        <v>4.702307217</v>
      </c>
      <c r="G398" s="15">
        <v>4.7623010602027</v>
      </c>
      <c r="I398" s="14">
        <v>0.007924</v>
      </c>
      <c r="J398" s="13">
        <f t="shared" si="30"/>
        <v>6.43397450782433</v>
      </c>
      <c r="M398" s="14">
        <v>121.8</v>
      </c>
      <c r="N398" s="16">
        <f t="shared" si="31"/>
        <v>0.418578111658456</v>
      </c>
      <c r="Q398" s="14">
        <v>0.0308075</v>
      </c>
      <c r="R398" s="17">
        <v>0.992929916416457</v>
      </c>
      <c r="S398" s="17">
        <f t="shared" si="32"/>
        <v>4.79621067052761</v>
      </c>
      <c r="V398" s="18">
        <v>2.8953</v>
      </c>
      <c r="Y398" s="14">
        <v>22.7028</v>
      </c>
      <c r="Z398" s="19">
        <f t="shared" si="33"/>
        <v>2.24566194478214</v>
      </c>
    </row>
    <row r="399" spans="1:26">
      <c r="A399" s="1" t="s">
        <v>419</v>
      </c>
      <c r="B399" s="1">
        <v>51802184</v>
      </c>
      <c r="C399" s="2">
        <v>0.095743</v>
      </c>
      <c r="E399" s="14">
        <f t="shared" si="34"/>
        <v>0.68906537177893</v>
      </c>
      <c r="F399" s="11">
        <v>2.650789812</v>
      </c>
      <c r="G399" s="15">
        <v>1.82656746731358</v>
      </c>
      <c r="I399" s="14">
        <v>0.024402</v>
      </c>
      <c r="J399" s="13">
        <f t="shared" si="30"/>
        <v>2.12286632243259</v>
      </c>
      <c r="M399" s="14">
        <v>88.562</v>
      </c>
      <c r="N399" s="16">
        <f t="shared" si="31"/>
        <v>0.584925634019105</v>
      </c>
      <c r="Q399" s="14">
        <v>0.0146779</v>
      </c>
      <c r="R399" s="17">
        <v>2.11755839731842</v>
      </c>
      <c r="S399" s="17">
        <f t="shared" si="32"/>
        <v>0.862581862973254</v>
      </c>
      <c r="V399" s="18">
        <v>2.02189</v>
      </c>
      <c r="Y399" s="14">
        <v>38.9736</v>
      </c>
      <c r="Z399" s="19">
        <f t="shared" si="33"/>
        <v>1.32916086786953</v>
      </c>
    </row>
    <row r="400" spans="1:26">
      <c r="A400" s="1" t="s">
        <v>420</v>
      </c>
      <c r="B400" s="1">
        <v>51970628</v>
      </c>
      <c r="C400" s="2">
        <v>0.234481</v>
      </c>
      <c r="E400" s="14">
        <f t="shared" si="34"/>
        <v>2.99314726665004</v>
      </c>
      <c r="F400" s="11">
        <v>5.729863205</v>
      </c>
      <c r="G400" s="15">
        <v>17.1503243903244</v>
      </c>
      <c r="I400" s="14">
        <v>0.003876</v>
      </c>
      <c r="J400" s="13">
        <f t="shared" si="30"/>
        <v>13.4083147574819</v>
      </c>
      <c r="M400" s="14">
        <v>38.452</v>
      </c>
      <c r="N400" s="16">
        <f t="shared" si="31"/>
        <v>1.3515715177364</v>
      </c>
      <c r="Q400" s="14">
        <v>0.0116593</v>
      </c>
      <c r="R400" s="17">
        <v>2.67446388719734</v>
      </c>
      <c r="S400" s="17">
        <f t="shared" si="32"/>
        <v>6.41262141262143</v>
      </c>
      <c r="V400" s="18">
        <v>4.41414</v>
      </c>
      <c r="Y400" s="14">
        <v>8.3629</v>
      </c>
      <c r="Z400" s="19">
        <f t="shared" si="33"/>
        <v>6.21442657451363</v>
      </c>
    </row>
    <row r="401" spans="1:26">
      <c r="A401" s="1" t="s">
        <v>421</v>
      </c>
      <c r="B401" s="1">
        <v>52252762</v>
      </c>
      <c r="C401" s="2">
        <v>0.0497453</v>
      </c>
      <c r="E401" s="14">
        <f t="shared" si="34"/>
        <v>0.653971435889274</v>
      </c>
      <c r="F401" s="11">
        <v>5.049558521</v>
      </c>
      <c r="G401" s="15">
        <v>3.30226703658529</v>
      </c>
      <c r="I401" s="14">
        <v>0.018414</v>
      </c>
      <c r="J401" s="13">
        <f t="shared" si="30"/>
        <v>2.83766492885848</v>
      </c>
      <c r="M401" s="14">
        <v>175.067</v>
      </c>
      <c r="N401" s="16">
        <f t="shared" si="31"/>
        <v>0.298472938931952</v>
      </c>
      <c r="Q401" s="14">
        <v>0.00245792</v>
      </c>
      <c r="R401" s="17">
        <v>12.755361118344</v>
      </c>
      <c r="S401" s="17">
        <f t="shared" si="32"/>
        <v>0.258892477127611</v>
      </c>
      <c r="V401" s="18">
        <v>2.27409</v>
      </c>
      <c r="Y401" s="14">
        <v>28.4558</v>
      </c>
      <c r="Z401" s="19">
        <f t="shared" si="33"/>
        <v>1.83627808741979</v>
      </c>
    </row>
    <row r="402" spans="1:26">
      <c r="A402" s="1" t="s">
        <v>422</v>
      </c>
      <c r="B402" s="1">
        <v>52477872</v>
      </c>
      <c r="C402" s="2">
        <v>0.0137664</v>
      </c>
      <c r="E402" s="14">
        <f t="shared" si="34"/>
        <v>0.446354572090429</v>
      </c>
      <c r="F402" s="11">
        <v>5.756402772</v>
      </c>
      <c r="G402" s="15">
        <v>2.56939669607622</v>
      </c>
      <c r="I402" s="14">
        <v>0.022544</v>
      </c>
      <c r="J402" s="13">
        <f t="shared" si="30"/>
        <v>2.32779772888573</v>
      </c>
      <c r="M402" s="14">
        <v>2383.818</v>
      </c>
      <c r="N402" s="16">
        <f t="shared" si="31"/>
        <v>0.0220142108164298</v>
      </c>
      <c r="Q402" s="14">
        <v>0.0547988</v>
      </c>
      <c r="R402" s="17">
        <v>0.574587823091017</v>
      </c>
      <c r="S402" s="17">
        <f t="shared" si="32"/>
        <v>4.47172145461429</v>
      </c>
      <c r="V402" s="18">
        <v>1.02299</v>
      </c>
      <c r="Y402" s="14">
        <v>68.0491</v>
      </c>
      <c r="Z402" s="19">
        <f t="shared" si="33"/>
        <v>0.771176576912847</v>
      </c>
    </row>
    <row r="403" spans="1:26">
      <c r="A403" s="1" t="s">
        <v>423</v>
      </c>
      <c r="B403" s="1">
        <v>52477872</v>
      </c>
      <c r="C403" s="2">
        <v>0.0170809</v>
      </c>
      <c r="E403" s="14">
        <f t="shared" si="34"/>
        <v>0.405073980083356</v>
      </c>
      <c r="F403" s="11">
        <v>6.019064179</v>
      </c>
      <c r="G403" s="15">
        <v>2.43816628336469</v>
      </c>
      <c r="I403" s="14">
        <v>0.022957</v>
      </c>
      <c r="J403" s="13">
        <f t="shared" si="30"/>
        <v>2.28592028575162</v>
      </c>
      <c r="M403" s="14">
        <v>2396.41</v>
      </c>
      <c r="N403" s="16">
        <f t="shared" si="31"/>
        <v>0.0218985365609391</v>
      </c>
      <c r="Q403" s="14">
        <v>0.0566993</v>
      </c>
      <c r="R403" s="17">
        <v>0.555328252729752</v>
      </c>
      <c r="S403" s="17">
        <f t="shared" si="32"/>
        <v>4.39049565978271</v>
      </c>
      <c r="V403" s="18">
        <v>1.03625</v>
      </c>
      <c r="Y403" s="14">
        <v>70.2509</v>
      </c>
      <c r="Z403" s="19">
        <f t="shared" si="33"/>
        <v>0.747006401341477</v>
      </c>
    </row>
    <row r="404" spans="1:26">
      <c r="A404" s="1" t="s">
        <v>424</v>
      </c>
      <c r="B404" s="1">
        <v>52600628</v>
      </c>
      <c r="C404" s="2">
        <v>1</v>
      </c>
      <c r="E404" s="14">
        <f t="shared" si="34"/>
        <v>3.27504363658117</v>
      </c>
      <c r="F404" s="11">
        <v>11.254324475</v>
      </c>
      <c r="G404" s="15">
        <v>36.8584037558685</v>
      </c>
      <c r="I404" s="14">
        <v>0.002663</v>
      </c>
      <c r="J404" s="13">
        <f t="shared" si="30"/>
        <v>19.7523950431844</v>
      </c>
      <c r="M404" s="14">
        <v>37.007</v>
      </c>
      <c r="N404" s="16">
        <f t="shared" si="31"/>
        <v>1.42136968681601</v>
      </c>
      <c r="Q404" s="14">
        <v>0.0100498</v>
      </c>
      <c r="R404" s="17">
        <v>3.14039849549245</v>
      </c>
      <c r="S404" s="17">
        <f t="shared" si="32"/>
        <v>11.7368556279634</v>
      </c>
      <c r="V404" s="18">
        <v>7.25962</v>
      </c>
      <c r="Y404" s="14">
        <v>7.0424</v>
      </c>
      <c r="Z404" s="19">
        <f t="shared" si="33"/>
        <v>7.46913381801659</v>
      </c>
    </row>
    <row r="405" spans="1:26">
      <c r="A405" s="1" t="s">
        <v>425</v>
      </c>
      <c r="B405" s="1">
        <v>53408952</v>
      </c>
      <c r="C405" s="2">
        <v>0</v>
      </c>
      <c r="E405" s="14">
        <f t="shared" si="34"/>
        <v>2.26619528802528</v>
      </c>
      <c r="F405" s="11">
        <v>3.890120743</v>
      </c>
      <c r="G405" s="15">
        <v>8.81577329763599</v>
      </c>
      <c r="I405" s="14">
        <v>0.004418</v>
      </c>
      <c r="J405" s="13">
        <f t="shared" si="30"/>
        <v>12.0889434133092</v>
      </c>
      <c r="M405" s="14">
        <v>59.478</v>
      </c>
      <c r="N405" s="16">
        <f t="shared" si="31"/>
        <v>0.897961464743266</v>
      </c>
      <c r="Q405" s="14">
        <v>0.0133684</v>
      </c>
      <c r="R405" s="17">
        <v>2.39709847102121</v>
      </c>
      <c r="S405" s="17">
        <f t="shared" si="32"/>
        <v>3.67768508645383</v>
      </c>
      <c r="V405" s="18">
        <v>3.97578</v>
      </c>
      <c r="Y405" s="14">
        <v>10.9082</v>
      </c>
      <c r="Z405" s="19">
        <f t="shared" si="33"/>
        <v>4.89622045800407</v>
      </c>
    </row>
    <row r="406" spans="1:26">
      <c r="A406" s="1" t="s">
        <v>426</v>
      </c>
      <c r="B406" s="1">
        <v>53901560</v>
      </c>
      <c r="C406" s="2">
        <v>0.724507</v>
      </c>
      <c r="E406" s="14">
        <f t="shared" si="34"/>
        <v>1.78213083658899</v>
      </c>
      <c r="F406" s="11">
        <v>1.532282363</v>
      </c>
      <c r="G406" s="15">
        <v>2.73072764946375</v>
      </c>
      <c r="I406" s="14">
        <v>0.015478</v>
      </c>
      <c r="J406" s="13">
        <f t="shared" si="30"/>
        <v>3.48246285049748</v>
      </c>
      <c r="M406" s="14">
        <v>129.861</v>
      </c>
      <c r="N406" s="16">
        <f t="shared" si="31"/>
        <v>0.415071191504763</v>
      </c>
      <c r="Q406" s="14">
        <v>0.00945271</v>
      </c>
      <c r="R406" s="17">
        <v>3.42134012362592</v>
      </c>
      <c r="S406" s="17">
        <f t="shared" si="32"/>
        <v>0.798145624460668</v>
      </c>
      <c r="V406" s="18">
        <v>1.7446</v>
      </c>
      <c r="Y406" s="14">
        <v>44.4086</v>
      </c>
      <c r="Z406" s="19">
        <f t="shared" si="33"/>
        <v>1.21376400066654</v>
      </c>
    </row>
    <row r="407" spans="1:26">
      <c r="A407" s="1" t="s">
        <v>427</v>
      </c>
      <c r="B407" s="1">
        <v>54370360</v>
      </c>
      <c r="C407" s="2">
        <v>0.000294066</v>
      </c>
      <c r="E407" s="14">
        <f t="shared" si="34"/>
        <v>1.04049252052958</v>
      </c>
      <c r="F407" s="11">
        <v>1.052534545</v>
      </c>
      <c r="G407" s="15">
        <v>1.0951543216715</v>
      </c>
      <c r="I407" s="14">
        <v>0.028132</v>
      </c>
      <c r="J407" s="13">
        <f t="shared" si="30"/>
        <v>1.93268733115313</v>
      </c>
      <c r="M407" s="14">
        <v>304.449</v>
      </c>
      <c r="N407" s="16">
        <f t="shared" si="31"/>
        <v>0.178586101448847</v>
      </c>
      <c r="Q407" s="14">
        <v>0.0133316</v>
      </c>
      <c r="R407" s="17">
        <v>2.44698430796003</v>
      </c>
      <c r="S407" s="17">
        <f t="shared" si="32"/>
        <v>0.447552654142067</v>
      </c>
      <c r="V407" s="18">
        <v>0.999278</v>
      </c>
      <c r="Y407" s="14">
        <v>81.7214</v>
      </c>
      <c r="Z407" s="19">
        <f t="shared" si="33"/>
        <v>0.665313614304209</v>
      </c>
    </row>
    <row r="408" spans="1:26">
      <c r="A408" s="1" t="s">
        <v>428</v>
      </c>
      <c r="B408" s="1">
        <v>54377724</v>
      </c>
      <c r="C408" s="2">
        <v>0.477522</v>
      </c>
      <c r="E408" s="14">
        <f t="shared" si="34"/>
        <v>0.917840290464489</v>
      </c>
      <c r="F408" s="11">
        <v>1.645963408</v>
      </c>
      <c r="G408" s="15">
        <v>1.51073153249264</v>
      </c>
      <c r="I408" s="14">
        <v>0.027912</v>
      </c>
      <c r="J408" s="13">
        <f t="shared" si="30"/>
        <v>1.94818443680138</v>
      </c>
      <c r="M408" s="14">
        <v>184.503</v>
      </c>
      <c r="N408" s="16">
        <f t="shared" si="31"/>
        <v>0.294725419098876</v>
      </c>
      <c r="Q408" s="14">
        <v>0.126051</v>
      </c>
      <c r="R408" s="17">
        <v>0.258836775590832</v>
      </c>
      <c r="S408" s="17">
        <f t="shared" si="32"/>
        <v>5.83661857571892</v>
      </c>
      <c r="V408" s="18">
        <v>0.89246</v>
      </c>
      <c r="Y408" s="14">
        <v>61.0557</v>
      </c>
      <c r="Z408" s="19">
        <f t="shared" si="33"/>
        <v>0.890624855664582</v>
      </c>
    </row>
    <row r="409" spans="1:26">
      <c r="A409" s="1" t="s">
        <v>429</v>
      </c>
      <c r="B409" s="1">
        <v>54434958</v>
      </c>
      <c r="C409" s="2">
        <v>0.046291</v>
      </c>
      <c r="E409" s="14">
        <f t="shared" si="34"/>
        <v>0.605829109513345</v>
      </c>
      <c r="F409" s="11">
        <v>2.907652973</v>
      </c>
      <c r="G409" s="15">
        <v>1.76154081140642</v>
      </c>
      <c r="I409" s="14">
        <v>0.026588</v>
      </c>
      <c r="J409" s="13">
        <f t="shared" si="30"/>
        <v>2.04735060929743</v>
      </c>
      <c r="M409" s="14">
        <v>1319.467</v>
      </c>
      <c r="N409" s="16">
        <f t="shared" si="31"/>
        <v>0.0412552629205581</v>
      </c>
      <c r="Q409" s="14">
        <v>0.0701237</v>
      </c>
      <c r="R409" s="17">
        <v>0.465762285789255</v>
      </c>
      <c r="S409" s="17">
        <f t="shared" si="32"/>
        <v>3.78205978704654</v>
      </c>
      <c r="V409" s="18">
        <v>1.13857</v>
      </c>
      <c r="Y409" s="14">
        <v>74.817</v>
      </c>
      <c r="Z409" s="19">
        <f t="shared" si="33"/>
        <v>0.727574722322467</v>
      </c>
    </row>
    <row r="410" spans="1:26">
      <c r="A410" s="1" t="s">
        <v>430</v>
      </c>
      <c r="B410" s="1">
        <v>54549924</v>
      </c>
      <c r="C410" s="2">
        <v>0.0241443</v>
      </c>
      <c r="E410" s="14">
        <f t="shared" si="34"/>
        <v>1.11459838113793</v>
      </c>
      <c r="F410" s="11">
        <v>0.972084167</v>
      </c>
      <c r="G410" s="15">
        <v>1.08348343886801</v>
      </c>
      <c r="I410" s="14">
        <v>0.019745</v>
      </c>
      <c r="J410" s="13">
        <f t="shared" si="30"/>
        <v>2.7627208913649</v>
      </c>
      <c r="M410" s="14">
        <v>751.363</v>
      </c>
      <c r="N410" s="16">
        <f t="shared" si="31"/>
        <v>0.0726012912533622</v>
      </c>
      <c r="Q410" s="14">
        <v>0.0193336</v>
      </c>
      <c r="R410" s="17">
        <v>1.69290532544379</v>
      </c>
      <c r="S410" s="17">
        <f t="shared" si="32"/>
        <v>0.64001419487766</v>
      </c>
      <c r="V410" s="18">
        <v>1.2959</v>
      </c>
      <c r="Y410" s="14">
        <v>55.8674</v>
      </c>
      <c r="Z410" s="19">
        <f t="shared" si="33"/>
        <v>0.976417803584917</v>
      </c>
    </row>
    <row r="411" spans="1:26">
      <c r="A411" s="1" t="s">
        <v>431</v>
      </c>
      <c r="B411" s="1">
        <v>54901212</v>
      </c>
      <c r="C411" s="2">
        <v>0.0145166</v>
      </c>
      <c r="E411" s="14">
        <f t="shared" si="34"/>
        <v>1.442322963121</v>
      </c>
      <c r="F411" s="11">
        <v>1.90229925</v>
      </c>
      <c r="G411" s="15">
        <v>2.74372989100286</v>
      </c>
      <c r="I411" s="14">
        <v>0.021113</v>
      </c>
      <c r="J411" s="13">
        <f t="shared" si="30"/>
        <v>2.60035106332591</v>
      </c>
      <c r="M411" s="14">
        <v>112.197</v>
      </c>
      <c r="N411" s="16">
        <f t="shared" si="31"/>
        <v>0.489328698628306</v>
      </c>
      <c r="Q411" s="14">
        <v>0.0546353</v>
      </c>
      <c r="R411" s="17">
        <v>0.602920221907814</v>
      </c>
      <c r="S411" s="17">
        <f t="shared" si="32"/>
        <v>4.55073456040487</v>
      </c>
      <c r="V411" s="18">
        <v>1.97007</v>
      </c>
      <c r="Y411" s="14">
        <v>39.7871</v>
      </c>
      <c r="Z411" s="19">
        <f t="shared" si="33"/>
        <v>1.37987468300027</v>
      </c>
    </row>
    <row r="412" spans="1:26">
      <c r="A412" s="1" t="s">
        <v>432</v>
      </c>
      <c r="B412" s="1">
        <v>54947426</v>
      </c>
      <c r="C412" s="2">
        <v>0.0377657</v>
      </c>
      <c r="E412" s="14">
        <f t="shared" si="34"/>
        <v>0.906201328285191</v>
      </c>
      <c r="F412" s="11">
        <v>4.709360407</v>
      </c>
      <c r="G412" s="15">
        <v>4.26762865619709</v>
      </c>
      <c r="I412" s="14">
        <v>0.013733</v>
      </c>
      <c r="J412" s="13">
        <f t="shared" si="30"/>
        <v>4.00112327969125</v>
      </c>
      <c r="M412" s="14">
        <v>135.504</v>
      </c>
      <c r="N412" s="16">
        <f t="shared" si="31"/>
        <v>0.405504088440194</v>
      </c>
      <c r="Q412" s="14">
        <v>0.0021377</v>
      </c>
      <c r="R412" s="17">
        <v>15.4223958460027</v>
      </c>
      <c r="S412" s="17">
        <f t="shared" si="32"/>
        <v>0.276716322081903</v>
      </c>
      <c r="V412" s="18">
        <v>2.01996</v>
      </c>
      <c r="Y412" s="14">
        <v>33.9593</v>
      </c>
      <c r="Z412" s="19">
        <f t="shared" si="33"/>
        <v>1.61803765095276</v>
      </c>
    </row>
    <row r="413" spans="1:26">
      <c r="A413" s="1" t="s">
        <v>433</v>
      </c>
      <c r="B413" s="1">
        <v>55150168</v>
      </c>
      <c r="C413" s="2">
        <v>4.02382e-5</v>
      </c>
      <c r="E413" s="14">
        <f t="shared" si="34"/>
        <v>0.798572658985277</v>
      </c>
      <c r="F413" s="11">
        <v>2.823226794</v>
      </c>
      <c r="G413" s="15">
        <v>2.25455172780306</v>
      </c>
      <c r="I413" s="14">
        <v>0.025781</v>
      </c>
      <c r="J413" s="13">
        <f t="shared" si="30"/>
        <v>2.13917877506691</v>
      </c>
      <c r="M413" s="14">
        <v>347.076</v>
      </c>
      <c r="N413" s="16">
        <f t="shared" si="31"/>
        <v>0.158899399555141</v>
      </c>
      <c r="Q413" s="14">
        <v>0.00393165</v>
      </c>
      <c r="R413" s="17">
        <v>8.41633939948876</v>
      </c>
      <c r="S413" s="17">
        <f t="shared" si="32"/>
        <v>0.267877947975816</v>
      </c>
      <c r="V413" s="18">
        <v>1.7276</v>
      </c>
      <c r="Y413" s="14">
        <v>44.1088</v>
      </c>
      <c r="Z413" s="19">
        <f t="shared" si="33"/>
        <v>1.25032120574579</v>
      </c>
    </row>
    <row r="414" spans="1:26">
      <c r="A414" s="1" t="s">
        <v>434</v>
      </c>
      <c r="B414" s="1">
        <v>56334928</v>
      </c>
      <c r="C414" s="2">
        <v>1</v>
      </c>
      <c r="E414" s="14">
        <f t="shared" si="34"/>
        <v>3.26149038289918</v>
      </c>
      <c r="F414" s="11">
        <v>11.140407446</v>
      </c>
      <c r="G414" s="15">
        <v>36.3343317467074</v>
      </c>
      <c r="I414" s="14">
        <v>0.002932</v>
      </c>
      <c r="J414" s="13">
        <f t="shared" si="30"/>
        <v>19.2138226466576</v>
      </c>
      <c r="M414" s="14">
        <v>16.212</v>
      </c>
      <c r="N414" s="16">
        <f t="shared" si="31"/>
        <v>3.47489069824821</v>
      </c>
      <c r="Q414" s="14">
        <v>0.0124478</v>
      </c>
      <c r="R414" s="17">
        <v>2.71541612172432</v>
      </c>
      <c r="S414" s="17">
        <f t="shared" si="32"/>
        <v>13.3807601185025</v>
      </c>
      <c r="V414" s="18">
        <v>7.37215</v>
      </c>
      <c r="Y414" s="14">
        <v>5.7682</v>
      </c>
      <c r="Z414" s="19">
        <f t="shared" si="33"/>
        <v>9.76646579522208</v>
      </c>
    </row>
    <row r="415" spans="1:26">
      <c r="A415" s="1" t="s">
        <v>435</v>
      </c>
      <c r="B415" s="1">
        <v>56334928</v>
      </c>
      <c r="C415" s="2">
        <v>1</v>
      </c>
      <c r="E415" s="14">
        <f t="shared" si="34"/>
        <v>3.91278485390826</v>
      </c>
      <c r="F415" s="11">
        <v>9.367314074</v>
      </c>
      <c r="G415" s="15">
        <v>36.6522846305489</v>
      </c>
      <c r="I415" s="14">
        <v>0.002937</v>
      </c>
      <c r="J415" s="13">
        <f t="shared" si="30"/>
        <v>19.181112700034</v>
      </c>
      <c r="M415" s="14">
        <v>16.979</v>
      </c>
      <c r="N415" s="16">
        <f t="shared" si="31"/>
        <v>3.3179178985806</v>
      </c>
      <c r="Q415" s="14">
        <v>0.0134066</v>
      </c>
      <c r="R415" s="17">
        <v>2.52121766890934</v>
      </c>
      <c r="S415" s="17">
        <f t="shared" si="32"/>
        <v>14.5375328288907</v>
      </c>
      <c r="V415" s="18">
        <v>7.35476</v>
      </c>
      <c r="Y415" s="14">
        <v>6.0142</v>
      </c>
      <c r="Z415" s="19">
        <f t="shared" si="33"/>
        <v>9.366986132819</v>
      </c>
    </row>
    <row r="416" spans="1:26">
      <c r="A416" s="1" t="s">
        <v>436</v>
      </c>
      <c r="B416" s="1">
        <v>57145790</v>
      </c>
      <c r="C416" s="2">
        <v>7.00574e-5</v>
      </c>
      <c r="E416" s="14">
        <f t="shared" si="34"/>
        <v>0.614612376133814</v>
      </c>
      <c r="F416" s="11">
        <v>3.692454401</v>
      </c>
      <c r="G416" s="15">
        <v>2.26942817316437</v>
      </c>
      <c r="I416" s="14">
        <v>0.014489</v>
      </c>
      <c r="J416" s="13">
        <f t="shared" si="30"/>
        <v>3.94408102698599</v>
      </c>
      <c r="M416" s="14">
        <v>71.727</v>
      </c>
      <c r="N416" s="16">
        <f t="shared" si="31"/>
        <v>0.796712395611137</v>
      </c>
      <c r="Q416" s="14">
        <v>0.0228293</v>
      </c>
      <c r="R416" s="17">
        <v>1.50190649735209</v>
      </c>
      <c r="S416" s="17">
        <f t="shared" si="32"/>
        <v>1.51103159695057</v>
      </c>
      <c r="V416" s="18">
        <v>1.73683</v>
      </c>
      <c r="Y416" s="14">
        <v>35.063</v>
      </c>
      <c r="Z416" s="19">
        <f t="shared" si="33"/>
        <v>1.6298032113624</v>
      </c>
    </row>
    <row r="417" spans="1:26">
      <c r="A417" s="1" t="s">
        <v>437</v>
      </c>
      <c r="B417" s="1">
        <v>57145790</v>
      </c>
      <c r="C417" s="2">
        <v>6.09088e-5</v>
      </c>
      <c r="E417" s="14">
        <f t="shared" si="34"/>
        <v>0.621823489177761</v>
      </c>
      <c r="F417" s="11">
        <v>3.649373171</v>
      </c>
      <c r="G417" s="15">
        <v>2.26926595850293</v>
      </c>
      <c r="I417" s="14">
        <v>0.014149</v>
      </c>
      <c r="J417" s="13">
        <f t="shared" si="30"/>
        <v>4.03885716305039</v>
      </c>
      <c r="M417" s="14">
        <v>72.912</v>
      </c>
      <c r="N417" s="16">
        <f t="shared" si="31"/>
        <v>0.78376385231512</v>
      </c>
      <c r="Q417" s="14">
        <v>0.0253555</v>
      </c>
      <c r="R417" s="17">
        <v>1.35226968507819</v>
      </c>
      <c r="S417" s="17">
        <f t="shared" si="32"/>
        <v>1.67811641682385</v>
      </c>
      <c r="V417" s="18">
        <v>1.73453</v>
      </c>
      <c r="Y417" s="14">
        <v>35.2773</v>
      </c>
      <c r="Z417" s="19">
        <f t="shared" si="33"/>
        <v>1.61990260025569</v>
      </c>
    </row>
    <row r="418" spans="1:26">
      <c r="A418" s="1" t="s">
        <v>438</v>
      </c>
      <c r="B418" s="1">
        <v>57801612</v>
      </c>
      <c r="C418" s="2">
        <v>4.85555e-5</v>
      </c>
      <c r="E418" s="14">
        <f t="shared" si="34"/>
        <v>0.585577744426773</v>
      </c>
      <c r="F418" s="11">
        <v>3.888388644</v>
      </c>
      <c r="G418" s="15">
        <v>2.2769538516082</v>
      </c>
      <c r="I418" s="14">
        <v>0.016405</v>
      </c>
      <c r="J418" s="13">
        <f t="shared" si="30"/>
        <v>3.52341432490094</v>
      </c>
      <c r="M418" s="14">
        <v>370.266</v>
      </c>
      <c r="N418" s="16">
        <f t="shared" si="31"/>
        <v>0.156108343731263</v>
      </c>
      <c r="Q418" s="14">
        <v>0.00367102</v>
      </c>
      <c r="R418" s="17">
        <v>9.44722916246711</v>
      </c>
      <c r="S418" s="17">
        <f t="shared" si="32"/>
        <v>0.241018166538641</v>
      </c>
      <c r="V418" s="18">
        <v>1.78352</v>
      </c>
      <c r="Y418" s="14">
        <v>46.8781</v>
      </c>
      <c r="Z418" s="19">
        <f t="shared" si="33"/>
        <v>1.23301951230959</v>
      </c>
    </row>
    <row r="419" spans="1:26">
      <c r="A419" s="1" t="s">
        <v>439</v>
      </c>
      <c r="B419" s="1">
        <v>59165700</v>
      </c>
      <c r="C419" s="2">
        <v>0.14575</v>
      </c>
      <c r="E419" s="14">
        <f t="shared" si="34"/>
        <v>1.93874830744581</v>
      </c>
      <c r="F419" s="11">
        <v>4.373484266</v>
      </c>
      <c r="G419" s="15">
        <v>8.47908521834837</v>
      </c>
      <c r="I419" s="14">
        <v>0.007572</v>
      </c>
      <c r="J419" s="13">
        <f t="shared" si="30"/>
        <v>7.81374801901743</v>
      </c>
      <c r="M419" s="14">
        <v>61.325</v>
      </c>
      <c r="N419" s="16">
        <f t="shared" si="31"/>
        <v>0.964789237668161</v>
      </c>
      <c r="Q419" s="14">
        <v>0.0232347</v>
      </c>
      <c r="R419" s="17">
        <v>1.52786220609692</v>
      </c>
      <c r="S419" s="17">
        <f t="shared" si="32"/>
        <v>5.54964000321014</v>
      </c>
      <c r="V419" s="18">
        <v>4.07524</v>
      </c>
      <c r="Y419" s="14">
        <v>16.5191</v>
      </c>
      <c r="Z419" s="19">
        <f t="shared" si="33"/>
        <v>3.58165396419902</v>
      </c>
    </row>
    <row r="420" spans="1:26">
      <c r="A420" s="1" t="s">
        <v>440</v>
      </c>
      <c r="B420" s="1">
        <v>59838604</v>
      </c>
      <c r="C420" s="2">
        <v>0.0640357</v>
      </c>
      <c r="E420" s="14">
        <f t="shared" si="34"/>
        <v>1.65501234694141</v>
      </c>
      <c r="F420" s="11">
        <v>0.793641089</v>
      </c>
      <c r="G420" s="15">
        <v>1.31348580133503</v>
      </c>
      <c r="I420" s="14">
        <v>0.048646</v>
      </c>
      <c r="J420" s="13">
        <f t="shared" si="30"/>
        <v>1.2300827200592</v>
      </c>
      <c r="M420" s="14">
        <v>305.381</v>
      </c>
      <c r="N420" s="16">
        <f t="shared" si="31"/>
        <v>0.195947370661567</v>
      </c>
      <c r="Q420" s="14">
        <v>0.053737</v>
      </c>
      <c r="R420" s="17">
        <v>0.668127405698122</v>
      </c>
      <c r="S420" s="17">
        <f t="shared" si="32"/>
        <v>1.96592115535596</v>
      </c>
      <c r="V420" s="18">
        <v>0.960378</v>
      </c>
      <c r="Y420" s="14">
        <v>91.3045</v>
      </c>
      <c r="Z420" s="19">
        <f t="shared" si="33"/>
        <v>0.655374094376509</v>
      </c>
    </row>
    <row r="421" spans="1:26">
      <c r="A421" s="1" t="s">
        <v>441</v>
      </c>
      <c r="B421" s="1">
        <v>61431294</v>
      </c>
      <c r="C421" s="2">
        <v>0.0913733</v>
      </c>
      <c r="E421" s="14">
        <f t="shared" si="34"/>
        <v>0.802045481342528</v>
      </c>
      <c r="F421" s="11">
        <v>2.157757759</v>
      </c>
      <c r="G421" s="15">
        <v>1.73061986043773</v>
      </c>
      <c r="I421" s="14">
        <v>0.034306</v>
      </c>
      <c r="J421" s="13">
        <f t="shared" si="30"/>
        <v>1.79068658543695</v>
      </c>
      <c r="M421" s="14">
        <v>223.986</v>
      </c>
      <c r="N421" s="16">
        <f t="shared" si="31"/>
        <v>0.274263989713643</v>
      </c>
      <c r="Q421" s="14">
        <v>0.0957536</v>
      </c>
      <c r="R421" s="17">
        <v>0.384933583698159</v>
      </c>
      <c r="S421" s="17">
        <f t="shared" si="32"/>
        <v>4.49589210640237</v>
      </c>
      <c r="V421" s="18">
        <v>0.846507</v>
      </c>
      <c r="Y421" s="14">
        <v>85.2754</v>
      </c>
      <c r="Z421" s="19">
        <f t="shared" si="33"/>
        <v>0.720387051834409</v>
      </c>
    </row>
    <row r="422" spans="1:26">
      <c r="A422" s="1" t="s">
        <v>442</v>
      </c>
      <c r="B422" s="1">
        <v>61590860</v>
      </c>
      <c r="C422" s="2">
        <v>0.122781</v>
      </c>
      <c r="E422" s="14">
        <f t="shared" si="34"/>
        <v>1.57396453456445</v>
      </c>
      <c r="F422" s="11">
        <v>4.189308732</v>
      </c>
      <c r="G422" s="15">
        <v>6.59382336850918</v>
      </c>
      <c r="I422" s="14">
        <v>0.006821</v>
      </c>
      <c r="J422" s="13">
        <f t="shared" si="30"/>
        <v>9.02959390118751</v>
      </c>
      <c r="M422" s="14">
        <v>39.938</v>
      </c>
      <c r="N422" s="16">
        <f t="shared" si="31"/>
        <v>1.54216185086885</v>
      </c>
      <c r="Q422" s="14">
        <v>0.0148619</v>
      </c>
      <c r="R422" s="17">
        <v>2.48652702548126</v>
      </c>
      <c r="S422" s="17">
        <f t="shared" si="32"/>
        <v>2.65182051147542</v>
      </c>
      <c r="V422" s="18">
        <v>3.97524</v>
      </c>
      <c r="Y422" s="14">
        <v>13.1337</v>
      </c>
      <c r="Z422" s="19">
        <f t="shared" si="33"/>
        <v>4.68952846494133</v>
      </c>
    </row>
    <row r="423" spans="1:26">
      <c r="A423" s="1" t="s">
        <v>443</v>
      </c>
      <c r="B423" s="1">
        <v>61701012</v>
      </c>
      <c r="C423" s="2">
        <v>0.0734007</v>
      </c>
      <c r="E423" s="14">
        <f t="shared" si="34"/>
        <v>3.46100269711614</v>
      </c>
      <c r="F423" s="11">
        <v>7.771392236</v>
      </c>
      <c r="G423" s="15">
        <v>26.8968094891434</v>
      </c>
      <c r="I423" s="14">
        <v>0.003533</v>
      </c>
      <c r="J423" s="13">
        <f t="shared" si="30"/>
        <v>17.4641981318992</v>
      </c>
      <c r="M423" s="14">
        <v>50.154</v>
      </c>
      <c r="N423" s="16">
        <f t="shared" si="31"/>
        <v>1.23023112812537</v>
      </c>
      <c r="Q423" s="14">
        <v>0.0107371</v>
      </c>
      <c r="R423" s="17">
        <v>3.44791491184771</v>
      </c>
      <c r="S423" s="17">
        <f t="shared" si="32"/>
        <v>7.80089131455092</v>
      </c>
      <c r="V423" s="18">
        <v>5.84464</v>
      </c>
      <c r="Y423" s="14">
        <v>6.759</v>
      </c>
      <c r="Z423" s="19">
        <f t="shared" si="33"/>
        <v>9.12871904127829</v>
      </c>
    </row>
    <row r="424" spans="1:26">
      <c r="A424" s="1" t="s">
        <v>444</v>
      </c>
      <c r="B424" s="1">
        <v>61999464</v>
      </c>
      <c r="C424" s="2">
        <v>1</v>
      </c>
      <c r="E424" s="14">
        <f t="shared" si="34"/>
        <v>2.86723004358187</v>
      </c>
      <c r="F424" s="11">
        <v>12.605350531</v>
      </c>
      <c r="G424" s="15">
        <v>36.1424397523639</v>
      </c>
      <c r="I424" s="14">
        <v>0.003008</v>
      </c>
      <c r="J424" s="13">
        <f t="shared" si="30"/>
        <v>20.6115239361702</v>
      </c>
      <c r="M424" s="14">
        <v>22.961</v>
      </c>
      <c r="N424" s="16">
        <f t="shared" si="31"/>
        <v>2.70020748225252</v>
      </c>
      <c r="Q424" s="14">
        <v>0.00923807</v>
      </c>
      <c r="R424" s="17">
        <v>4.02678031233797</v>
      </c>
      <c r="S424" s="17">
        <f t="shared" si="32"/>
        <v>8.97551814327298</v>
      </c>
      <c r="V424" s="18">
        <v>8.01496</v>
      </c>
      <c r="Y424" s="14">
        <v>6.4256</v>
      </c>
      <c r="Z424" s="19">
        <f t="shared" si="33"/>
        <v>9.64882096613546</v>
      </c>
    </row>
    <row r="425" spans="1:26">
      <c r="A425" s="1" t="s">
        <v>445</v>
      </c>
      <c r="B425" s="1">
        <v>62153632</v>
      </c>
      <c r="C425" s="2">
        <v>0.0781043</v>
      </c>
      <c r="E425" s="14">
        <f t="shared" si="34"/>
        <v>1.06887220800295</v>
      </c>
      <c r="F425" s="11">
        <v>7.598577217</v>
      </c>
      <c r="G425" s="15">
        <v>8.12190800761572</v>
      </c>
      <c r="I425" s="14">
        <v>0.0057</v>
      </c>
      <c r="J425" s="13">
        <f t="shared" si="30"/>
        <v>10.9041459649123</v>
      </c>
      <c r="M425" s="14">
        <v>58.326</v>
      </c>
      <c r="N425" s="16">
        <f t="shared" si="31"/>
        <v>1.0656247985461</v>
      </c>
      <c r="Q425" s="14">
        <v>0.00475225</v>
      </c>
      <c r="R425" s="17">
        <v>7.84726796780472</v>
      </c>
      <c r="S425" s="17">
        <f t="shared" si="32"/>
        <v>1.03499817273193</v>
      </c>
      <c r="V425" s="18">
        <v>3.57139</v>
      </c>
      <c r="Y425" s="14">
        <v>17.1177</v>
      </c>
      <c r="Z425" s="19">
        <f t="shared" si="33"/>
        <v>3.63095696267606</v>
      </c>
    </row>
    <row r="426" spans="1:26">
      <c r="A426" s="1" t="s">
        <v>446</v>
      </c>
      <c r="B426" s="1">
        <v>62573378</v>
      </c>
      <c r="C426" s="2">
        <v>0.807097</v>
      </c>
      <c r="E426" s="14">
        <f t="shared" si="34"/>
        <v>1.94647622148197</v>
      </c>
      <c r="F426" s="11">
        <v>1.267841296</v>
      </c>
      <c r="G426" s="15">
        <v>2.46782293527688</v>
      </c>
      <c r="I426" s="14">
        <v>0.023478</v>
      </c>
      <c r="J426" s="13">
        <f t="shared" si="30"/>
        <v>2.66519200954085</v>
      </c>
      <c r="M426" s="14">
        <v>979.954</v>
      </c>
      <c r="N426" s="16">
        <f t="shared" si="31"/>
        <v>0.0638533829138919</v>
      </c>
      <c r="Q426" s="14">
        <v>0.0421355</v>
      </c>
      <c r="R426" s="17">
        <v>0.891030765031861</v>
      </c>
      <c r="S426" s="17">
        <f t="shared" si="32"/>
        <v>2.76962707924977</v>
      </c>
      <c r="V426" s="18">
        <v>1.24866</v>
      </c>
      <c r="Y426" s="14">
        <v>73.788</v>
      </c>
      <c r="Z426" s="19">
        <f t="shared" si="33"/>
        <v>0.84801563939936</v>
      </c>
    </row>
    <row r="427" spans="1:26">
      <c r="A427" s="1" t="s">
        <v>447</v>
      </c>
      <c r="B427" s="1">
        <v>62797572</v>
      </c>
      <c r="C427" s="2">
        <v>0.952862</v>
      </c>
      <c r="E427" s="14">
        <f t="shared" si="34"/>
        <v>5.62007614462818</v>
      </c>
      <c r="F427" s="11">
        <v>8.438592739</v>
      </c>
      <c r="G427" s="15">
        <v>47.4255337466865</v>
      </c>
      <c r="I427" s="14">
        <v>0.003048</v>
      </c>
      <c r="J427" s="13">
        <f t="shared" si="30"/>
        <v>20.6028779527559</v>
      </c>
      <c r="M427" s="14">
        <v>16.197</v>
      </c>
      <c r="N427" s="16">
        <f t="shared" si="31"/>
        <v>3.87711131691054</v>
      </c>
      <c r="Q427" s="14">
        <v>0.00657308</v>
      </c>
      <c r="R427" s="17">
        <v>5.73225081696861</v>
      </c>
      <c r="S427" s="17">
        <f t="shared" si="32"/>
        <v>8.2734575406745</v>
      </c>
      <c r="V427" s="18">
        <v>8.68893</v>
      </c>
      <c r="Y427" s="14">
        <v>5.3029</v>
      </c>
      <c r="Z427" s="19">
        <f t="shared" si="33"/>
        <v>11.8421188406344</v>
      </c>
    </row>
    <row r="428" spans="1:26">
      <c r="A428" s="1" t="s">
        <v>448</v>
      </c>
      <c r="B428" s="1">
        <v>63644576</v>
      </c>
      <c r="C428" s="2">
        <v>0.000453474</v>
      </c>
      <c r="E428" s="14">
        <f t="shared" si="34"/>
        <v>0.905805062917088</v>
      </c>
      <c r="F428" s="11">
        <v>3.845202148</v>
      </c>
      <c r="G428" s="15">
        <v>3.48300357359806</v>
      </c>
      <c r="I428" s="14">
        <v>0.015102</v>
      </c>
      <c r="J428" s="13">
        <f t="shared" si="30"/>
        <v>4.21431439544431</v>
      </c>
      <c r="M428" s="14">
        <v>71.952</v>
      </c>
      <c r="N428" s="16">
        <f t="shared" si="31"/>
        <v>0.884542139203914</v>
      </c>
      <c r="Q428" s="14">
        <v>0.153401</v>
      </c>
      <c r="R428" s="17">
        <v>0.248934137326354</v>
      </c>
      <c r="S428" s="17">
        <f t="shared" si="32"/>
        <v>13.9916670771105</v>
      </c>
      <c r="V428" s="18">
        <v>2.04129</v>
      </c>
      <c r="Y428" s="14">
        <v>35.7951</v>
      </c>
      <c r="Z428" s="19">
        <f t="shared" si="33"/>
        <v>1.77802481345212</v>
      </c>
    </row>
    <row r="429" spans="1:26">
      <c r="A429" s="1" t="s">
        <v>449</v>
      </c>
      <c r="B429" s="1">
        <v>64527332</v>
      </c>
      <c r="C429" s="2">
        <v>0.990619</v>
      </c>
      <c r="E429" s="14">
        <f t="shared" si="34"/>
        <v>3.21173100045619</v>
      </c>
      <c r="F429" s="11">
        <v>7.775990769</v>
      </c>
      <c r="G429" s="15">
        <v>24.9743906120585</v>
      </c>
      <c r="I429" s="14">
        <v>0.003487</v>
      </c>
      <c r="J429" s="13">
        <f t="shared" si="30"/>
        <v>18.5051138514482</v>
      </c>
      <c r="M429" s="14">
        <v>34.666</v>
      </c>
      <c r="N429" s="16">
        <f t="shared" si="31"/>
        <v>1.86140114232966</v>
      </c>
      <c r="Q429" s="14">
        <v>0.0175206</v>
      </c>
      <c r="R429" s="17">
        <v>2.20976446012123</v>
      </c>
      <c r="S429" s="17">
        <f t="shared" si="32"/>
        <v>11.3018337758443</v>
      </c>
      <c r="V429" s="18">
        <v>6.43987</v>
      </c>
      <c r="Y429" s="14">
        <v>7.7305</v>
      </c>
      <c r="Z429" s="19">
        <f t="shared" si="33"/>
        <v>8.34710976004139</v>
      </c>
    </row>
    <row r="430" spans="1:26">
      <c r="A430" s="1" t="s">
        <v>450</v>
      </c>
      <c r="B430" s="1">
        <v>64631728</v>
      </c>
      <c r="C430" s="2">
        <v>0.00101209</v>
      </c>
      <c r="E430" s="14">
        <f t="shared" si="34"/>
        <v>0.553362055117958</v>
      </c>
      <c r="F430" s="11">
        <v>1.325696825</v>
      </c>
      <c r="G430" s="15">
        <v>0.733590319545352</v>
      </c>
      <c r="I430" s="14">
        <v>0.032392</v>
      </c>
      <c r="J430" s="13">
        <f t="shared" si="30"/>
        <v>1.99529908619412</v>
      </c>
      <c r="M430" s="14">
        <v>245.764</v>
      </c>
      <c r="N430" s="16">
        <f t="shared" si="31"/>
        <v>0.262982894158624</v>
      </c>
      <c r="Q430" s="14">
        <v>0.0136341</v>
      </c>
      <c r="R430" s="17">
        <v>2.84426818051797</v>
      </c>
      <c r="S430" s="17">
        <f t="shared" si="32"/>
        <v>0.257918829374155</v>
      </c>
      <c r="V430" s="18">
        <v>1.10266</v>
      </c>
      <c r="Y430" s="14">
        <v>79.6183</v>
      </c>
      <c r="Z430" s="19">
        <f t="shared" si="33"/>
        <v>0.811769756450464</v>
      </c>
    </row>
    <row r="431" spans="1:26">
      <c r="A431" s="1" t="s">
        <v>451</v>
      </c>
      <c r="B431" s="1">
        <v>66596856</v>
      </c>
      <c r="C431" s="2">
        <v>0.00503488</v>
      </c>
      <c r="E431" s="14">
        <f t="shared" si="34"/>
        <v>1.93851096532557</v>
      </c>
      <c r="F431" s="11">
        <v>3.364276409</v>
      </c>
      <c r="G431" s="15">
        <v>6.52168670923264</v>
      </c>
      <c r="I431" s="14">
        <v>0.010202</v>
      </c>
      <c r="J431" s="13">
        <f t="shared" si="30"/>
        <v>6.52782356400706</v>
      </c>
      <c r="M431" s="14">
        <v>69.149</v>
      </c>
      <c r="N431" s="16">
        <f t="shared" si="31"/>
        <v>0.963092105453441</v>
      </c>
      <c r="Q431" s="14">
        <v>0.10432</v>
      </c>
      <c r="R431" s="17">
        <v>0.383034064417178</v>
      </c>
      <c r="S431" s="17">
        <f t="shared" si="32"/>
        <v>17.0263882904409</v>
      </c>
      <c r="V431" s="18">
        <v>3.03122</v>
      </c>
      <c r="Y431" s="14">
        <v>26.7605</v>
      </c>
      <c r="Z431" s="19">
        <f t="shared" si="33"/>
        <v>2.48862524990191</v>
      </c>
    </row>
    <row r="432" spans="1:26">
      <c r="A432" s="1" t="s">
        <v>452</v>
      </c>
      <c r="B432" s="1">
        <v>66596856</v>
      </c>
      <c r="C432" s="2">
        <v>0.00528817</v>
      </c>
      <c r="E432" s="14">
        <f t="shared" si="34"/>
        <v>1.78485911325561</v>
      </c>
      <c r="F432" s="11">
        <v>3.501708805</v>
      </c>
      <c r="G432" s="15">
        <v>6.25005687257165</v>
      </c>
      <c r="I432" s="14">
        <v>0.010439</v>
      </c>
      <c r="J432" s="13">
        <f t="shared" si="30"/>
        <v>6.37962027014082</v>
      </c>
      <c r="M432" s="14">
        <v>70.207</v>
      </c>
      <c r="N432" s="16">
        <f t="shared" si="31"/>
        <v>0.94857857478599</v>
      </c>
      <c r="Q432" s="14">
        <v>0.156151</v>
      </c>
      <c r="R432" s="17">
        <v>0.255894061517377</v>
      </c>
      <c r="S432" s="17">
        <f t="shared" si="32"/>
        <v>24.4243920140649</v>
      </c>
      <c r="V432" s="18">
        <v>3.16155</v>
      </c>
      <c r="Y432" s="14">
        <v>26.6258</v>
      </c>
      <c r="Z432" s="19">
        <f t="shared" si="33"/>
        <v>2.50121521231287</v>
      </c>
    </row>
    <row r="433" spans="1:26">
      <c r="A433" s="1" t="s">
        <v>453</v>
      </c>
      <c r="B433" s="1">
        <v>67360030</v>
      </c>
      <c r="C433" s="2">
        <v>0.00178547</v>
      </c>
      <c r="E433" s="14">
        <f t="shared" si="34"/>
        <v>0.512504335650354</v>
      </c>
      <c r="F433" s="11">
        <v>3.518468459</v>
      </c>
      <c r="G433" s="15">
        <v>1.80323034008652</v>
      </c>
      <c r="I433" s="14">
        <v>0.031203</v>
      </c>
      <c r="J433" s="13">
        <f t="shared" si="30"/>
        <v>2.15876774669102</v>
      </c>
      <c r="M433" s="14">
        <v>1057.893</v>
      </c>
      <c r="N433" s="16">
        <f t="shared" si="31"/>
        <v>0.0636737647380217</v>
      </c>
      <c r="Q433" s="14">
        <v>0.0765851</v>
      </c>
      <c r="R433" s="17">
        <v>0.527726907714425</v>
      </c>
      <c r="S433" s="17">
        <f t="shared" si="32"/>
        <v>3.41697630673462</v>
      </c>
      <c r="V433" s="18">
        <v>1.22</v>
      </c>
      <c r="Y433" s="14">
        <v>79.4637</v>
      </c>
      <c r="Z433" s="19">
        <f t="shared" si="33"/>
        <v>0.847683030113121</v>
      </c>
    </row>
    <row r="434" spans="1:26">
      <c r="A434" s="1" t="s">
        <v>454</v>
      </c>
      <c r="B434" s="1">
        <v>68330640</v>
      </c>
      <c r="C434" s="2">
        <v>0.000100005</v>
      </c>
      <c r="E434" s="14">
        <f t="shared" si="34"/>
        <v>1.47386491954146</v>
      </c>
      <c r="F434" s="11">
        <v>0.554134295</v>
      </c>
      <c r="G434" s="15">
        <v>0.816719098115336</v>
      </c>
      <c r="I434" s="14">
        <v>0.06936</v>
      </c>
      <c r="J434" s="13">
        <f t="shared" si="30"/>
        <v>0.985159169550173</v>
      </c>
      <c r="M434" s="14">
        <v>265.733</v>
      </c>
      <c r="N434" s="16">
        <f t="shared" si="31"/>
        <v>0.257140212167853</v>
      </c>
      <c r="Q434" s="14">
        <v>0.0201691</v>
      </c>
      <c r="R434" s="17">
        <v>2.03273244715927</v>
      </c>
      <c r="S434" s="17">
        <f t="shared" si="32"/>
        <v>0.401783864500562</v>
      </c>
      <c r="V434" s="18">
        <v>0.863082</v>
      </c>
      <c r="Y434" s="14">
        <v>114.1165</v>
      </c>
      <c r="Z434" s="19">
        <f t="shared" si="33"/>
        <v>0.598779668146149</v>
      </c>
    </row>
    <row r="435" spans="1:26">
      <c r="A435" s="1" t="s">
        <v>455</v>
      </c>
      <c r="B435" s="1">
        <v>68585642</v>
      </c>
      <c r="C435" s="2">
        <v>0.866393</v>
      </c>
      <c r="E435" s="14">
        <f t="shared" si="34"/>
        <v>2.63172853874694</v>
      </c>
      <c r="F435" s="11">
        <v>11.110000949</v>
      </c>
      <c r="G435" s="15">
        <v>29.2385065629889</v>
      </c>
      <c r="I435" s="14">
        <v>0.003562</v>
      </c>
      <c r="J435" s="13">
        <f t="shared" si="30"/>
        <v>19.2548124649074</v>
      </c>
      <c r="M435" s="14">
        <v>31.515</v>
      </c>
      <c r="N435" s="16">
        <f t="shared" si="31"/>
        <v>2.17628564175789</v>
      </c>
      <c r="Q435" s="14">
        <v>0.0107035</v>
      </c>
      <c r="R435" s="17">
        <v>3.84466624935769</v>
      </c>
      <c r="S435" s="17">
        <f t="shared" si="32"/>
        <v>7.60495311338758</v>
      </c>
      <c r="V435" s="18">
        <v>4.98325</v>
      </c>
      <c r="Y435" s="14">
        <v>7.6935</v>
      </c>
      <c r="Z435" s="19">
        <f t="shared" si="33"/>
        <v>8.91475167349061</v>
      </c>
    </row>
    <row r="436" spans="1:26">
      <c r="A436" s="1" t="s">
        <v>456</v>
      </c>
      <c r="B436" s="1">
        <v>69913200</v>
      </c>
      <c r="C436" s="2">
        <v>0.364257</v>
      </c>
      <c r="E436" s="14">
        <f t="shared" si="34"/>
        <v>2.45265869535838</v>
      </c>
      <c r="F436" s="11">
        <v>7.493406139</v>
      </c>
      <c r="G436" s="15">
        <v>18.3787677246702</v>
      </c>
      <c r="I436" s="14">
        <v>0.004213</v>
      </c>
      <c r="J436" s="13">
        <f t="shared" si="30"/>
        <v>16.5946356515547</v>
      </c>
      <c r="M436" s="14">
        <v>81.997</v>
      </c>
      <c r="N436" s="16">
        <f t="shared" si="31"/>
        <v>0.852631193824164</v>
      </c>
      <c r="Q436" s="14">
        <v>0.0125081</v>
      </c>
      <c r="R436" s="17">
        <v>3.35366042804263</v>
      </c>
      <c r="S436" s="17">
        <f t="shared" si="32"/>
        <v>5.48021128525436</v>
      </c>
      <c r="V436" s="18">
        <v>6.67096</v>
      </c>
      <c r="Y436" s="14">
        <v>8.5547</v>
      </c>
      <c r="Z436" s="19">
        <f t="shared" si="33"/>
        <v>8.17248997627035</v>
      </c>
    </row>
    <row r="437" spans="1:26">
      <c r="A437" s="1" t="s">
        <v>457</v>
      </c>
      <c r="B437" s="1">
        <v>72986388</v>
      </c>
      <c r="C437" s="2">
        <v>0.728121</v>
      </c>
      <c r="E437" s="14">
        <f t="shared" si="34"/>
        <v>1.15735371588528</v>
      </c>
      <c r="F437" s="11">
        <v>6.479374072</v>
      </c>
      <c r="G437" s="15">
        <v>7.49892765883996</v>
      </c>
      <c r="I437" s="14">
        <v>0.0051</v>
      </c>
      <c r="J437" s="13">
        <f t="shared" si="30"/>
        <v>14.3110564705882</v>
      </c>
      <c r="M437" s="14">
        <v>51.169</v>
      </c>
      <c r="N437" s="16">
        <f t="shared" si="31"/>
        <v>1.42637901854639</v>
      </c>
      <c r="Q437" s="14">
        <v>0.0113609</v>
      </c>
      <c r="R437" s="17">
        <v>3.85460947636191</v>
      </c>
      <c r="S437" s="17">
        <f t="shared" si="32"/>
        <v>1.94544420253895</v>
      </c>
      <c r="V437" s="18">
        <v>4.52401</v>
      </c>
      <c r="Y437" s="14">
        <v>10.3424</v>
      </c>
      <c r="Z437" s="19">
        <f t="shared" si="33"/>
        <v>7.05700688428218</v>
      </c>
    </row>
    <row r="438" spans="1:26">
      <c r="A438" s="1" t="s">
        <v>458</v>
      </c>
      <c r="B438" s="1">
        <v>73016184</v>
      </c>
      <c r="C438" s="2">
        <v>1</v>
      </c>
      <c r="E438" s="14">
        <f t="shared" si="34"/>
        <v>3.33224318272439</v>
      </c>
      <c r="F438" s="11">
        <v>12.338127785</v>
      </c>
      <c r="G438" s="15">
        <v>41.1136421991486</v>
      </c>
      <c r="I438" s="14">
        <v>0.003417</v>
      </c>
      <c r="J438" s="13">
        <f t="shared" si="30"/>
        <v>21.3685057067603</v>
      </c>
      <c r="M438" s="14">
        <v>52.107</v>
      </c>
      <c r="N438" s="16">
        <f t="shared" si="31"/>
        <v>1.40127399389717</v>
      </c>
      <c r="Q438" s="14">
        <v>0.00940191</v>
      </c>
      <c r="R438" s="17">
        <v>4.659660685967</v>
      </c>
      <c r="S438" s="17">
        <f t="shared" si="32"/>
        <v>8.82331246199238</v>
      </c>
      <c r="V438" s="18">
        <v>7.91078</v>
      </c>
      <c r="Y438" s="14">
        <v>6.659</v>
      </c>
      <c r="Z438" s="19">
        <f t="shared" si="33"/>
        <v>10.965037393002</v>
      </c>
    </row>
    <row r="439" spans="1:26">
      <c r="A439" s="1" t="s">
        <v>459</v>
      </c>
      <c r="B439" s="1">
        <v>73755448</v>
      </c>
      <c r="C439" s="2">
        <v>0.320076</v>
      </c>
      <c r="E439" s="14">
        <f t="shared" si="34"/>
        <v>0.885630364992105</v>
      </c>
      <c r="F439" s="11">
        <v>1.641124403</v>
      </c>
      <c r="G439" s="15">
        <v>1.45342960402634</v>
      </c>
      <c r="I439" s="14">
        <v>0.025151</v>
      </c>
      <c r="J439" s="13">
        <f t="shared" si="30"/>
        <v>2.932505586259</v>
      </c>
      <c r="M439" s="14">
        <v>157.683</v>
      </c>
      <c r="N439" s="16">
        <f t="shared" si="31"/>
        <v>0.467745083490294</v>
      </c>
      <c r="Q439" s="14">
        <v>0.0616143</v>
      </c>
      <c r="R439" s="17">
        <v>0.718230488701487</v>
      </c>
      <c r="S439" s="17">
        <f t="shared" si="32"/>
        <v>2.02362560054231</v>
      </c>
      <c r="V439" s="18">
        <v>1.55924</v>
      </c>
      <c r="Y439" s="14">
        <v>67.0397</v>
      </c>
      <c r="Z439" s="19">
        <f t="shared" si="33"/>
        <v>1.10017568694371</v>
      </c>
    </row>
    <row r="440" spans="1:26">
      <c r="A440" s="1" t="s">
        <v>460</v>
      </c>
      <c r="B440" s="1">
        <v>74599276</v>
      </c>
      <c r="C440" s="2">
        <v>0.0102403</v>
      </c>
      <c r="E440" s="14">
        <f t="shared" si="34"/>
        <v>1.50392773008177</v>
      </c>
      <c r="F440" s="11">
        <v>4.02451611</v>
      </c>
      <c r="G440" s="15">
        <v>6.05258137798981</v>
      </c>
      <c r="I440" s="14">
        <v>0.013881</v>
      </c>
      <c r="J440" s="13">
        <f t="shared" si="30"/>
        <v>5.37420041783733</v>
      </c>
      <c r="M440" s="14">
        <v>163.304</v>
      </c>
      <c r="N440" s="16">
        <f t="shared" si="31"/>
        <v>0.456812300984667</v>
      </c>
      <c r="Q440" s="14">
        <v>0.0140281</v>
      </c>
      <c r="R440" s="17">
        <v>3.19070762255758</v>
      </c>
      <c r="S440" s="17">
        <f t="shared" si="32"/>
        <v>1.89694014431138</v>
      </c>
      <c r="V440" s="18">
        <v>2.83177</v>
      </c>
      <c r="Y440" s="14">
        <v>33.9226</v>
      </c>
      <c r="Z440" s="19">
        <f t="shared" si="33"/>
        <v>2.19910254520585</v>
      </c>
    </row>
    <row r="441" spans="1:26">
      <c r="A441" s="1" t="s">
        <v>461</v>
      </c>
      <c r="B441" s="1">
        <v>74735032</v>
      </c>
      <c r="C441" s="2">
        <v>0.00803272</v>
      </c>
      <c r="E441" s="14">
        <f t="shared" si="34"/>
        <v>0.912547456973007</v>
      </c>
      <c r="F441" s="11">
        <v>2.207262001</v>
      </c>
      <c r="G441" s="15">
        <v>2.0142313258857</v>
      </c>
      <c r="I441" s="14">
        <v>0.032339</v>
      </c>
      <c r="J441" s="13">
        <f t="shared" si="30"/>
        <v>2.31098772380098</v>
      </c>
      <c r="M441" s="14">
        <v>222.86</v>
      </c>
      <c r="N441" s="16">
        <f t="shared" si="31"/>
        <v>0.335345203266625</v>
      </c>
      <c r="Q441" s="14">
        <v>0.110443</v>
      </c>
      <c r="R441" s="17">
        <v>0.406010514020807</v>
      </c>
      <c r="S441" s="17">
        <f t="shared" si="32"/>
        <v>4.9610324273092</v>
      </c>
      <c r="V441" s="18">
        <v>1.00303</v>
      </c>
      <c r="Y441" s="14">
        <v>78.0499</v>
      </c>
      <c r="Z441" s="19">
        <f t="shared" si="33"/>
        <v>0.957528862945372</v>
      </c>
    </row>
    <row r="442" spans="1:26">
      <c r="A442" s="1" t="s">
        <v>462</v>
      </c>
      <c r="B442" s="1">
        <v>76045944</v>
      </c>
      <c r="C442" s="2">
        <v>0.151151</v>
      </c>
      <c r="E442" s="14">
        <f t="shared" si="34"/>
        <v>1.88231894274021</v>
      </c>
      <c r="F442" s="11">
        <v>11.006052612</v>
      </c>
      <c r="G442" s="15">
        <v>20.716901316363</v>
      </c>
      <c r="I442" s="14">
        <v>0.004092</v>
      </c>
      <c r="J442" s="13">
        <f t="shared" si="30"/>
        <v>18.5840527859238</v>
      </c>
      <c r="M442" s="14">
        <v>56.654</v>
      </c>
      <c r="N442" s="16">
        <f t="shared" si="31"/>
        <v>1.34228728774667</v>
      </c>
      <c r="Q442" s="14">
        <v>0.00966851</v>
      </c>
      <c r="R442" s="17">
        <v>4.71919317454292</v>
      </c>
      <c r="S442" s="17">
        <f t="shared" si="32"/>
        <v>4.38992441083312</v>
      </c>
      <c r="V442" s="18">
        <v>5.88027</v>
      </c>
      <c r="Y442" s="14">
        <v>7.8157</v>
      </c>
      <c r="Z442" s="19">
        <f t="shared" si="33"/>
        <v>9.72989546681679</v>
      </c>
    </row>
    <row r="443" spans="1:26">
      <c r="A443" s="1" t="s">
        <v>463</v>
      </c>
      <c r="B443" s="1">
        <v>76045944</v>
      </c>
      <c r="C443" s="2">
        <v>0.052932</v>
      </c>
      <c r="E443" s="14">
        <f t="shared" si="34"/>
        <v>3.16192806406508</v>
      </c>
      <c r="F443" s="11">
        <v>9.973789927</v>
      </c>
      <c r="G443" s="15">
        <v>31.5364062752709</v>
      </c>
      <c r="I443" s="14">
        <v>0.004094</v>
      </c>
      <c r="J443" s="13">
        <f t="shared" si="30"/>
        <v>18.5749741084514</v>
      </c>
      <c r="M443" s="14">
        <v>62.31</v>
      </c>
      <c r="N443" s="16">
        <f t="shared" si="31"/>
        <v>1.22044525758305</v>
      </c>
      <c r="Q443" s="14">
        <v>0.0124701</v>
      </c>
      <c r="R443" s="17">
        <v>3.65895753843193</v>
      </c>
      <c r="S443" s="17">
        <f t="shared" si="32"/>
        <v>8.61895934676138</v>
      </c>
      <c r="V443" s="18">
        <v>5.95418</v>
      </c>
      <c r="Y443" s="14">
        <v>8.0781</v>
      </c>
      <c r="Z443" s="19">
        <f t="shared" si="33"/>
        <v>9.41384038325844</v>
      </c>
    </row>
    <row r="444" spans="1:26">
      <c r="A444" s="1" t="s">
        <v>464</v>
      </c>
      <c r="B444" s="1">
        <v>76063056</v>
      </c>
      <c r="C444" s="2">
        <v>0.875164</v>
      </c>
      <c r="E444" s="14">
        <f t="shared" si="34"/>
        <v>1.86486535779006</v>
      </c>
      <c r="F444" s="11">
        <v>6.954852001</v>
      </c>
      <c r="G444" s="15">
        <v>12.9698625652218</v>
      </c>
      <c r="I444" s="14">
        <v>0.004901</v>
      </c>
      <c r="J444" s="13">
        <f t="shared" si="30"/>
        <v>15.5199053254438</v>
      </c>
      <c r="M444" s="14">
        <v>60.772</v>
      </c>
      <c r="N444" s="16">
        <f t="shared" si="31"/>
        <v>1.25161350621997</v>
      </c>
      <c r="Q444" s="14">
        <v>0.0144788</v>
      </c>
      <c r="R444" s="17">
        <v>3.15204530762218</v>
      </c>
      <c r="S444" s="17">
        <f t="shared" si="32"/>
        <v>4.11474496697699</v>
      </c>
      <c r="V444" s="18">
        <v>4.80452</v>
      </c>
      <c r="Y444" s="14">
        <v>10.1691</v>
      </c>
      <c r="Z444" s="19">
        <f t="shared" si="33"/>
        <v>7.47982181313981</v>
      </c>
    </row>
    <row r="445" spans="1:26">
      <c r="A445" s="1" t="s">
        <v>465</v>
      </c>
      <c r="B445" s="1">
        <v>76260962</v>
      </c>
      <c r="C445" s="2">
        <v>0.870627</v>
      </c>
      <c r="E445" s="14">
        <f t="shared" si="34"/>
        <v>3.48377912845187</v>
      </c>
      <c r="F445" s="11">
        <v>9.121261388</v>
      </c>
      <c r="G445" s="15">
        <v>31.7764600486683</v>
      </c>
      <c r="I445" s="14">
        <v>0.00383</v>
      </c>
      <c r="J445" s="13">
        <f t="shared" si="30"/>
        <v>19.9114783289817</v>
      </c>
      <c r="M445" s="14">
        <v>33.458</v>
      </c>
      <c r="N445" s="16">
        <f t="shared" si="31"/>
        <v>2.2793042620599</v>
      </c>
      <c r="Q445" s="14">
        <v>0.0115749</v>
      </c>
      <c r="R445" s="17">
        <v>3.95308617785035</v>
      </c>
      <c r="S445" s="17">
        <f t="shared" si="32"/>
        <v>8.03839294643155</v>
      </c>
      <c r="V445" s="18">
        <v>6.32598</v>
      </c>
      <c r="Y445" s="14">
        <v>8.3426</v>
      </c>
      <c r="Z445" s="19">
        <f t="shared" si="33"/>
        <v>9.1411504806655</v>
      </c>
    </row>
    <row r="446" spans="1:26">
      <c r="A446" s="1" t="s">
        <v>466</v>
      </c>
      <c r="B446" s="1">
        <v>76536664</v>
      </c>
      <c r="C446" s="2">
        <v>3.73009e-5</v>
      </c>
      <c r="E446" s="14">
        <f t="shared" si="34"/>
        <v>0.544032608946164</v>
      </c>
      <c r="F446" s="11">
        <v>3.358414038</v>
      </c>
      <c r="G446" s="15">
        <v>1.82708675101456</v>
      </c>
      <c r="I446" s="14">
        <v>0.047451</v>
      </c>
      <c r="J446" s="13">
        <f t="shared" si="30"/>
        <v>1.61296208720575</v>
      </c>
      <c r="M446" s="14">
        <v>358.824</v>
      </c>
      <c r="N446" s="16">
        <f t="shared" si="31"/>
        <v>0.213298619936236</v>
      </c>
      <c r="Q446" s="14">
        <v>0.00399452</v>
      </c>
      <c r="R446" s="17">
        <v>11.4962494617626</v>
      </c>
      <c r="S446" s="17">
        <f t="shared" si="32"/>
        <v>0.1589289408769</v>
      </c>
      <c r="V446" s="18">
        <v>1.41396</v>
      </c>
      <c r="Y446" s="14">
        <v>79.0932</v>
      </c>
      <c r="Z446" s="19">
        <f t="shared" si="33"/>
        <v>0.967676917863988</v>
      </c>
    </row>
    <row r="447" spans="1:26">
      <c r="A447" s="1" t="s">
        <v>467</v>
      </c>
      <c r="B447" s="1">
        <v>79848200</v>
      </c>
      <c r="C447" s="2">
        <v>0.0461752</v>
      </c>
      <c r="E447" s="14">
        <f t="shared" si="34"/>
        <v>1.14643146014959</v>
      </c>
      <c r="F447" s="11">
        <v>1.066795093</v>
      </c>
      <c r="G447" s="15">
        <v>1.22300745614841</v>
      </c>
      <c r="I447" s="14">
        <v>0.033761</v>
      </c>
      <c r="J447" s="13">
        <f t="shared" si="30"/>
        <v>2.36510174461657</v>
      </c>
      <c r="M447" s="14">
        <v>844.276</v>
      </c>
      <c r="N447" s="16">
        <f t="shared" si="31"/>
        <v>0.0945759443594275</v>
      </c>
      <c r="Q447" s="14">
        <v>0.0903421</v>
      </c>
      <c r="R447" s="17">
        <v>0.530305582889926</v>
      </c>
      <c r="S447" s="17">
        <f t="shared" si="32"/>
        <v>2.30623153066496</v>
      </c>
      <c r="V447" s="18">
        <v>1.41221</v>
      </c>
      <c r="Y447" s="14">
        <v>75.782</v>
      </c>
      <c r="Z447" s="19">
        <f t="shared" si="33"/>
        <v>1.05365654113114</v>
      </c>
    </row>
    <row r="448" spans="1:26">
      <c r="A448" s="1" t="s">
        <v>468</v>
      </c>
      <c r="B448" s="1">
        <v>80922402</v>
      </c>
      <c r="C448" s="2">
        <v>0.968254</v>
      </c>
      <c r="E448" s="14">
        <f t="shared" si="34"/>
        <v>3.9773980091257</v>
      </c>
      <c r="F448" s="11">
        <v>9.172807878</v>
      </c>
      <c r="G448" s="15">
        <v>36.4839077920497</v>
      </c>
      <c r="I448" s="14">
        <v>0.003444</v>
      </c>
      <c r="J448" s="13">
        <f t="shared" si="30"/>
        <v>23.4966324041812</v>
      </c>
      <c r="M448" s="14">
        <v>29.705</v>
      </c>
      <c r="N448" s="16">
        <f t="shared" si="31"/>
        <v>2.72420138023902</v>
      </c>
      <c r="Q448" s="14">
        <v>0.00718633</v>
      </c>
      <c r="R448" s="17">
        <v>6.75636120244965</v>
      </c>
      <c r="S448" s="17">
        <f t="shared" si="32"/>
        <v>5.39993447638971</v>
      </c>
      <c r="V448" s="18">
        <v>8.23144</v>
      </c>
      <c r="Y448" s="14">
        <v>6.2614</v>
      </c>
      <c r="Z448" s="19">
        <f t="shared" si="33"/>
        <v>12.9240109240745</v>
      </c>
    </row>
    <row r="449" spans="1:26">
      <c r="A449" s="1" t="s">
        <v>469</v>
      </c>
      <c r="B449" s="1">
        <v>81488060</v>
      </c>
      <c r="C449" s="2">
        <v>0.179308</v>
      </c>
      <c r="E449" s="14">
        <f t="shared" si="34"/>
        <v>1.67354257793039</v>
      </c>
      <c r="F449" s="11">
        <v>7.416821917</v>
      </c>
      <c r="G449" s="15">
        <v>12.4123672710268</v>
      </c>
      <c r="I449" s="14">
        <v>0.00712</v>
      </c>
      <c r="J449" s="13">
        <f t="shared" si="30"/>
        <v>11.444952247191</v>
      </c>
      <c r="M449" s="14">
        <v>63.806</v>
      </c>
      <c r="N449" s="16">
        <f t="shared" si="31"/>
        <v>1.27712221421183</v>
      </c>
      <c r="Q449" s="14">
        <v>0.0167242</v>
      </c>
      <c r="R449" s="17">
        <v>2.92347831286399</v>
      </c>
      <c r="S449" s="17">
        <f t="shared" si="32"/>
        <v>4.24575315520881</v>
      </c>
      <c r="V449" s="18">
        <v>4.88823</v>
      </c>
      <c r="Y449" s="14">
        <v>16.6819</v>
      </c>
      <c r="Z449" s="19">
        <f t="shared" si="33"/>
        <v>4.88481887554775</v>
      </c>
    </row>
    <row r="450" spans="1:26">
      <c r="A450" s="1" t="s">
        <v>470</v>
      </c>
      <c r="B450" s="1">
        <v>81776492</v>
      </c>
      <c r="C450" s="2">
        <v>0.0156377</v>
      </c>
      <c r="E450" s="14">
        <f t="shared" si="34"/>
        <v>0.461179368455875</v>
      </c>
      <c r="F450" s="11">
        <v>2.092813972</v>
      </c>
      <c r="G450" s="15">
        <v>0.965162625902592</v>
      </c>
      <c r="I450" s="14">
        <v>0.046198</v>
      </c>
      <c r="J450" s="13">
        <f t="shared" ref="J450:J513" si="35">B450/I450/1000000000</f>
        <v>1.77013056842288</v>
      </c>
      <c r="M450" s="14">
        <v>644.806</v>
      </c>
      <c r="N450" s="16">
        <f t="shared" ref="N450:N513" si="36">B450/M450/1000000</f>
        <v>0.12682340424872</v>
      </c>
      <c r="Q450" s="14">
        <v>0.0156416</v>
      </c>
      <c r="R450" s="17">
        <v>3.13688466653028</v>
      </c>
      <c r="S450" s="17">
        <f t="shared" ref="S450:S513" si="37">G450/R450</f>
        <v>0.307681897329736</v>
      </c>
      <c r="V450" s="18">
        <v>1.26727</v>
      </c>
      <c r="Y450" s="14">
        <v>121.786</v>
      </c>
      <c r="Z450" s="19">
        <f t="shared" ref="Z450:Z513" si="38">B450/Y450/1000000</f>
        <v>0.671476951373721</v>
      </c>
    </row>
    <row r="451" spans="1:26">
      <c r="A451" s="1" t="s">
        <v>471</v>
      </c>
      <c r="B451" s="1">
        <v>82310224</v>
      </c>
      <c r="C451" s="2">
        <v>6.75767e-5</v>
      </c>
      <c r="E451" s="14">
        <f t="shared" ref="E451:E514" si="39">G451/F451</f>
        <v>0.976009773772422</v>
      </c>
      <c r="F451" s="11">
        <v>4.033334834</v>
      </c>
      <c r="G451" s="15">
        <v>3.93657421888077</v>
      </c>
      <c r="I451" s="14">
        <v>0.015316</v>
      </c>
      <c r="J451" s="13">
        <f t="shared" si="35"/>
        <v>5.37413319404544</v>
      </c>
      <c r="M451" s="14">
        <v>1214.423</v>
      </c>
      <c r="N451" s="16">
        <f t="shared" si="36"/>
        <v>0.0677772275393335</v>
      </c>
      <c r="Q451" s="14">
        <v>0.00321866</v>
      </c>
      <c r="R451" s="17">
        <v>15.3436940838734</v>
      </c>
      <c r="S451" s="17">
        <f t="shared" si="37"/>
        <v>0.256559743524749</v>
      </c>
      <c r="V451" s="18">
        <v>2.35522</v>
      </c>
      <c r="Y451" s="14">
        <v>44.1181</v>
      </c>
      <c r="Z451" s="19">
        <f t="shared" si="38"/>
        <v>1.86567925635963</v>
      </c>
    </row>
    <row r="452" spans="1:26">
      <c r="A452" s="1" t="s">
        <v>472</v>
      </c>
      <c r="B452" s="1">
        <v>83192416</v>
      </c>
      <c r="C452" s="2">
        <v>0.00723104</v>
      </c>
      <c r="E452" s="14">
        <f t="shared" si="39"/>
        <v>0.936590341284758</v>
      </c>
      <c r="F452" s="11">
        <v>1.388748395</v>
      </c>
      <c r="G452" s="15">
        <v>1.30068833323171</v>
      </c>
      <c r="I452" s="14">
        <v>0.08538</v>
      </c>
      <c r="J452" s="13">
        <f t="shared" si="35"/>
        <v>0.97437826188803</v>
      </c>
      <c r="M452" s="14">
        <v>350.711</v>
      </c>
      <c r="N452" s="16">
        <f t="shared" si="36"/>
        <v>0.237210740467222</v>
      </c>
      <c r="Q452" s="14">
        <v>0.0375282</v>
      </c>
      <c r="R452" s="17">
        <v>1.33007843701536</v>
      </c>
      <c r="S452" s="17">
        <f t="shared" si="37"/>
        <v>0.97790348075291</v>
      </c>
      <c r="V452" s="18">
        <v>0.676463</v>
      </c>
      <c r="Y452" s="14">
        <v>100.1188</v>
      </c>
      <c r="Z452" s="19">
        <f t="shared" si="38"/>
        <v>0.830937006835879</v>
      </c>
    </row>
    <row r="453" spans="1:26">
      <c r="A453" s="1" t="s">
        <v>473</v>
      </c>
      <c r="B453" s="1">
        <v>83294524</v>
      </c>
      <c r="C453" s="2">
        <v>3.05129e-5</v>
      </c>
      <c r="E453" s="14">
        <f t="shared" si="39"/>
        <v>0.581301662460615</v>
      </c>
      <c r="F453" s="11">
        <v>3.519100319</v>
      </c>
      <c r="G453" s="15">
        <v>2.04565886580038</v>
      </c>
      <c r="I453" s="14">
        <v>0.049074</v>
      </c>
      <c r="J453" s="13">
        <f t="shared" si="35"/>
        <v>1.69732493784896</v>
      </c>
      <c r="M453" s="14">
        <v>508.71</v>
      </c>
      <c r="N453" s="16">
        <f t="shared" si="36"/>
        <v>0.163736753749681</v>
      </c>
      <c r="Q453" s="14">
        <v>0.00621929</v>
      </c>
      <c r="R453" s="17">
        <v>8.03575880848135</v>
      </c>
      <c r="S453" s="17">
        <f t="shared" si="37"/>
        <v>0.254569470606968</v>
      </c>
      <c r="V453" s="18">
        <v>1.42966</v>
      </c>
      <c r="Y453" s="14">
        <v>83.7552</v>
      </c>
      <c r="Z453" s="19">
        <f t="shared" si="38"/>
        <v>0.994499732553919</v>
      </c>
    </row>
    <row r="454" spans="1:26">
      <c r="A454" s="1" t="s">
        <v>474</v>
      </c>
      <c r="B454" s="1">
        <v>84044248</v>
      </c>
      <c r="C454" s="2">
        <v>1</v>
      </c>
      <c r="E454" s="14">
        <f t="shared" si="39"/>
        <v>2.53895585970163</v>
      </c>
      <c r="F454" s="11">
        <v>12.739778588</v>
      </c>
      <c r="G454" s="15">
        <v>32.345735497304</v>
      </c>
      <c r="I454" s="14">
        <v>0.003711</v>
      </c>
      <c r="J454" s="13">
        <f t="shared" si="35"/>
        <v>22.6473317165185</v>
      </c>
      <c r="M454" s="14">
        <v>44.7</v>
      </c>
      <c r="N454" s="16">
        <f t="shared" si="36"/>
        <v>1.88018451901566</v>
      </c>
      <c r="Q454" s="14">
        <v>0.012081</v>
      </c>
      <c r="R454" s="17">
        <v>4.17403764589024</v>
      </c>
      <c r="S454" s="17">
        <f t="shared" si="37"/>
        <v>7.74926779329641</v>
      </c>
      <c r="V454" s="18">
        <v>8.42106</v>
      </c>
      <c r="Y454" s="14">
        <v>7.0185</v>
      </c>
      <c r="Z454" s="19">
        <f t="shared" si="38"/>
        <v>11.974673790696</v>
      </c>
    </row>
    <row r="455" spans="1:26">
      <c r="A455" s="1" t="s">
        <v>475</v>
      </c>
      <c r="B455" s="1">
        <v>84723900</v>
      </c>
      <c r="C455" s="2">
        <v>0.934104</v>
      </c>
      <c r="E455" s="14">
        <f t="shared" si="39"/>
        <v>4.09183818191088</v>
      </c>
      <c r="F455" s="11">
        <v>6.667713526</v>
      </c>
      <c r="G455" s="15">
        <v>27.2832047917304</v>
      </c>
      <c r="I455" s="14">
        <v>0.004426</v>
      </c>
      <c r="J455" s="13">
        <f t="shared" si="35"/>
        <v>19.1423181201988</v>
      </c>
      <c r="M455" s="14">
        <v>54.053</v>
      </c>
      <c r="N455" s="16">
        <f t="shared" si="36"/>
        <v>1.56742271474294</v>
      </c>
      <c r="Q455" s="14">
        <v>0.0135781</v>
      </c>
      <c r="R455" s="17">
        <v>3.74384781375892</v>
      </c>
      <c r="S455" s="17">
        <f t="shared" si="37"/>
        <v>7.28747698863789</v>
      </c>
      <c r="V455" s="18">
        <v>6.79642</v>
      </c>
      <c r="Y455" s="14">
        <v>8.7756</v>
      </c>
      <c r="Z455" s="19">
        <f t="shared" si="38"/>
        <v>9.65448516340763</v>
      </c>
    </row>
    <row r="456" spans="1:26">
      <c r="A456" s="1" t="s">
        <v>476</v>
      </c>
      <c r="B456" s="1">
        <v>85714394</v>
      </c>
      <c r="C456" s="2">
        <v>0.00126626</v>
      </c>
      <c r="E456" s="14">
        <f t="shared" si="39"/>
        <v>1.78350926214484</v>
      </c>
      <c r="F456" s="11">
        <v>2.836383892</v>
      </c>
      <c r="G456" s="15">
        <v>5.05871694238044</v>
      </c>
      <c r="I456" s="14">
        <v>0.011988</v>
      </c>
      <c r="J456" s="13">
        <f t="shared" si="35"/>
        <v>7.15001618284952</v>
      </c>
      <c r="M456" s="14">
        <v>92.874</v>
      </c>
      <c r="N456" s="16">
        <f t="shared" si="36"/>
        <v>0.922910545470207</v>
      </c>
      <c r="Q456" s="14">
        <v>0.0148647</v>
      </c>
      <c r="R456" s="17">
        <v>3.45978300268421</v>
      </c>
      <c r="S456" s="17">
        <f t="shared" si="37"/>
        <v>1.46214861985729</v>
      </c>
      <c r="V456" s="18">
        <v>3.89277</v>
      </c>
      <c r="Y456" s="14">
        <v>26.2944</v>
      </c>
      <c r="Z456" s="19">
        <f t="shared" si="38"/>
        <v>3.25979653462334</v>
      </c>
    </row>
    <row r="457" spans="1:26">
      <c r="A457" s="1" t="s">
        <v>477</v>
      </c>
      <c r="B457" s="1">
        <v>85714394</v>
      </c>
      <c r="C457" s="2">
        <v>0.00126626</v>
      </c>
      <c r="E457" s="14">
        <f t="shared" si="39"/>
        <v>1.65975180089386</v>
      </c>
      <c r="F457" s="11">
        <v>2.999041721</v>
      </c>
      <c r="G457" s="15">
        <v>4.97766489738557</v>
      </c>
      <c r="I457" s="14">
        <v>0.011802</v>
      </c>
      <c r="J457" s="13">
        <f t="shared" si="35"/>
        <v>7.26270072869005</v>
      </c>
      <c r="M457" s="14">
        <v>93.826</v>
      </c>
      <c r="N457" s="16">
        <f t="shared" si="36"/>
        <v>0.913546287809349</v>
      </c>
      <c r="Q457" s="14">
        <v>0.0179373</v>
      </c>
      <c r="R457" s="17">
        <v>2.86713364887692</v>
      </c>
      <c r="S457" s="17">
        <f t="shared" si="37"/>
        <v>1.73611191767617</v>
      </c>
      <c r="V457" s="18">
        <v>3.87418</v>
      </c>
      <c r="Y457" s="14">
        <v>27.0967</v>
      </c>
      <c r="Z457" s="19">
        <f t="shared" si="38"/>
        <v>3.16327796373728</v>
      </c>
    </row>
    <row r="458" spans="1:26">
      <c r="A458" s="1" t="s">
        <v>478</v>
      </c>
      <c r="B458" s="1">
        <v>87552228</v>
      </c>
      <c r="C458" s="2">
        <v>0.0602062</v>
      </c>
      <c r="E458" s="14">
        <f t="shared" si="39"/>
        <v>0.47379781206243</v>
      </c>
      <c r="F458" s="11">
        <v>3.947166198</v>
      </c>
      <c r="G458" s="15">
        <v>1.87015870845918</v>
      </c>
      <c r="I458" s="14">
        <v>0.048892</v>
      </c>
      <c r="J458" s="13">
        <f t="shared" si="35"/>
        <v>1.79072707191361</v>
      </c>
      <c r="M458" s="14">
        <v>1920.667</v>
      </c>
      <c r="N458" s="16">
        <f t="shared" si="36"/>
        <v>0.0455842829600342</v>
      </c>
      <c r="Q458" s="14">
        <v>0.137694</v>
      </c>
      <c r="R458" s="17">
        <v>0.3815078129766</v>
      </c>
      <c r="S458" s="17">
        <f t="shared" si="37"/>
        <v>4.90201942095977</v>
      </c>
      <c r="V458" s="18">
        <v>0.967105</v>
      </c>
      <c r="Y458" s="14">
        <v>127.3538</v>
      </c>
      <c r="Z458" s="19">
        <f t="shared" si="38"/>
        <v>0.687472442911009</v>
      </c>
    </row>
    <row r="459" spans="1:26">
      <c r="A459" s="1" t="s">
        <v>479</v>
      </c>
      <c r="B459" s="1">
        <v>88370774</v>
      </c>
      <c r="C459" s="2">
        <v>0</v>
      </c>
      <c r="E459" s="14">
        <f t="shared" si="39"/>
        <v>1.50702267238422</v>
      </c>
      <c r="F459" s="11">
        <v>3.076548018</v>
      </c>
      <c r="G459" s="15">
        <v>4.63642761580474</v>
      </c>
      <c r="I459" s="14">
        <v>0.013699</v>
      </c>
      <c r="J459" s="13">
        <f t="shared" si="35"/>
        <v>6.45089232790715</v>
      </c>
      <c r="M459" s="14">
        <v>250.702</v>
      </c>
      <c r="N459" s="16">
        <f t="shared" si="36"/>
        <v>0.352493294828123</v>
      </c>
      <c r="Q459" s="14">
        <v>0.0183676</v>
      </c>
      <c r="R459" s="17">
        <v>2.88673884448703</v>
      </c>
      <c r="S459" s="17">
        <f t="shared" si="37"/>
        <v>1.60611259472231</v>
      </c>
      <c r="V459" s="18">
        <v>3.79262</v>
      </c>
      <c r="Y459" s="14">
        <v>28.5385</v>
      </c>
      <c r="Z459" s="19">
        <f t="shared" si="38"/>
        <v>3.09654585910262</v>
      </c>
    </row>
    <row r="460" spans="1:26">
      <c r="A460" s="1" t="s">
        <v>480</v>
      </c>
      <c r="B460" s="1">
        <v>88934448</v>
      </c>
      <c r="C460" s="2">
        <v>0.00105718</v>
      </c>
      <c r="E460" s="14">
        <f t="shared" si="39"/>
        <v>0.318135575010398</v>
      </c>
      <c r="F460" s="11">
        <v>2.393418553</v>
      </c>
      <c r="G460" s="15">
        <v>0.761431587599209</v>
      </c>
      <c r="I460" s="14">
        <v>0.059763</v>
      </c>
      <c r="J460" s="13">
        <f t="shared" si="35"/>
        <v>1.48811886953466</v>
      </c>
      <c r="M460" s="14">
        <v>693.902</v>
      </c>
      <c r="N460" s="16">
        <f t="shared" si="36"/>
        <v>0.128165717925586</v>
      </c>
      <c r="Q460" s="14">
        <v>0.0146852</v>
      </c>
      <c r="R460" s="17">
        <v>3.63363582382262</v>
      </c>
      <c r="S460" s="17">
        <f t="shared" si="37"/>
        <v>0.209550880857999</v>
      </c>
      <c r="V460" s="18">
        <v>1.19521</v>
      </c>
      <c r="Y460" s="14">
        <v>98.5677</v>
      </c>
      <c r="Z460" s="19">
        <f t="shared" si="38"/>
        <v>0.902267659689736</v>
      </c>
    </row>
    <row r="461" spans="1:26">
      <c r="A461" s="1" t="s">
        <v>481</v>
      </c>
      <c r="B461" s="1">
        <v>92140016</v>
      </c>
      <c r="C461" s="2">
        <v>0.787071</v>
      </c>
      <c r="E461" s="14">
        <f t="shared" si="39"/>
        <v>3.57181274013138</v>
      </c>
      <c r="F461" s="11">
        <v>6.081897633</v>
      </c>
      <c r="G461" s="15">
        <v>21.7233994497243</v>
      </c>
      <c r="I461" s="14">
        <v>0.005022</v>
      </c>
      <c r="J461" s="13">
        <f t="shared" si="35"/>
        <v>18.3472751891677</v>
      </c>
      <c r="M461" s="14">
        <v>55.15</v>
      </c>
      <c r="N461" s="16">
        <f t="shared" si="36"/>
        <v>1.67071651858568</v>
      </c>
      <c r="Q461" s="14">
        <v>0.0216733</v>
      </c>
      <c r="R461" s="17">
        <v>2.55078874006266</v>
      </c>
      <c r="S461" s="17">
        <f t="shared" si="37"/>
        <v>8.51634598684588</v>
      </c>
      <c r="V461" s="18">
        <v>3.69465</v>
      </c>
      <c r="Y461" s="14">
        <v>10.2406</v>
      </c>
      <c r="Z461" s="19">
        <f t="shared" si="38"/>
        <v>8.9975212389899</v>
      </c>
    </row>
    <row r="462" spans="1:26">
      <c r="A462" s="1" t="s">
        <v>482</v>
      </c>
      <c r="B462" s="1">
        <v>92311172</v>
      </c>
      <c r="C462" s="2">
        <v>0.00652123</v>
      </c>
      <c r="E462" s="14">
        <f t="shared" si="39"/>
        <v>1.04373710253836</v>
      </c>
      <c r="F462" s="11">
        <v>1.48206192</v>
      </c>
      <c r="G462" s="15">
        <v>1.54688301416324</v>
      </c>
      <c r="I462" s="14">
        <v>0.05999</v>
      </c>
      <c r="J462" s="13">
        <f t="shared" si="35"/>
        <v>1.53877599599933</v>
      </c>
      <c r="M462" s="14">
        <v>370.626</v>
      </c>
      <c r="N462" s="16">
        <f t="shared" si="36"/>
        <v>0.249068257488681</v>
      </c>
      <c r="Q462" s="14">
        <v>0.023122</v>
      </c>
      <c r="R462" s="17">
        <v>2.39541143499697</v>
      </c>
      <c r="S462" s="17">
        <f t="shared" si="37"/>
        <v>0.64576923678466</v>
      </c>
      <c r="V462" s="18">
        <v>0.633906</v>
      </c>
      <c r="Y462" s="14">
        <v>107.3685</v>
      </c>
      <c r="Z462" s="19">
        <f t="shared" si="38"/>
        <v>0.859760283509595</v>
      </c>
    </row>
    <row r="463" spans="1:26">
      <c r="A463" s="1" t="s">
        <v>483</v>
      </c>
      <c r="B463" s="1">
        <v>93320688</v>
      </c>
      <c r="C463" s="2">
        <v>0.000694001</v>
      </c>
      <c r="E463" s="14">
        <f t="shared" si="39"/>
        <v>0.48686678103513</v>
      </c>
      <c r="F463" s="11">
        <v>2.315839598</v>
      </c>
      <c r="G463" s="15">
        <v>1.12750537047195</v>
      </c>
      <c r="I463" s="14">
        <v>0.038761</v>
      </c>
      <c r="J463" s="13">
        <f t="shared" si="35"/>
        <v>2.40759237377777</v>
      </c>
      <c r="M463" s="14">
        <v>362.341</v>
      </c>
      <c r="N463" s="16">
        <f t="shared" si="36"/>
        <v>0.257549347161928</v>
      </c>
      <c r="Q463" s="14">
        <v>0.0155504</v>
      </c>
      <c r="R463" s="17">
        <v>3.60070562815104</v>
      </c>
      <c r="S463" s="17">
        <f t="shared" si="37"/>
        <v>0.313134559419933</v>
      </c>
      <c r="V463" s="18">
        <v>1.68583</v>
      </c>
      <c r="Y463" s="14">
        <v>88.1351</v>
      </c>
      <c r="Z463" s="19">
        <f t="shared" si="38"/>
        <v>1.0588368084906</v>
      </c>
    </row>
    <row r="464" spans="1:26">
      <c r="A464" s="1" t="s">
        <v>484</v>
      </c>
      <c r="B464" s="1">
        <v>93473284</v>
      </c>
      <c r="C464" s="2">
        <v>0.00484925</v>
      </c>
      <c r="E464" s="14">
        <f t="shared" si="39"/>
        <v>1.17806666786127</v>
      </c>
      <c r="F464" s="11">
        <v>2.523171081</v>
      </c>
      <c r="G464" s="15">
        <v>2.97246374783759</v>
      </c>
      <c r="I464" s="14">
        <v>0.014588</v>
      </c>
      <c r="J464" s="13">
        <f t="shared" si="35"/>
        <v>6.4075462023581</v>
      </c>
      <c r="M464" s="14">
        <v>256.921</v>
      </c>
      <c r="N464" s="16">
        <f t="shared" si="36"/>
        <v>0.363821112326357</v>
      </c>
      <c r="Q464" s="14">
        <v>0.0212845</v>
      </c>
      <c r="R464" s="17">
        <v>2.63496771829265</v>
      </c>
      <c r="S464" s="17">
        <f t="shared" si="37"/>
        <v>1.12808355381432</v>
      </c>
      <c r="V464" s="18">
        <v>2.86892</v>
      </c>
      <c r="Y464" s="14">
        <v>34.0946</v>
      </c>
      <c r="Z464" s="19">
        <f t="shared" si="38"/>
        <v>2.74158617493679</v>
      </c>
    </row>
    <row r="465" spans="1:26">
      <c r="A465" s="1" t="s">
        <v>485</v>
      </c>
      <c r="B465" s="1">
        <v>94061632</v>
      </c>
      <c r="C465" s="2">
        <v>2.18914e-5</v>
      </c>
      <c r="E465" s="14">
        <f t="shared" si="39"/>
        <v>0.794484374044643</v>
      </c>
      <c r="F465" s="11">
        <v>2.493671876</v>
      </c>
      <c r="G465" s="15">
        <v>1.98118333947659</v>
      </c>
      <c r="I465" s="14">
        <v>0.060151</v>
      </c>
      <c r="J465" s="13">
        <f t="shared" si="35"/>
        <v>1.56375840800652</v>
      </c>
      <c r="M465" s="14">
        <v>196.5</v>
      </c>
      <c r="N465" s="16">
        <f t="shared" si="36"/>
        <v>0.478685150127227</v>
      </c>
      <c r="Q465" s="14">
        <v>0.00428578</v>
      </c>
      <c r="R465" s="17">
        <v>13.168426564126</v>
      </c>
      <c r="S465" s="17">
        <f t="shared" si="37"/>
        <v>0.150449511171959</v>
      </c>
      <c r="V465" s="18">
        <v>1.27101</v>
      </c>
      <c r="Y465" s="14">
        <v>118.7015</v>
      </c>
      <c r="Z465" s="19">
        <f t="shared" si="38"/>
        <v>0.79242159534631</v>
      </c>
    </row>
    <row r="466" spans="1:26">
      <c r="A466" s="1" t="s">
        <v>486</v>
      </c>
      <c r="B466" s="1">
        <v>94833604</v>
      </c>
      <c r="C466" s="2">
        <v>0.033213</v>
      </c>
      <c r="E466" s="14">
        <f t="shared" si="39"/>
        <v>1.46800533599126</v>
      </c>
      <c r="F466" s="11">
        <v>7.97416591</v>
      </c>
      <c r="G466" s="15">
        <v>11.7061181059596</v>
      </c>
      <c r="I466" s="14">
        <v>0.00839</v>
      </c>
      <c r="J466" s="13">
        <f t="shared" si="35"/>
        <v>11.3031709177592</v>
      </c>
      <c r="M466" s="14">
        <v>210.995</v>
      </c>
      <c r="N466" s="16">
        <f t="shared" si="36"/>
        <v>0.449459010877035</v>
      </c>
      <c r="Q466" s="14">
        <v>0.0192703</v>
      </c>
      <c r="R466" s="17">
        <v>2.95273879493314</v>
      </c>
      <c r="S466" s="17">
        <f t="shared" si="37"/>
        <v>3.9644949719383</v>
      </c>
      <c r="V466" s="18">
        <v>4.62059</v>
      </c>
      <c r="Y466" s="14">
        <v>17.6277</v>
      </c>
      <c r="Z466" s="19">
        <f t="shared" si="38"/>
        <v>5.37980587371013</v>
      </c>
    </row>
    <row r="467" spans="1:26">
      <c r="A467" s="1" t="s">
        <v>487</v>
      </c>
      <c r="B467" s="1">
        <v>95197696</v>
      </c>
      <c r="C467" s="2">
        <v>0.140894</v>
      </c>
      <c r="E467" s="14">
        <f t="shared" si="39"/>
        <v>1.6000177474351</v>
      </c>
      <c r="F467" s="11">
        <v>8.67862853</v>
      </c>
      <c r="G467" s="15">
        <v>13.8859596713966</v>
      </c>
      <c r="I467" s="14">
        <v>0.008756</v>
      </c>
      <c r="J467" s="13">
        <f t="shared" si="35"/>
        <v>10.8722814070352</v>
      </c>
      <c r="M467" s="14">
        <v>101.023</v>
      </c>
      <c r="N467" s="16">
        <f t="shared" si="36"/>
        <v>0.942336853983746</v>
      </c>
      <c r="Q467" s="14">
        <v>0.0261176</v>
      </c>
      <c r="R467" s="17">
        <v>2.18697803779827</v>
      </c>
      <c r="S467" s="17">
        <f t="shared" si="37"/>
        <v>6.34938231267115</v>
      </c>
      <c r="V467" s="18">
        <v>4.91279</v>
      </c>
      <c r="Y467" s="14">
        <v>17.8588</v>
      </c>
      <c r="Z467" s="19">
        <f t="shared" si="38"/>
        <v>5.3305762985195</v>
      </c>
    </row>
    <row r="468" spans="1:26">
      <c r="A468" s="1" t="s">
        <v>488</v>
      </c>
      <c r="B468" s="1">
        <v>95197696</v>
      </c>
      <c r="C468" s="2">
        <v>0.140769</v>
      </c>
      <c r="E468" s="14">
        <f t="shared" si="39"/>
        <v>1.6498084866551</v>
      </c>
      <c r="F468" s="11">
        <v>8.69956048</v>
      </c>
      <c r="G468" s="15">
        <v>14.3526087100733</v>
      </c>
      <c r="I468" s="14">
        <v>0.008768</v>
      </c>
      <c r="J468" s="13">
        <f t="shared" si="35"/>
        <v>10.857401459854</v>
      </c>
      <c r="M468" s="14">
        <v>101.081</v>
      </c>
      <c r="N468" s="16">
        <f t="shared" si="36"/>
        <v>0.941796143686746</v>
      </c>
      <c r="Q468" s="14">
        <v>0.029471</v>
      </c>
      <c r="R468" s="17">
        <v>1.93812960537478</v>
      </c>
      <c r="S468" s="17">
        <f t="shared" si="37"/>
        <v>7.40539160553089</v>
      </c>
      <c r="V468" s="18">
        <v>5.3465</v>
      </c>
      <c r="Y468" s="14">
        <v>18.2365</v>
      </c>
      <c r="Z468" s="19">
        <f t="shared" si="38"/>
        <v>5.22017360787432</v>
      </c>
    </row>
    <row r="469" spans="1:26">
      <c r="A469" s="1" t="s">
        <v>489</v>
      </c>
      <c r="B469" s="1">
        <v>95197696</v>
      </c>
      <c r="C469" s="2">
        <v>0.139505</v>
      </c>
      <c r="E469" s="14">
        <f t="shared" si="39"/>
        <v>1.7167425803983</v>
      </c>
      <c r="F469" s="11">
        <v>8.387294898</v>
      </c>
      <c r="G469" s="15">
        <v>14.398826285754</v>
      </c>
      <c r="I469" s="14">
        <v>0.008764</v>
      </c>
      <c r="J469" s="13">
        <f t="shared" si="35"/>
        <v>10.8623569146508</v>
      </c>
      <c r="M469" s="14">
        <v>115.199</v>
      </c>
      <c r="N469" s="16">
        <f t="shared" si="36"/>
        <v>0.826376062292207</v>
      </c>
      <c r="Q469" s="14">
        <v>0.0305903</v>
      </c>
      <c r="R469" s="17">
        <v>1.867213384635</v>
      </c>
      <c r="S469" s="17">
        <f t="shared" si="37"/>
        <v>7.71139838876458</v>
      </c>
      <c r="V469" s="18">
        <v>5.38294</v>
      </c>
      <c r="Y469" s="14">
        <v>18.2793</v>
      </c>
      <c r="Z469" s="19">
        <f t="shared" si="38"/>
        <v>5.20795085150963</v>
      </c>
    </row>
    <row r="470" spans="1:26">
      <c r="A470" s="1" t="s">
        <v>490</v>
      </c>
      <c r="B470" s="1">
        <v>95873288</v>
      </c>
      <c r="C470" s="2">
        <v>0.0544757</v>
      </c>
      <c r="E470" s="14">
        <f t="shared" si="39"/>
        <v>1.42110315470463</v>
      </c>
      <c r="F470" s="11">
        <v>3.114436507</v>
      </c>
      <c r="G470" s="15">
        <v>4.42593554522498</v>
      </c>
      <c r="I470" s="14">
        <v>0.025256</v>
      </c>
      <c r="J470" s="13">
        <f t="shared" si="35"/>
        <v>3.79605986696231</v>
      </c>
      <c r="M470" s="14">
        <v>154.161</v>
      </c>
      <c r="N470" s="16">
        <f t="shared" si="36"/>
        <v>0.621903646188076</v>
      </c>
      <c r="Q470" s="14">
        <v>0.0156102</v>
      </c>
      <c r="R470" s="17">
        <v>3.68502471460968</v>
      </c>
      <c r="S470" s="17">
        <f t="shared" si="37"/>
        <v>1.20105993527747</v>
      </c>
      <c r="V470" s="18">
        <v>3.65285</v>
      </c>
      <c r="Y470" s="14">
        <v>29.4028</v>
      </c>
      <c r="Z470" s="19">
        <f t="shared" si="38"/>
        <v>3.26068564898581</v>
      </c>
    </row>
    <row r="471" spans="1:26">
      <c r="A471" s="1" t="s">
        <v>491</v>
      </c>
      <c r="B471" s="1">
        <v>96990422</v>
      </c>
      <c r="C471" s="2">
        <v>0.773028</v>
      </c>
      <c r="E471" s="14">
        <f t="shared" si="39"/>
        <v>2.6814011865296</v>
      </c>
      <c r="F471" s="11">
        <v>6.209462008</v>
      </c>
      <c r="G471" s="15">
        <v>16.6500587959617</v>
      </c>
      <c r="I471" s="14">
        <v>0.005375</v>
      </c>
      <c r="J471" s="13">
        <f t="shared" si="35"/>
        <v>18.0447296744186</v>
      </c>
      <c r="M471" s="14">
        <v>166.211</v>
      </c>
      <c r="N471" s="16">
        <f t="shared" si="36"/>
        <v>0.583537924686092</v>
      </c>
      <c r="Q471" s="14">
        <v>0.0224595</v>
      </c>
      <c r="R471" s="17">
        <v>2.59107518867294</v>
      </c>
      <c r="S471" s="17">
        <f t="shared" si="37"/>
        <v>6.4259265299396</v>
      </c>
      <c r="V471" s="18">
        <v>5.46197</v>
      </c>
      <c r="Y471" s="14">
        <v>12.7454</v>
      </c>
      <c r="Z471" s="19">
        <f t="shared" si="38"/>
        <v>7.60983743154393</v>
      </c>
    </row>
    <row r="472" spans="1:26">
      <c r="A472" s="1" t="s">
        <v>492</v>
      </c>
      <c r="B472" s="1">
        <v>97940844</v>
      </c>
      <c r="C472" s="2">
        <v>0</v>
      </c>
      <c r="E472" s="14">
        <f t="shared" si="39"/>
        <v>0.894531797461719</v>
      </c>
      <c r="F472" s="11">
        <v>3.386053775</v>
      </c>
      <c r="G472" s="15">
        <v>3.02893276965279</v>
      </c>
      <c r="I472" s="14">
        <v>0.018559</v>
      </c>
      <c r="J472" s="13">
        <f t="shared" si="35"/>
        <v>5.27726946494962</v>
      </c>
      <c r="M472" s="14">
        <v>84.472</v>
      </c>
      <c r="N472" s="16">
        <f t="shared" si="36"/>
        <v>1.15944743820438</v>
      </c>
      <c r="Q472" s="14">
        <v>0.0516843</v>
      </c>
      <c r="R472" s="17">
        <v>1.13698949971268</v>
      </c>
      <c r="S472" s="17">
        <f t="shared" si="37"/>
        <v>2.66399361684361</v>
      </c>
      <c r="V472" s="18">
        <v>2.0935</v>
      </c>
      <c r="Y472" s="14">
        <v>46.5183</v>
      </c>
      <c r="Z472" s="19">
        <f t="shared" si="38"/>
        <v>2.10542612262271</v>
      </c>
    </row>
    <row r="473" spans="1:26">
      <c r="A473" s="1" t="s">
        <v>493</v>
      </c>
      <c r="B473" s="1">
        <v>99075790</v>
      </c>
      <c r="C473" s="2">
        <v>0.000288809</v>
      </c>
      <c r="E473" s="14">
        <f t="shared" si="39"/>
        <v>0.759678817675095</v>
      </c>
      <c r="F473" s="11">
        <v>5.563694112</v>
      </c>
      <c r="G473" s="15">
        <v>4.22662056491005</v>
      </c>
      <c r="I473" s="14">
        <v>0.023898</v>
      </c>
      <c r="J473" s="13">
        <f t="shared" si="35"/>
        <v>4.14577747091807</v>
      </c>
      <c r="M473" s="14">
        <v>509.078</v>
      </c>
      <c r="N473" s="16">
        <f t="shared" si="36"/>
        <v>0.194618093887381</v>
      </c>
      <c r="Q473" s="14">
        <v>0.00322364</v>
      </c>
      <c r="R473" s="17">
        <v>18.4404815674207</v>
      </c>
      <c r="S473" s="17">
        <f t="shared" si="37"/>
        <v>0.229203372452991</v>
      </c>
      <c r="V473" s="18">
        <v>2.48561</v>
      </c>
      <c r="Y473" s="14">
        <v>44.6331</v>
      </c>
      <c r="Z473" s="19">
        <f t="shared" si="38"/>
        <v>2.21978285174008</v>
      </c>
    </row>
    <row r="474" spans="1:26">
      <c r="A474" s="1" t="s">
        <v>494</v>
      </c>
      <c r="B474" s="1">
        <v>101221524</v>
      </c>
      <c r="C474" s="2">
        <v>0.0223271</v>
      </c>
      <c r="E474" s="14">
        <f t="shared" si="39"/>
        <v>3.76876754622226</v>
      </c>
      <c r="F474" s="11">
        <v>0.393760219</v>
      </c>
      <c r="G474" s="15">
        <v>1.48399073436057</v>
      </c>
      <c r="I474" s="14">
        <v>0.059776</v>
      </c>
      <c r="J474" s="13">
        <f t="shared" si="35"/>
        <v>1.69334722965739</v>
      </c>
      <c r="M474" s="14">
        <v>3937.402</v>
      </c>
      <c r="N474" s="16">
        <f t="shared" si="36"/>
        <v>0.0257076935502141</v>
      </c>
      <c r="Q474" s="14">
        <v>0.141934</v>
      </c>
      <c r="R474" s="17">
        <v>0.427895461270731</v>
      </c>
      <c r="S474" s="17">
        <f t="shared" si="37"/>
        <v>3.46811515586898</v>
      </c>
      <c r="V474" s="18">
        <v>0.960577</v>
      </c>
      <c r="Y474" s="14">
        <v>181.6267</v>
      </c>
      <c r="Z474" s="19">
        <f t="shared" si="38"/>
        <v>0.55730530808521</v>
      </c>
    </row>
    <row r="475" spans="1:26">
      <c r="A475" s="1" t="s">
        <v>495</v>
      </c>
      <c r="B475" s="1">
        <v>102299492</v>
      </c>
      <c r="C475" s="2">
        <v>1</v>
      </c>
      <c r="E475" s="14">
        <f t="shared" si="39"/>
        <v>2.45394260710431</v>
      </c>
      <c r="F475" s="11">
        <v>13.764894712</v>
      </c>
      <c r="G475" s="15">
        <v>33.7782616160816</v>
      </c>
      <c r="I475" s="14">
        <v>0.004207</v>
      </c>
      <c r="J475" s="13">
        <f t="shared" si="35"/>
        <v>24.3164944140718</v>
      </c>
      <c r="M475" s="14">
        <v>32.875</v>
      </c>
      <c r="N475" s="16">
        <f t="shared" si="36"/>
        <v>3.11177161977186</v>
      </c>
      <c r="Q475" s="14">
        <v>0.00926831</v>
      </c>
      <c r="R475" s="17">
        <v>6.62253368737127</v>
      </c>
      <c r="S475" s="17">
        <f t="shared" si="37"/>
        <v>5.10050431007916</v>
      </c>
      <c r="V475" s="18">
        <v>8.56777</v>
      </c>
      <c r="Y475" s="14">
        <v>7.9978</v>
      </c>
      <c r="Z475" s="19">
        <f t="shared" si="38"/>
        <v>12.7909540123534</v>
      </c>
    </row>
    <row r="476" spans="1:26">
      <c r="A476" s="1" t="s">
        <v>496</v>
      </c>
      <c r="B476" s="1">
        <v>103002896</v>
      </c>
      <c r="C476" s="2">
        <v>0.190406</v>
      </c>
      <c r="E476" s="14">
        <f t="shared" si="39"/>
        <v>1.09353497731929</v>
      </c>
      <c r="F476" s="11">
        <v>1.434083224</v>
      </c>
      <c r="G476" s="15">
        <v>1.56822016583081</v>
      </c>
      <c r="I476" s="14">
        <v>0.040217</v>
      </c>
      <c r="J476" s="13">
        <f t="shared" si="35"/>
        <v>2.56117800929955</v>
      </c>
      <c r="M476" s="14">
        <v>2022.415</v>
      </c>
      <c r="N476" s="16">
        <f t="shared" si="36"/>
        <v>0.0509306428205883</v>
      </c>
      <c r="Q476" s="14">
        <v>0.0232932</v>
      </c>
      <c r="R476" s="17">
        <v>2.65320941734068</v>
      </c>
      <c r="S476" s="17">
        <f t="shared" si="37"/>
        <v>0.591065354879767</v>
      </c>
      <c r="V476" s="18">
        <v>1.44969</v>
      </c>
      <c r="Y476" s="14">
        <v>93.3518</v>
      </c>
      <c r="Z476" s="19">
        <f t="shared" si="38"/>
        <v>1.10338414470851</v>
      </c>
    </row>
    <row r="477" spans="1:26">
      <c r="A477" s="1" t="s">
        <v>497</v>
      </c>
      <c r="B477" s="1">
        <v>104580476</v>
      </c>
      <c r="C477" s="2">
        <v>0.0431746</v>
      </c>
      <c r="E477" s="14">
        <f t="shared" si="39"/>
        <v>2.44273724694757</v>
      </c>
      <c r="F477" s="11">
        <v>8.598368091</v>
      </c>
      <c r="G477" s="15">
        <v>21.0035539988512</v>
      </c>
      <c r="I477" s="14">
        <v>0.004973</v>
      </c>
      <c r="J477" s="13">
        <f t="shared" si="35"/>
        <v>21.0296553388297</v>
      </c>
      <c r="M477" s="14">
        <v>57.989</v>
      </c>
      <c r="N477" s="16">
        <f t="shared" si="36"/>
        <v>1.80345368949284</v>
      </c>
      <c r="Q477" s="14">
        <v>0.0137165</v>
      </c>
      <c r="R477" s="17">
        <v>4.57465720847155</v>
      </c>
      <c r="S477" s="17">
        <f t="shared" si="37"/>
        <v>4.59128477647591</v>
      </c>
      <c r="V477" s="18">
        <v>6.20349</v>
      </c>
      <c r="Y477" s="14">
        <v>8.7825</v>
      </c>
      <c r="Z477" s="19">
        <f t="shared" si="38"/>
        <v>11.907825334472</v>
      </c>
    </row>
    <row r="478" spans="1:26">
      <c r="A478" s="1" t="s">
        <v>498</v>
      </c>
      <c r="B478" s="1">
        <v>105050628</v>
      </c>
      <c r="C478" s="2">
        <v>0.151564</v>
      </c>
      <c r="E478" s="14">
        <f t="shared" si="39"/>
        <v>1.68221947433579</v>
      </c>
      <c r="F478" s="11">
        <v>12.20142694</v>
      </c>
      <c r="G478" s="15">
        <v>20.5254780131534</v>
      </c>
      <c r="I478" s="14">
        <v>0.005979</v>
      </c>
      <c r="J478" s="13">
        <f t="shared" si="35"/>
        <v>17.5699327646764</v>
      </c>
      <c r="M478" s="14">
        <v>67.439</v>
      </c>
      <c r="N478" s="16">
        <f t="shared" si="36"/>
        <v>1.55771331128872</v>
      </c>
      <c r="Q478" s="14">
        <v>0.0134972</v>
      </c>
      <c r="R478" s="17">
        <v>4.66988536881724</v>
      </c>
      <c r="S478" s="17">
        <f t="shared" si="37"/>
        <v>4.3952851926967</v>
      </c>
      <c r="V478" s="18">
        <v>4.88924</v>
      </c>
      <c r="Y478" s="14">
        <v>11.02</v>
      </c>
      <c r="Z478" s="19">
        <f t="shared" si="38"/>
        <v>9.53272486388385</v>
      </c>
    </row>
    <row r="479" spans="1:26">
      <c r="A479" s="1" t="s">
        <v>499</v>
      </c>
      <c r="B479" s="1">
        <v>107194894</v>
      </c>
      <c r="C479" s="2">
        <v>0.783916</v>
      </c>
      <c r="E479" s="14">
        <f t="shared" si="39"/>
        <v>2.77683388358917</v>
      </c>
      <c r="F479" s="11">
        <v>8.61872724</v>
      </c>
      <c r="G479" s="15">
        <v>23.932773833445</v>
      </c>
      <c r="I479" s="14">
        <v>0.006534</v>
      </c>
      <c r="J479" s="13">
        <f t="shared" si="35"/>
        <v>16.4057076828895</v>
      </c>
      <c r="M479" s="14">
        <v>50.175</v>
      </c>
      <c r="N479" s="16">
        <f t="shared" si="36"/>
        <v>2.13642040857001</v>
      </c>
      <c r="Q479" s="14">
        <v>0.0235501</v>
      </c>
      <c r="R479" s="17">
        <v>2.73106850501696</v>
      </c>
      <c r="S479" s="17">
        <f t="shared" si="37"/>
        <v>8.76315397782246</v>
      </c>
      <c r="V479" s="18">
        <v>4.07061</v>
      </c>
      <c r="Y479" s="14">
        <v>10.3126</v>
      </c>
      <c r="Z479" s="19">
        <f t="shared" si="38"/>
        <v>10.3945555921882</v>
      </c>
    </row>
    <row r="480" spans="1:26">
      <c r="A480" s="1" t="s">
        <v>500</v>
      </c>
      <c r="B480" s="1">
        <v>108416900</v>
      </c>
      <c r="C480" s="2">
        <v>0</v>
      </c>
      <c r="E480" s="14">
        <f t="shared" si="39"/>
        <v>1.15554104674413</v>
      </c>
      <c r="F480" s="11">
        <v>1.264697692</v>
      </c>
      <c r="G480" s="15">
        <v>1.46141009482857</v>
      </c>
      <c r="I480" s="14">
        <v>0.060217</v>
      </c>
      <c r="J480" s="13">
        <f t="shared" si="35"/>
        <v>1.80043675374064</v>
      </c>
      <c r="M480" s="14">
        <v>263.809</v>
      </c>
      <c r="N480" s="16">
        <f t="shared" si="36"/>
        <v>0.410967404447915</v>
      </c>
      <c r="Q480" s="14">
        <v>0.0867881</v>
      </c>
      <c r="R480" s="17">
        <v>0.749528333953618</v>
      </c>
      <c r="S480" s="17">
        <f t="shared" si="37"/>
        <v>1.94977298205648</v>
      </c>
      <c r="V480" s="18">
        <v>1.58254</v>
      </c>
      <c r="Y480" s="14">
        <v>79.0238</v>
      </c>
      <c r="Z480" s="19">
        <f t="shared" si="38"/>
        <v>1.37195250038596</v>
      </c>
    </row>
    <row r="481" spans="1:26">
      <c r="A481" s="1" t="s">
        <v>501</v>
      </c>
      <c r="B481" s="1">
        <v>108569800</v>
      </c>
      <c r="C481" s="2">
        <v>0.000775645</v>
      </c>
      <c r="E481" s="14">
        <f t="shared" si="39"/>
        <v>1.2316047443818</v>
      </c>
      <c r="F481" s="11">
        <v>3.988955276</v>
      </c>
      <c r="G481" s="15">
        <v>4.91281624304842</v>
      </c>
      <c r="I481" s="14">
        <v>0.020888</v>
      </c>
      <c r="J481" s="13">
        <f t="shared" si="35"/>
        <v>5.19771160474914</v>
      </c>
      <c r="M481" s="14">
        <v>175.161</v>
      </c>
      <c r="N481" s="16">
        <f t="shared" si="36"/>
        <v>0.619828614817225</v>
      </c>
      <c r="Q481" s="14">
        <v>0.0536381</v>
      </c>
      <c r="R481" s="17">
        <v>1.21447031121535</v>
      </c>
      <c r="S481" s="17">
        <f t="shared" si="37"/>
        <v>4.04523371026834</v>
      </c>
      <c r="V481" s="18">
        <v>2.23681</v>
      </c>
      <c r="Y481" s="14">
        <v>46.5868</v>
      </c>
      <c r="Z481" s="19">
        <f t="shared" si="38"/>
        <v>2.33048417148205</v>
      </c>
    </row>
    <row r="482" spans="1:26">
      <c r="A482" s="1" t="s">
        <v>502</v>
      </c>
      <c r="B482" s="1">
        <v>111255998</v>
      </c>
      <c r="C482" s="2">
        <v>0.273411</v>
      </c>
      <c r="E482" s="14">
        <f t="shared" si="39"/>
        <v>1.67025699632014</v>
      </c>
      <c r="F482" s="11">
        <v>12.365753074</v>
      </c>
      <c r="G482" s="15">
        <v>20.6539855866158</v>
      </c>
      <c r="I482" s="14">
        <v>0.005596</v>
      </c>
      <c r="J482" s="13">
        <f t="shared" si="35"/>
        <v>19.881343459614</v>
      </c>
      <c r="M482" s="14">
        <v>116.406</v>
      </c>
      <c r="N482" s="16">
        <f t="shared" si="36"/>
        <v>0.955758277064756</v>
      </c>
      <c r="Q482" s="14">
        <v>0.0157507</v>
      </c>
      <c r="R482" s="17">
        <v>4.23813537176126</v>
      </c>
      <c r="S482" s="17">
        <f t="shared" si="37"/>
        <v>4.87336617990863</v>
      </c>
      <c r="V482" s="18">
        <v>5.69077</v>
      </c>
      <c r="Y482" s="14">
        <v>12.1047</v>
      </c>
      <c r="Z482" s="19">
        <f t="shared" si="38"/>
        <v>9.19114046609995</v>
      </c>
    </row>
    <row r="483" spans="1:26">
      <c r="A483" s="1" t="s">
        <v>503</v>
      </c>
      <c r="B483" s="1">
        <v>111677660</v>
      </c>
      <c r="C483" s="2">
        <v>0</v>
      </c>
      <c r="E483" s="14">
        <f t="shared" si="39"/>
        <v>0.807344101617007</v>
      </c>
      <c r="F483" s="11">
        <v>4.257990661</v>
      </c>
      <c r="G483" s="15">
        <v>3.43766364489865</v>
      </c>
      <c r="I483" s="14">
        <v>0.039839</v>
      </c>
      <c r="J483" s="13">
        <f t="shared" si="35"/>
        <v>2.80322447852607</v>
      </c>
      <c r="M483" s="14">
        <v>15347.262</v>
      </c>
      <c r="N483" s="16">
        <f t="shared" si="36"/>
        <v>0.00727671554704676</v>
      </c>
      <c r="Q483" s="14">
        <v>0.121715</v>
      </c>
      <c r="R483" s="17">
        <v>0.550520445302551</v>
      </c>
      <c r="S483" s="17">
        <f t="shared" si="37"/>
        <v>6.24438869479117</v>
      </c>
      <c r="V483" s="18">
        <v>1.10184</v>
      </c>
      <c r="Y483" s="14">
        <v>110.6602</v>
      </c>
      <c r="Z483" s="19">
        <f t="shared" si="38"/>
        <v>1.00919445292888</v>
      </c>
    </row>
    <row r="484" spans="1:26">
      <c r="A484" s="1" t="s">
        <v>504</v>
      </c>
      <c r="B484" s="1">
        <v>112788760</v>
      </c>
      <c r="C484" s="2">
        <v>1</v>
      </c>
      <c r="E484" s="14">
        <f t="shared" si="39"/>
        <v>3.32357276521542</v>
      </c>
      <c r="F484" s="11">
        <v>12.661126946</v>
      </c>
      <c r="G484" s="15">
        <v>42.0801766946607</v>
      </c>
      <c r="I484" s="14">
        <v>0.004611</v>
      </c>
      <c r="J484" s="13">
        <f t="shared" si="35"/>
        <v>24.4608024289742</v>
      </c>
      <c r="M484" s="14">
        <v>38.841</v>
      </c>
      <c r="N484" s="16">
        <f t="shared" si="36"/>
        <v>2.9038582940707</v>
      </c>
      <c r="Q484" s="14">
        <v>0.0108443</v>
      </c>
      <c r="R484" s="17">
        <v>6.24044484199072</v>
      </c>
      <c r="S484" s="17">
        <f t="shared" si="37"/>
        <v>6.74313735000292</v>
      </c>
      <c r="V484" s="18">
        <v>8.27855</v>
      </c>
      <c r="Y484" s="14">
        <v>8.4813</v>
      </c>
      <c r="Z484" s="19">
        <f t="shared" si="38"/>
        <v>13.2985226321437</v>
      </c>
    </row>
    <row r="485" spans="1:26">
      <c r="A485" s="1" t="s">
        <v>505</v>
      </c>
      <c r="B485" s="1">
        <v>113274026</v>
      </c>
      <c r="C485" s="2">
        <v>0.000371235</v>
      </c>
      <c r="E485" s="14">
        <f t="shared" si="39"/>
        <v>0.501158445083745</v>
      </c>
      <c r="F485" s="11">
        <v>4.416108428</v>
      </c>
      <c r="G485" s="15">
        <v>2.2131700330977</v>
      </c>
      <c r="I485" s="14">
        <v>0.057358</v>
      </c>
      <c r="J485" s="13">
        <f t="shared" si="35"/>
        <v>1.97486010669828</v>
      </c>
      <c r="M485" s="14">
        <v>1000.463</v>
      </c>
      <c r="N485" s="16">
        <f t="shared" si="36"/>
        <v>0.113221604397164</v>
      </c>
      <c r="Q485" s="14">
        <v>0.00412089</v>
      </c>
      <c r="R485" s="17">
        <v>16.4926546449917</v>
      </c>
      <c r="S485" s="17">
        <f t="shared" si="37"/>
        <v>0.134191255485348</v>
      </c>
      <c r="V485" s="18">
        <v>1.30128</v>
      </c>
      <c r="Y485" s="14">
        <v>115.8752</v>
      </c>
      <c r="Z485" s="19">
        <f t="shared" si="38"/>
        <v>0.977551935185441</v>
      </c>
    </row>
    <row r="486" spans="1:26">
      <c r="A486" s="1" t="s">
        <v>506</v>
      </c>
      <c r="B486" s="1">
        <v>113274026</v>
      </c>
      <c r="C486" s="2">
        <v>0.000371235</v>
      </c>
      <c r="E486" s="14">
        <f t="shared" si="39"/>
        <v>0.603048608327496</v>
      </c>
      <c r="F486" s="11">
        <v>3.714494017</v>
      </c>
      <c r="G486" s="15">
        <v>2.24002044759266</v>
      </c>
      <c r="I486" s="14">
        <v>0.056286</v>
      </c>
      <c r="J486" s="13">
        <f t="shared" si="35"/>
        <v>2.01247247983513</v>
      </c>
      <c r="M486" s="14">
        <v>984.654</v>
      </c>
      <c r="N486" s="16">
        <f t="shared" si="36"/>
        <v>0.115039420953959</v>
      </c>
      <c r="Q486" s="14">
        <v>0.00412746</v>
      </c>
      <c r="R486" s="17">
        <v>16.4664020002617</v>
      </c>
      <c r="S486" s="17">
        <f t="shared" si="37"/>
        <v>0.136035816905057</v>
      </c>
      <c r="V486" s="18">
        <v>1.25322</v>
      </c>
      <c r="Y486" s="14">
        <v>115.2848</v>
      </c>
      <c r="Z486" s="19">
        <f t="shared" si="38"/>
        <v>0.9825582036834</v>
      </c>
    </row>
    <row r="487" spans="1:26">
      <c r="A487" s="1" t="s">
        <v>507</v>
      </c>
      <c r="B487" s="1">
        <v>115027306</v>
      </c>
      <c r="C487" s="2">
        <v>0.192014</v>
      </c>
      <c r="E487" s="14">
        <f t="shared" si="39"/>
        <v>0.442876682649784</v>
      </c>
      <c r="F487" s="11">
        <v>12.118230858</v>
      </c>
      <c r="G487" s="15">
        <v>5.36688188197529</v>
      </c>
      <c r="I487" s="14">
        <v>0.031275</v>
      </c>
      <c r="J487" s="13">
        <f t="shared" si="35"/>
        <v>3.67793144684253</v>
      </c>
      <c r="M487" s="14">
        <v>54.019</v>
      </c>
      <c r="N487" s="16">
        <f t="shared" si="36"/>
        <v>2.12938606786501</v>
      </c>
      <c r="Q487" s="14">
        <v>0.00222549</v>
      </c>
      <c r="R487" s="17">
        <v>21.7082388687435</v>
      </c>
      <c r="S487" s="17">
        <f t="shared" si="37"/>
        <v>0.247227880364941</v>
      </c>
      <c r="V487" s="18">
        <v>1.86721</v>
      </c>
      <c r="Y487" s="14">
        <v>92.7463</v>
      </c>
      <c r="Z487" s="19">
        <f t="shared" si="38"/>
        <v>1.24023606332544</v>
      </c>
    </row>
    <row r="488" spans="1:26">
      <c r="A488" s="1" t="s">
        <v>508</v>
      </c>
      <c r="B488" s="1">
        <v>120030302</v>
      </c>
      <c r="C488" s="2">
        <v>0.0648484</v>
      </c>
      <c r="E488" s="14">
        <f t="shared" si="39"/>
        <v>0.885557087051039</v>
      </c>
      <c r="F488" s="11">
        <v>9.410230652</v>
      </c>
      <c r="G488" s="15">
        <v>8.33329644466352</v>
      </c>
      <c r="I488" s="14">
        <v>0.011577</v>
      </c>
      <c r="J488" s="13">
        <f t="shared" si="35"/>
        <v>10.3679970631424</v>
      </c>
      <c r="M488" s="14">
        <v>77.902</v>
      </c>
      <c r="N488" s="16">
        <f t="shared" si="36"/>
        <v>1.54078588482966</v>
      </c>
      <c r="Q488" s="14">
        <v>0.00197897</v>
      </c>
      <c r="R488" s="17">
        <v>25.4742248947685</v>
      </c>
      <c r="S488" s="17">
        <f t="shared" si="37"/>
        <v>0.327126594786987</v>
      </c>
      <c r="V488" s="18">
        <v>3.59731</v>
      </c>
      <c r="Y488" s="14">
        <v>32.2926</v>
      </c>
      <c r="Z488" s="19">
        <f t="shared" si="38"/>
        <v>3.71695998464044</v>
      </c>
    </row>
    <row r="489" spans="1:26">
      <c r="A489" s="1" t="s">
        <v>509</v>
      </c>
      <c r="B489" s="1">
        <v>120261896</v>
      </c>
      <c r="C489" s="2">
        <v>0.297237</v>
      </c>
      <c r="E489" s="14">
        <f t="shared" si="39"/>
        <v>1.88302248495137</v>
      </c>
      <c r="F489" s="11">
        <v>12.513674367</v>
      </c>
      <c r="G489" s="15">
        <v>23.5635302024206</v>
      </c>
      <c r="I489" s="14">
        <v>0.005812</v>
      </c>
      <c r="J489" s="13">
        <f t="shared" si="35"/>
        <v>20.6919986235375</v>
      </c>
      <c r="M489" s="14">
        <v>107.182</v>
      </c>
      <c r="N489" s="16">
        <f t="shared" si="36"/>
        <v>1.12203444608236</v>
      </c>
      <c r="Q489" s="14">
        <v>0.0157038</v>
      </c>
      <c r="R489" s="17">
        <v>4.59488388797616</v>
      </c>
      <c r="S489" s="17">
        <f t="shared" si="37"/>
        <v>5.12821015218282</v>
      </c>
      <c r="V489" s="18">
        <v>6.35966</v>
      </c>
      <c r="Y489" s="14">
        <v>10.6905</v>
      </c>
      <c r="Z489" s="19">
        <f t="shared" si="38"/>
        <v>11.2494173331463</v>
      </c>
    </row>
    <row r="490" spans="1:26">
      <c r="A490" s="1" t="s">
        <v>510</v>
      </c>
      <c r="B490" s="1">
        <v>121931688</v>
      </c>
      <c r="C490" s="2">
        <v>0</v>
      </c>
      <c r="E490" s="14">
        <f t="shared" si="39"/>
        <v>2.14333331462266</v>
      </c>
      <c r="F490" s="11">
        <v>12.330142819</v>
      </c>
      <c r="G490" s="15">
        <v>26.4276058780181</v>
      </c>
      <c r="I490" s="14">
        <v>0.006468</v>
      </c>
      <c r="J490" s="13">
        <f t="shared" si="35"/>
        <v>18.8515287569573</v>
      </c>
      <c r="M490" s="14">
        <v>107.305</v>
      </c>
      <c r="N490" s="16">
        <f t="shared" si="36"/>
        <v>1.13630947299753</v>
      </c>
      <c r="Q490" s="14">
        <v>0.0124801</v>
      </c>
      <c r="R490" s="17">
        <v>5.86205341303355</v>
      </c>
      <c r="S490" s="17">
        <f t="shared" si="37"/>
        <v>4.50825061048737</v>
      </c>
      <c r="V490" s="18">
        <v>6.08792</v>
      </c>
      <c r="Y490" s="14">
        <v>12.4509</v>
      </c>
      <c r="Z490" s="19">
        <f t="shared" si="38"/>
        <v>9.79300195166615</v>
      </c>
    </row>
    <row r="491" spans="1:26">
      <c r="A491" s="1" t="s">
        <v>511</v>
      </c>
      <c r="B491" s="1">
        <v>128237870</v>
      </c>
      <c r="C491" s="2">
        <v>0.813177</v>
      </c>
      <c r="E491" s="14">
        <f t="shared" si="39"/>
        <v>1.55989894289127</v>
      </c>
      <c r="F491" s="11">
        <v>1.297569746</v>
      </c>
      <c r="G491" s="15">
        <v>2.02407767511309</v>
      </c>
      <c r="I491" s="14">
        <v>0.056327</v>
      </c>
      <c r="J491" s="13">
        <f t="shared" si="35"/>
        <v>2.27666785023168</v>
      </c>
      <c r="M491" s="14">
        <v>2365.623</v>
      </c>
      <c r="N491" s="16">
        <f t="shared" si="36"/>
        <v>0.0542089208635526</v>
      </c>
      <c r="Q491" s="14">
        <v>0.0797091</v>
      </c>
      <c r="R491" s="17">
        <v>0.965294075582336</v>
      </c>
      <c r="S491" s="17">
        <f t="shared" si="37"/>
        <v>2.09685082122981</v>
      </c>
      <c r="V491" s="18">
        <v>1.33878</v>
      </c>
      <c r="Y491" s="14">
        <v>143.9483</v>
      </c>
      <c r="Z491" s="19">
        <f t="shared" si="38"/>
        <v>0.890860607593143</v>
      </c>
    </row>
    <row r="492" spans="1:26">
      <c r="A492" s="1" t="s">
        <v>512</v>
      </c>
      <c r="B492" s="1">
        <v>129037780</v>
      </c>
      <c r="C492" s="2">
        <v>1</v>
      </c>
      <c r="E492" s="14">
        <f t="shared" si="39"/>
        <v>1.3806428305271</v>
      </c>
      <c r="F492" s="11">
        <v>1.54265056</v>
      </c>
      <c r="G492" s="15">
        <v>2.12984943567262</v>
      </c>
      <c r="I492" s="14">
        <v>0.030413</v>
      </c>
      <c r="J492" s="13">
        <f t="shared" si="35"/>
        <v>4.24284943938447</v>
      </c>
      <c r="M492" s="14">
        <v>83.504</v>
      </c>
      <c r="N492" s="16">
        <f t="shared" si="36"/>
        <v>1.54528860892891</v>
      </c>
      <c r="Q492" s="14">
        <v>0.013691</v>
      </c>
      <c r="R492" s="17">
        <v>5.65500460156307</v>
      </c>
      <c r="S492" s="17">
        <f t="shared" si="37"/>
        <v>0.376630893471584</v>
      </c>
      <c r="V492" s="18">
        <v>2.31794</v>
      </c>
      <c r="Y492" s="14">
        <v>76.793</v>
      </c>
      <c r="Z492" s="19">
        <f t="shared" si="38"/>
        <v>1.68033258239683</v>
      </c>
    </row>
    <row r="493" spans="1:26">
      <c r="A493" s="1" t="s">
        <v>513</v>
      </c>
      <c r="B493" s="1">
        <v>129187496</v>
      </c>
      <c r="C493" s="2">
        <v>0.0652535</v>
      </c>
      <c r="E493" s="14">
        <f t="shared" si="39"/>
        <v>3.02249138547359</v>
      </c>
      <c r="F493" s="11">
        <v>1.858075588</v>
      </c>
      <c r="G493" s="15">
        <v>5.61601745828878</v>
      </c>
      <c r="I493" s="14">
        <v>0.030363</v>
      </c>
      <c r="J493" s="13">
        <f t="shared" si="35"/>
        <v>4.25476718374337</v>
      </c>
      <c r="M493" s="14">
        <v>8613.439</v>
      </c>
      <c r="N493" s="16">
        <f t="shared" si="36"/>
        <v>0.0149983643002522</v>
      </c>
      <c r="Q493" s="14">
        <v>0.213521</v>
      </c>
      <c r="R493" s="17">
        <v>0.363020487914538</v>
      </c>
      <c r="S493" s="17">
        <f t="shared" si="37"/>
        <v>15.470249325462</v>
      </c>
      <c r="V493" s="18">
        <v>1.37756</v>
      </c>
      <c r="Y493" s="14">
        <v>79.3696</v>
      </c>
      <c r="Z493" s="19">
        <f t="shared" si="38"/>
        <v>1.62766973753175</v>
      </c>
    </row>
    <row r="494" spans="1:26">
      <c r="A494" s="1" t="s">
        <v>514</v>
      </c>
      <c r="B494" s="1">
        <v>131921432</v>
      </c>
      <c r="C494" s="2">
        <v>0.329804</v>
      </c>
      <c r="E494" s="14">
        <f t="shared" si="39"/>
        <v>1.23751024782362</v>
      </c>
      <c r="F494" s="11">
        <v>1.774244624</v>
      </c>
      <c r="G494" s="15">
        <v>2.19564590434597</v>
      </c>
      <c r="I494" s="14">
        <v>0.036957</v>
      </c>
      <c r="J494" s="13">
        <f t="shared" si="35"/>
        <v>3.56959255350813</v>
      </c>
      <c r="M494" s="14">
        <v>147.487</v>
      </c>
      <c r="N494" s="16">
        <f t="shared" si="36"/>
        <v>0.894461423718701</v>
      </c>
      <c r="Q494" s="14">
        <v>0.0248414</v>
      </c>
      <c r="R494" s="17">
        <v>3.18632843559542</v>
      </c>
      <c r="S494" s="17">
        <f t="shared" si="37"/>
        <v>0.689083359963072</v>
      </c>
      <c r="V494" s="18">
        <v>2.23247</v>
      </c>
      <c r="Y494" s="14">
        <v>82.8041</v>
      </c>
      <c r="Z494" s="19">
        <f t="shared" si="38"/>
        <v>1.59317512055562</v>
      </c>
    </row>
    <row r="495" spans="1:26">
      <c r="A495" s="1" t="s">
        <v>515</v>
      </c>
      <c r="B495" s="1">
        <v>132625624</v>
      </c>
      <c r="C495" s="2">
        <v>0.7151</v>
      </c>
      <c r="E495" s="14">
        <f t="shared" si="39"/>
        <v>2.43860506922937</v>
      </c>
      <c r="F495" s="11">
        <v>11.734214767</v>
      </c>
      <c r="G495" s="15">
        <v>28.6151156142323</v>
      </c>
      <c r="I495" s="14">
        <v>0.005969</v>
      </c>
      <c r="J495" s="13">
        <f t="shared" si="35"/>
        <v>22.2190691908192</v>
      </c>
      <c r="M495" s="14">
        <v>89.886</v>
      </c>
      <c r="N495" s="16">
        <f t="shared" si="36"/>
        <v>1.47548699463765</v>
      </c>
      <c r="Q495" s="14">
        <v>0.0162178</v>
      </c>
      <c r="R495" s="17">
        <v>4.90666887000703</v>
      </c>
      <c r="S495" s="17">
        <f t="shared" si="37"/>
        <v>5.8318823569179</v>
      </c>
      <c r="V495" s="18">
        <v>6.87201</v>
      </c>
      <c r="Y495" s="14">
        <v>15.2762</v>
      </c>
      <c r="Z495" s="19">
        <f t="shared" si="38"/>
        <v>8.68184653251463</v>
      </c>
    </row>
    <row r="496" spans="1:26">
      <c r="A496" s="1" t="s">
        <v>516</v>
      </c>
      <c r="B496" s="1">
        <v>134211204</v>
      </c>
      <c r="C496" s="2">
        <v>0.749344</v>
      </c>
      <c r="E496" s="14">
        <f t="shared" si="39"/>
        <v>3.29501637595337</v>
      </c>
      <c r="F496" s="11">
        <v>7.451792843</v>
      </c>
      <c r="G496" s="15">
        <v>24.5537794478971</v>
      </c>
      <c r="I496" s="14">
        <v>0.006752</v>
      </c>
      <c r="J496" s="13">
        <f t="shared" si="35"/>
        <v>19.8772517772512</v>
      </c>
      <c r="M496" s="14">
        <v>73.421</v>
      </c>
      <c r="N496" s="16">
        <f t="shared" si="36"/>
        <v>1.82796752972583</v>
      </c>
      <c r="Q496" s="14">
        <v>0.0244807</v>
      </c>
      <c r="R496" s="17">
        <v>3.28939623458479</v>
      </c>
      <c r="S496" s="17">
        <f t="shared" si="37"/>
        <v>7.46452470205264</v>
      </c>
      <c r="V496" s="18">
        <v>5.30948</v>
      </c>
      <c r="Y496" s="14">
        <v>12.444</v>
      </c>
      <c r="Z496" s="19">
        <f t="shared" si="38"/>
        <v>10.7852140790743</v>
      </c>
    </row>
    <row r="497" spans="1:26">
      <c r="A497" s="1" t="s">
        <v>517</v>
      </c>
      <c r="B497" s="1">
        <v>134214134</v>
      </c>
      <c r="C497" s="2">
        <v>0.778281</v>
      </c>
      <c r="E497" s="14">
        <f t="shared" si="39"/>
        <v>3.07790215511742</v>
      </c>
      <c r="F497" s="11">
        <v>6.62650531</v>
      </c>
      <c r="G497" s="15">
        <v>20.395734974546</v>
      </c>
      <c r="I497" s="14">
        <v>0.007375</v>
      </c>
      <c r="J497" s="13">
        <f t="shared" si="35"/>
        <v>18.1985266440678</v>
      </c>
      <c r="M497" s="14">
        <v>66.172</v>
      </c>
      <c r="N497" s="16">
        <f t="shared" si="36"/>
        <v>2.02826171190232</v>
      </c>
      <c r="Q497" s="14">
        <v>0.026622</v>
      </c>
      <c r="R497" s="17">
        <v>3.02488469686725</v>
      </c>
      <c r="S497" s="17">
        <f t="shared" si="37"/>
        <v>6.74264873489857</v>
      </c>
      <c r="V497" s="18">
        <v>5.33491</v>
      </c>
      <c r="Y497" s="14">
        <v>13.4127</v>
      </c>
      <c r="Z497" s="19">
        <f t="shared" si="38"/>
        <v>10.0064963802963</v>
      </c>
    </row>
    <row r="498" spans="1:26">
      <c r="A498" s="1" t="s">
        <v>518</v>
      </c>
      <c r="B498" s="1">
        <v>138494868</v>
      </c>
      <c r="C498" s="2">
        <v>0.00818621</v>
      </c>
      <c r="E498" s="14">
        <f t="shared" si="39"/>
        <v>0.686838663419248</v>
      </c>
      <c r="F498" s="11">
        <v>7.18256048</v>
      </c>
      <c r="G498" s="15">
        <v>4.93326024001111</v>
      </c>
      <c r="I498" s="14">
        <v>0.026442</v>
      </c>
      <c r="J498" s="13">
        <f t="shared" si="35"/>
        <v>5.2376850465169</v>
      </c>
      <c r="M498" s="14">
        <v>362.454</v>
      </c>
      <c r="N498" s="16">
        <f t="shared" si="36"/>
        <v>0.38210329586651</v>
      </c>
      <c r="Q498" s="14">
        <v>0.065451</v>
      </c>
      <c r="R498" s="17">
        <v>1.2696050602741</v>
      </c>
      <c r="S498" s="17">
        <f t="shared" si="37"/>
        <v>3.8856652311594</v>
      </c>
      <c r="V498" s="18">
        <v>2.30644</v>
      </c>
      <c r="Y498" s="14">
        <v>73.0521</v>
      </c>
      <c r="Z498" s="19">
        <f t="shared" si="38"/>
        <v>1.89583691639255</v>
      </c>
    </row>
    <row r="499" spans="1:26">
      <c r="A499" s="1" t="s">
        <v>519</v>
      </c>
      <c r="B499" s="1">
        <v>140500862</v>
      </c>
      <c r="C499" s="2">
        <v>0.878766</v>
      </c>
      <c r="E499" s="14">
        <f t="shared" si="39"/>
        <v>2.25294732869949</v>
      </c>
      <c r="F499" s="11">
        <v>9.698007871</v>
      </c>
      <c r="G499" s="15">
        <v>21.8491009266761</v>
      </c>
      <c r="I499" s="14">
        <v>0.006603</v>
      </c>
      <c r="J499" s="13">
        <f t="shared" si="35"/>
        <v>21.2783374223838</v>
      </c>
      <c r="M499" s="14">
        <v>99.147</v>
      </c>
      <c r="N499" s="16">
        <f t="shared" si="36"/>
        <v>1.41709645274189</v>
      </c>
      <c r="Q499" s="14">
        <v>0.0133136</v>
      </c>
      <c r="R499" s="17">
        <v>6.3319100168249</v>
      </c>
      <c r="S499" s="17">
        <f t="shared" si="37"/>
        <v>3.45063351636703</v>
      </c>
      <c r="V499" s="18">
        <v>6.64637</v>
      </c>
      <c r="Y499" s="14">
        <v>12.603</v>
      </c>
      <c r="Z499" s="19">
        <f t="shared" si="38"/>
        <v>11.1482077283187</v>
      </c>
    </row>
    <row r="500" spans="1:26">
      <c r="A500" s="1" t="s">
        <v>520</v>
      </c>
      <c r="B500" s="1">
        <v>140500862</v>
      </c>
      <c r="C500" s="2">
        <v>0.881535</v>
      </c>
      <c r="E500" s="14">
        <f t="shared" si="39"/>
        <v>2.52625396019543</v>
      </c>
      <c r="F500" s="11">
        <v>10.816080455</v>
      </c>
      <c r="G500" s="15">
        <v>27.3241660832361</v>
      </c>
      <c r="I500" s="14">
        <v>0.006615</v>
      </c>
      <c r="J500" s="13">
        <f t="shared" si="35"/>
        <v>21.2397372637944</v>
      </c>
      <c r="M500" s="14">
        <v>65.845</v>
      </c>
      <c r="N500" s="16">
        <f t="shared" si="36"/>
        <v>2.1338121649328</v>
      </c>
      <c r="Q500" s="14">
        <v>0.0146715</v>
      </c>
      <c r="R500" s="17">
        <v>5.74586901134853</v>
      </c>
      <c r="S500" s="17">
        <f t="shared" si="37"/>
        <v>4.75544535200311</v>
      </c>
      <c r="V500" s="18">
        <v>6.6685</v>
      </c>
      <c r="Y500" s="14">
        <v>11.7845</v>
      </c>
      <c r="Z500" s="19">
        <f t="shared" si="38"/>
        <v>11.9225136407994</v>
      </c>
    </row>
    <row r="501" spans="1:26">
      <c r="A501" s="1" t="s">
        <v>521</v>
      </c>
      <c r="B501" s="1">
        <v>141654528</v>
      </c>
      <c r="C501" s="2">
        <v>0.431005</v>
      </c>
      <c r="E501" s="14">
        <f t="shared" si="39"/>
        <v>3.90118381052524</v>
      </c>
      <c r="F501" s="11">
        <v>6.775576281</v>
      </c>
      <c r="G501" s="15">
        <v>26.432768494416</v>
      </c>
      <c r="I501" s="14">
        <v>0.00601</v>
      </c>
      <c r="J501" s="13">
        <f t="shared" si="35"/>
        <v>23.5698049916805</v>
      </c>
      <c r="M501" s="14">
        <v>62.583</v>
      </c>
      <c r="N501" s="16">
        <f t="shared" si="36"/>
        <v>2.26346656440247</v>
      </c>
      <c r="Q501" s="14">
        <v>0.0117797</v>
      </c>
      <c r="R501" s="17">
        <v>7.21518517449511</v>
      </c>
      <c r="S501" s="17">
        <f t="shared" si="37"/>
        <v>3.66349135263402</v>
      </c>
      <c r="V501" s="18">
        <v>7.62771</v>
      </c>
      <c r="Y501" s="14">
        <v>11.1382</v>
      </c>
      <c r="Z501" s="19">
        <f t="shared" si="38"/>
        <v>12.7179012766874</v>
      </c>
    </row>
    <row r="502" spans="1:26">
      <c r="A502" s="1" t="s">
        <v>522</v>
      </c>
      <c r="B502" s="1">
        <v>141965260</v>
      </c>
      <c r="C502" s="2">
        <v>1</v>
      </c>
      <c r="E502" s="14">
        <f t="shared" si="39"/>
        <v>3.98460576278003</v>
      </c>
      <c r="F502" s="11">
        <v>7.957766621</v>
      </c>
      <c r="G502" s="15">
        <v>31.7085627368952</v>
      </c>
      <c r="I502" s="14">
        <v>0.005467</v>
      </c>
      <c r="J502" s="13">
        <f t="shared" si="35"/>
        <v>25.9676714834461</v>
      </c>
      <c r="M502" s="14">
        <v>41.434</v>
      </c>
      <c r="N502" s="16">
        <f t="shared" si="36"/>
        <v>3.42629869189554</v>
      </c>
      <c r="Q502" s="14">
        <v>0.0138052</v>
      </c>
      <c r="R502" s="17">
        <v>6.17007765189928</v>
      </c>
      <c r="S502" s="17">
        <f t="shared" si="37"/>
        <v>5.13908649547298</v>
      </c>
      <c r="V502" s="18">
        <v>8.79077</v>
      </c>
      <c r="Y502" s="14">
        <v>9.5403</v>
      </c>
      <c r="Z502" s="19">
        <f t="shared" si="38"/>
        <v>14.8805865643638</v>
      </c>
    </row>
    <row r="503" spans="1:26">
      <c r="A503" s="1" t="s">
        <v>523</v>
      </c>
      <c r="B503" s="1">
        <v>142990310</v>
      </c>
      <c r="C503" s="2">
        <v>0.140629</v>
      </c>
      <c r="E503" s="14">
        <f t="shared" si="39"/>
        <v>1.61644136088709</v>
      </c>
      <c r="F503" s="11">
        <v>7.805518627</v>
      </c>
      <c r="G503" s="15">
        <v>12.6171631518574</v>
      </c>
      <c r="I503" s="14">
        <v>0.011233</v>
      </c>
      <c r="J503" s="13">
        <f t="shared" si="35"/>
        <v>12.7294854446719</v>
      </c>
      <c r="M503" s="14">
        <v>105.192</v>
      </c>
      <c r="N503" s="16">
        <f t="shared" si="36"/>
        <v>1.35932684995057</v>
      </c>
      <c r="Q503" s="14">
        <v>0.0281928</v>
      </c>
      <c r="R503" s="17">
        <v>3.0431239891036</v>
      </c>
      <c r="S503" s="17">
        <f t="shared" si="37"/>
        <v>4.14612194476308</v>
      </c>
      <c r="V503" s="18">
        <v>5.10776</v>
      </c>
      <c r="Y503" s="14">
        <v>27.7521</v>
      </c>
      <c r="Z503" s="19">
        <f t="shared" si="38"/>
        <v>5.15241405154925</v>
      </c>
    </row>
    <row r="504" spans="1:26">
      <c r="A504" s="1" t="s">
        <v>524</v>
      </c>
      <c r="B504" s="1">
        <v>143404670</v>
      </c>
      <c r="C504" s="2">
        <v>0.00220178</v>
      </c>
      <c r="E504" s="14">
        <f t="shared" si="39"/>
        <v>0.787391608672893</v>
      </c>
      <c r="F504" s="11">
        <v>2.701524355</v>
      </c>
      <c r="G504" s="15">
        <v>2.12715760775245</v>
      </c>
      <c r="I504" s="14">
        <v>0.071208</v>
      </c>
      <c r="J504" s="13">
        <f t="shared" si="35"/>
        <v>2.01388425457814</v>
      </c>
      <c r="M504" s="14">
        <v>695.414</v>
      </c>
      <c r="N504" s="16">
        <f t="shared" si="36"/>
        <v>0.206214815922601</v>
      </c>
      <c r="Q504" s="14">
        <v>0.00361769</v>
      </c>
      <c r="R504" s="17">
        <v>23.783906857691</v>
      </c>
      <c r="S504" s="17">
        <f t="shared" si="37"/>
        <v>0.0894368456990737</v>
      </c>
      <c r="V504" s="18">
        <v>1.50186</v>
      </c>
      <c r="Y504" s="14">
        <v>124.1637</v>
      </c>
      <c r="Z504" s="19">
        <f t="shared" si="38"/>
        <v>1.15496453472311</v>
      </c>
    </row>
    <row r="505" spans="1:26">
      <c r="A505" s="1" t="s">
        <v>525</v>
      </c>
      <c r="B505" s="1">
        <v>143404670</v>
      </c>
      <c r="C505" s="2">
        <v>0.00221041</v>
      </c>
      <c r="E505" s="14">
        <f t="shared" si="39"/>
        <v>0.830467412705787</v>
      </c>
      <c r="F505" s="11">
        <v>2.66349539</v>
      </c>
      <c r="G505" s="15">
        <v>2.21194612528709</v>
      </c>
      <c r="I505" s="14">
        <v>0.080422</v>
      </c>
      <c r="J505" s="13">
        <f t="shared" si="35"/>
        <v>1.78315224689762</v>
      </c>
      <c r="M505" s="14">
        <v>695.072</v>
      </c>
      <c r="N505" s="16">
        <f t="shared" si="36"/>
        <v>0.206316280903273</v>
      </c>
      <c r="Q505" s="14">
        <v>0.00362387</v>
      </c>
      <c r="R505" s="17">
        <v>23.7433467536087</v>
      </c>
      <c r="S505" s="17">
        <f t="shared" si="37"/>
        <v>0.0931606714184428</v>
      </c>
      <c r="V505" s="18">
        <v>1.29046</v>
      </c>
      <c r="Y505" s="14">
        <v>124.477</v>
      </c>
      <c r="Z505" s="19">
        <f t="shared" si="38"/>
        <v>1.15205756886814</v>
      </c>
    </row>
    <row r="506" spans="1:26">
      <c r="A506" s="1" t="s">
        <v>526</v>
      </c>
      <c r="B506" s="1">
        <v>150299464</v>
      </c>
      <c r="C506" s="2">
        <v>2.92167e-5</v>
      </c>
      <c r="E506" s="14">
        <f t="shared" si="39"/>
        <v>0.52618007319537</v>
      </c>
      <c r="F506" s="11">
        <v>3.695419679</v>
      </c>
      <c r="G506" s="15">
        <v>1.94445619718383</v>
      </c>
      <c r="I506" s="14">
        <v>0.095005</v>
      </c>
      <c r="J506" s="13">
        <f t="shared" si="35"/>
        <v>1.58201635703384</v>
      </c>
      <c r="M506" s="14">
        <v>300.265</v>
      </c>
      <c r="N506" s="16">
        <f t="shared" si="36"/>
        <v>0.500556055484322</v>
      </c>
      <c r="Q506" s="14">
        <v>0.00413233</v>
      </c>
      <c r="R506" s="17">
        <v>21.8229614769392</v>
      </c>
      <c r="S506" s="17">
        <f t="shared" si="37"/>
        <v>0.0891013898016811</v>
      </c>
      <c r="V506" s="18">
        <v>1.18929</v>
      </c>
      <c r="Y506" s="14">
        <v>164.5755</v>
      </c>
      <c r="Z506" s="19">
        <f t="shared" si="38"/>
        <v>0.913255399497495</v>
      </c>
    </row>
    <row r="507" spans="1:26">
      <c r="A507" s="1" t="s">
        <v>527</v>
      </c>
      <c r="B507" s="1">
        <v>151349670</v>
      </c>
      <c r="C507" s="2">
        <v>0.469675</v>
      </c>
      <c r="E507" s="14">
        <f t="shared" si="39"/>
        <v>1.70055053676208</v>
      </c>
      <c r="F507" s="11">
        <v>12.134172719</v>
      </c>
      <c r="G507" s="15">
        <v>20.6347739304592</v>
      </c>
      <c r="I507" s="14">
        <v>0.008874</v>
      </c>
      <c r="J507" s="13">
        <f t="shared" si="35"/>
        <v>17.0554056795132</v>
      </c>
      <c r="M507" s="14">
        <v>141.447</v>
      </c>
      <c r="N507" s="16">
        <f t="shared" si="36"/>
        <v>1.07000975630448</v>
      </c>
      <c r="Q507" s="14">
        <v>0.0695191</v>
      </c>
      <c r="R507" s="17">
        <v>1.30625687041403</v>
      </c>
      <c r="S507" s="17">
        <f t="shared" si="37"/>
        <v>15.7968730330343</v>
      </c>
      <c r="V507" s="18">
        <v>6.52374</v>
      </c>
      <c r="Y507" s="14">
        <v>18.1304</v>
      </c>
      <c r="Z507" s="19">
        <f t="shared" si="38"/>
        <v>8.34783954021974</v>
      </c>
    </row>
    <row r="508" spans="1:26">
      <c r="A508" s="1" t="s">
        <v>528</v>
      </c>
      <c r="B508" s="1">
        <v>152561542</v>
      </c>
      <c r="C508" s="2">
        <v>0.798755</v>
      </c>
      <c r="E508" s="14">
        <f t="shared" si="39"/>
        <v>2.26112027999142</v>
      </c>
      <c r="F508" s="11">
        <v>9.812946522</v>
      </c>
      <c r="G508" s="15">
        <v>22.1882523873655</v>
      </c>
      <c r="I508" s="14">
        <v>0.00855</v>
      </c>
      <c r="J508" s="13">
        <f t="shared" si="35"/>
        <v>17.8434552046784</v>
      </c>
      <c r="M508" s="14">
        <v>77.816</v>
      </c>
      <c r="N508" s="16">
        <f t="shared" si="36"/>
        <v>1.96054207360954</v>
      </c>
      <c r="Q508" s="14">
        <v>0.0303833</v>
      </c>
      <c r="R508" s="17">
        <v>3.01273808967426</v>
      </c>
      <c r="S508" s="17">
        <f t="shared" si="37"/>
        <v>7.36481291334705</v>
      </c>
      <c r="V508" s="18">
        <v>5.64971</v>
      </c>
      <c r="Y508" s="14">
        <v>18.85</v>
      </c>
      <c r="Z508" s="19">
        <f t="shared" si="38"/>
        <v>8.09345050397878</v>
      </c>
    </row>
    <row r="509" spans="1:26">
      <c r="A509" s="1" t="s">
        <v>529</v>
      </c>
      <c r="B509" s="1">
        <v>152941166</v>
      </c>
      <c r="C509" s="2">
        <v>0</v>
      </c>
      <c r="E509" s="14">
        <f t="shared" si="39"/>
        <v>2.51423110646518</v>
      </c>
      <c r="F509" s="11">
        <v>4.740987944</v>
      </c>
      <c r="G509" s="15">
        <v>11.9199393641812</v>
      </c>
      <c r="I509" s="14">
        <v>0.015289</v>
      </c>
      <c r="J509" s="13">
        <f t="shared" si="35"/>
        <v>10.003346589051</v>
      </c>
      <c r="M509" s="14">
        <v>152.385</v>
      </c>
      <c r="N509" s="16">
        <f t="shared" si="36"/>
        <v>1.00364974242872</v>
      </c>
      <c r="Q509" s="14">
        <v>0.0381606</v>
      </c>
      <c r="R509" s="17">
        <v>2.40469750475621</v>
      </c>
      <c r="S509" s="17">
        <f t="shared" si="37"/>
        <v>4.95693921609889</v>
      </c>
      <c r="V509" s="18">
        <v>4.7362</v>
      </c>
      <c r="Y509" s="14">
        <v>29.6818</v>
      </c>
      <c r="Z509" s="19">
        <f t="shared" si="38"/>
        <v>5.15269175050031</v>
      </c>
    </row>
    <row r="510" spans="1:26">
      <c r="A510" s="1" t="s">
        <v>530</v>
      </c>
      <c r="B510" s="1">
        <v>153607828</v>
      </c>
      <c r="C510" s="2">
        <v>0.860174</v>
      </c>
      <c r="E510" s="14">
        <f t="shared" si="39"/>
        <v>2.23036494337332</v>
      </c>
      <c r="F510" s="11">
        <v>8.990673094</v>
      </c>
      <c r="G510" s="15">
        <v>20.0524820861873</v>
      </c>
      <c r="I510" s="14">
        <v>0.008741</v>
      </c>
      <c r="J510" s="13">
        <f t="shared" si="35"/>
        <v>17.5732556915685</v>
      </c>
      <c r="M510" s="14">
        <v>96.732</v>
      </c>
      <c r="N510" s="16">
        <f t="shared" si="36"/>
        <v>1.58797324566844</v>
      </c>
      <c r="Q510" s="14">
        <v>0.0351307</v>
      </c>
      <c r="R510" s="17">
        <v>2.62348022669631</v>
      </c>
      <c r="S510" s="17">
        <f t="shared" si="37"/>
        <v>7.64346606547096</v>
      </c>
      <c r="V510" s="18">
        <v>6.66741</v>
      </c>
      <c r="Y510" s="14">
        <v>19.2938</v>
      </c>
      <c r="Z510" s="19">
        <f t="shared" si="38"/>
        <v>7.9615124029481</v>
      </c>
    </row>
    <row r="511" spans="1:26">
      <c r="A511" s="1" t="s">
        <v>531</v>
      </c>
      <c r="B511" s="1">
        <v>155795134</v>
      </c>
      <c r="C511" s="2">
        <v>0.499491</v>
      </c>
      <c r="E511" s="14">
        <f t="shared" si="39"/>
        <v>1.78384003373716</v>
      </c>
      <c r="F511" s="11">
        <v>9.73671186</v>
      </c>
      <c r="G511" s="15">
        <v>17.3687364128314</v>
      </c>
      <c r="I511" s="14">
        <v>0.009808</v>
      </c>
      <c r="J511" s="13">
        <f t="shared" si="35"/>
        <v>15.8844957177814</v>
      </c>
      <c r="M511" s="14">
        <v>112.879</v>
      </c>
      <c r="N511" s="16">
        <f t="shared" si="36"/>
        <v>1.38019590889359</v>
      </c>
      <c r="Q511" s="14">
        <v>0.0170891</v>
      </c>
      <c r="R511" s="17">
        <v>5.46998264390752</v>
      </c>
      <c r="S511" s="17">
        <f t="shared" si="37"/>
        <v>3.17528181413459</v>
      </c>
      <c r="V511" s="18">
        <v>5.67146</v>
      </c>
      <c r="Y511" s="14">
        <v>22.8766</v>
      </c>
      <c r="Z511" s="19">
        <f t="shared" si="38"/>
        <v>6.81023989578871</v>
      </c>
    </row>
    <row r="512" spans="1:26">
      <c r="A512" s="1" t="s">
        <v>532</v>
      </c>
      <c r="B512" s="1">
        <v>155795134</v>
      </c>
      <c r="C512" s="2">
        <v>0.499491</v>
      </c>
      <c r="E512" s="14">
        <f t="shared" si="39"/>
        <v>2.47420997910895</v>
      </c>
      <c r="F512" s="11">
        <v>7.462608892</v>
      </c>
      <c r="G512" s="15">
        <v>18.4640613907736</v>
      </c>
      <c r="I512" s="14">
        <v>0.009745</v>
      </c>
      <c r="J512" s="13">
        <f t="shared" si="35"/>
        <v>15.9871866598256</v>
      </c>
      <c r="M512" s="14">
        <v>114.695</v>
      </c>
      <c r="N512" s="16">
        <f t="shared" si="36"/>
        <v>1.35834285714286</v>
      </c>
      <c r="Q512" s="14">
        <v>0.0176242</v>
      </c>
      <c r="R512" s="17">
        <v>5.30390488078891</v>
      </c>
      <c r="S512" s="17">
        <f t="shared" si="37"/>
        <v>3.4812203095217</v>
      </c>
      <c r="V512" s="18">
        <v>5.69017</v>
      </c>
      <c r="Y512" s="14">
        <v>28.4179</v>
      </c>
      <c r="Z512" s="19">
        <f t="shared" si="38"/>
        <v>5.4822887686986</v>
      </c>
    </row>
    <row r="513" spans="1:26">
      <c r="A513" s="1" t="s">
        <v>533</v>
      </c>
      <c r="B513" s="1">
        <v>157618374</v>
      </c>
      <c r="C513" s="2">
        <v>0.0106718</v>
      </c>
      <c r="E513" s="14">
        <f t="shared" si="39"/>
        <v>0.819361735670623</v>
      </c>
      <c r="F513" s="11">
        <v>2.983886171</v>
      </c>
      <c r="G513" s="15">
        <v>2.44488215211413</v>
      </c>
      <c r="I513" s="14">
        <v>0.080624</v>
      </c>
      <c r="J513" s="13">
        <f t="shared" si="35"/>
        <v>1.95498082456837</v>
      </c>
      <c r="M513" s="14">
        <v>513.897</v>
      </c>
      <c r="N513" s="16">
        <f t="shared" si="36"/>
        <v>0.306711994816082</v>
      </c>
      <c r="Q513" s="14">
        <v>0.00375684</v>
      </c>
      <c r="R513" s="17">
        <v>25.1730242437793</v>
      </c>
      <c r="S513" s="17">
        <f t="shared" si="37"/>
        <v>0.0971231000469999</v>
      </c>
      <c r="V513" s="18">
        <v>1.59552</v>
      </c>
      <c r="Y513" s="14">
        <v>124.107</v>
      </c>
      <c r="Z513" s="19">
        <f t="shared" si="38"/>
        <v>1.27002001498707</v>
      </c>
    </row>
    <row r="514" spans="1:26">
      <c r="A514" s="1" t="s">
        <v>534</v>
      </c>
      <c r="B514" s="1">
        <v>158448284</v>
      </c>
      <c r="C514" s="2">
        <v>0.219767</v>
      </c>
      <c r="E514" s="14">
        <f t="shared" si="39"/>
        <v>0.476071288697534</v>
      </c>
      <c r="F514" s="11">
        <v>4.931408434</v>
      </c>
      <c r="G514" s="15">
        <v>2.34770196826827</v>
      </c>
      <c r="I514" s="14">
        <v>0.069633</v>
      </c>
      <c r="J514" s="13">
        <f t="shared" ref="J514:J577" si="40">B514/I514/1000000000</f>
        <v>2.27547691468126</v>
      </c>
      <c r="M514" s="14">
        <v>174.728</v>
      </c>
      <c r="N514" s="16">
        <f t="shared" ref="N514:N577" si="41">B514/M514/1000000</f>
        <v>0.906828235886635</v>
      </c>
      <c r="Q514" s="14">
        <v>0.00960047</v>
      </c>
      <c r="R514" s="17">
        <v>9.90253293849155</v>
      </c>
      <c r="S514" s="17">
        <f t="shared" ref="S514:S577" si="42">G514/R514</f>
        <v>0.237080955231429</v>
      </c>
      <c r="V514" s="18">
        <v>1.67389</v>
      </c>
      <c r="Y514" s="14">
        <v>143.4885</v>
      </c>
      <c r="Z514" s="19">
        <f t="shared" ref="Z514:Z577" si="43">B514/Y514/1000000</f>
        <v>1.10425772100203</v>
      </c>
    </row>
    <row r="515" spans="1:26">
      <c r="A515" s="1" t="s">
        <v>535</v>
      </c>
      <c r="B515" s="1">
        <v>159454560</v>
      </c>
      <c r="C515" s="2">
        <v>0.538891</v>
      </c>
      <c r="E515" s="14">
        <f t="shared" ref="E515:E578" si="44">G515/F515</f>
        <v>1.81301610967419</v>
      </c>
      <c r="F515" s="11">
        <v>1.338402162</v>
      </c>
      <c r="G515" s="15">
        <v>2.42654468092877</v>
      </c>
      <c r="I515" s="14">
        <v>0.050705</v>
      </c>
      <c r="J515" s="13">
        <f t="shared" si="40"/>
        <v>3.14475022187161</v>
      </c>
      <c r="M515" s="14">
        <v>170.278</v>
      </c>
      <c r="N515" s="16">
        <f t="shared" si="41"/>
        <v>0.936436650653637</v>
      </c>
      <c r="Q515" s="14">
        <v>0.0126323</v>
      </c>
      <c r="R515" s="17">
        <v>7.57365927028332</v>
      </c>
      <c r="S515" s="17">
        <f t="shared" si="42"/>
        <v>0.320392639057552</v>
      </c>
      <c r="V515" s="18">
        <v>1.65844</v>
      </c>
      <c r="Y515" s="14">
        <v>141.25</v>
      </c>
      <c r="Z515" s="19">
        <f t="shared" si="43"/>
        <v>1.12888184070796</v>
      </c>
    </row>
    <row r="516" spans="1:26">
      <c r="A516" s="1" t="s">
        <v>536</v>
      </c>
      <c r="B516" s="1">
        <v>161885088</v>
      </c>
      <c r="C516" s="2">
        <v>0.261331</v>
      </c>
      <c r="E516" s="14">
        <f t="shared" si="44"/>
        <v>2.61094420154172</v>
      </c>
      <c r="F516" s="11">
        <v>12.424455894</v>
      </c>
      <c r="G516" s="15">
        <v>32.4395610737502</v>
      </c>
      <c r="I516" s="14">
        <v>0.009474</v>
      </c>
      <c r="J516" s="13">
        <f t="shared" si="40"/>
        <v>17.0873008233059</v>
      </c>
      <c r="M516" s="14">
        <v>110.308</v>
      </c>
      <c r="N516" s="16">
        <f t="shared" si="41"/>
        <v>1.46757341262646</v>
      </c>
      <c r="Q516" s="14">
        <v>0.0476009</v>
      </c>
      <c r="R516" s="17">
        <v>2.04052975468951</v>
      </c>
      <c r="S516" s="17">
        <f t="shared" si="42"/>
        <v>15.8976172727686</v>
      </c>
      <c r="V516" s="18">
        <v>6.47665</v>
      </c>
      <c r="Y516" s="14">
        <v>19.0119</v>
      </c>
      <c r="Z516" s="19">
        <f t="shared" si="43"/>
        <v>8.51493475139255</v>
      </c>
    </row>
    <row r="517" spans="1:26">
      <c r="A517" s="1" t="s">
        <v>537</v>
      </c>
      <c r="B517" s="1">
        <v>164773726</v>
      </c>
      <c r="C517" s="2">
        <v>0.202367</v>
      </c>
      <c r="E517" s="14">
        <f t="shared" si="44"/>
        <v>0.391113317471293</v>
      </c>
      <c r="F517" s="11">
        <v>13.03533116</v>
      </c>
      <c r="G517" s="15">
        <v>5.09829161432452</v>
      </c>
      <c r="I517" s="14">
        <v>0.049423</v>
      </c>
      <c r="J517" s="13">
        <f t="shared" si="40"/>
        <v>3.33394828318799</v>
      </c>
      <c r="M517" s="14">
        <v>102.213</v>
      </c>
      <c r="N517" s="16">
        <f t="shared" si="41"/>
        <v>1.61206232083982</v>
      </c>
      <c r="Q517" s="14">
        <v>0.00270901</v>
      </c>
      <c r="R517" s="17">
        <v>25.5462198072359</v>
      </c>
      <c r="S517" s="17">
        <f t="shared" si="42"/>
        <v>0.19957127327623</v>
      </c>
      <c r="V517" s="18">
        <v>2.23973</v>
      </c>
      <c r="Y517" s="14">
        <v>127.9388</v>
      </c>
      <c r="Z517" s="19">
        <f t="shared" si="43"/>
        <v>1.28791051659074</v>
      </c>
    </row>
    <row r="518" spans="1:26">
      <c r="A518" s="1" t="s">
        <v>538</v>
      </c>
      <c r="B518" s="1">
        <v>167635182</v>
      </c>
      <c r="C518" s="2">
        <v>0.103185</v>
      </c>
      <c r="E518" s="14">
        <f t="shared" si="44"/>
        <v>0.985493779278125</v>
      </c>
      <c r="F518" s="11">
        <v>6.476477163</v>
      </c>
      <c r="G518" s="15">
        <v>6.38252795577334</v>
      </c>
      <c r="I518" s="14">
        <v>0.01574</v>
      </c>
      <c r="J518" s="13">
        <f t="shared" si="40"/>
        <v>10.6502656925032</v>
      </c>
      <c r="M518" s="14">
        <v>416.35</v>
      </c>
      <c r="N518" s="16">
        <f t="shared" si="41"/>
        <v>0.402630435931308</v>
      </c>
      <c r="Q518" s="14">
        <v>0.0571602</v>
      </c>
      <c r="R518" s="17">
        <v>1.75963536166773</v>
      </c>
      <c r="S518" s="17">
        <f t="shared" si="42"/>
        <v>3.62718782243849</v>
      </c>
      <c r="V518" s="18">
        <v>3.95818</v>
      </c>
      <c r="Y518" s="14">
        <v>41.7955</v>
      </c>
      <c r="Z518" s="19">
        <f t="shared" si="43"/>
        <v>4.01084284193274</v>
      </c>
    </row>
    <row r="519" spans="1:26">
      <c r="A519" s="1" t="s">
        <v>539</v>
      </c>
      <c r="B519" s="1">
        <v>177148622</v>
      </c>
      <c r="C519" s="2">
        <v>0.542486</v>
      </c>
      <c r="E519" s="14">
        <f t="shared" si="44"/>
        <v>2.57276773613105</v>
      </c>
      <c r="F519" s="11">
        <v>0.305219009</v>
      </c>
      <c r="G519" s="15">
        <v>0.785257618809094</v>
      </c>
      <c r="I519" s="14">
        <v>0.113878</v>
      </c>
      <c r="J519" s="13">
        <f t="shared" si="40"/>
        <v>1.5556000456629</v>
      </c>
      <c r="M519" s="14">
        <v>462.513</v>
      </c>
      <c r="N519" s="16">
        <f t="shared" si="41"/>
        <v>0.383013281788836</v>
      </c>
      <c r="Q519" s="14">
        <v>0.183077</v>
      </c>
      <c r="R519" s="17">
        <v>0.580570870180307</v>
      </c>
      <c r="S519" s="17">
        <f t="shared" si="42"/>
        <v>1.3525611758048</v>
      </c>
      <c r="V519" s="18">
        <v>1.11947</v>
      </c>
      <c r="Y519" s="14">
        <v>288.1097</v>
      </c>
      <c r="Z519" s="19">
        <f t="shared" si="43"/>
        <v>0.614865178090151</v>
      </c>
    </row>
    <row r="520" spans="1:26">
      <c r="A520" s="1" t="s">
        <v>540</v>
      </c>
      <c r="B520" s="1">
        <v>177313778</v>
      </c>
      <c r="C520" s="2">
        <v>0.0342208</v>
      </c>
      <c r="E520" s="14">
        <f t="shared" si="44"/>
        <v>0.632618221102187</v>
      </c>
      <c r="F520" s="11">
        <v>3.309946416</v>
      </c>
      <c r="G520" s="15">
        <v>2.09393241363348</v>
      </c>
      <c r="I520" s="14">
        <v>0.048763</v>
      </c>
      <c r="J520" s="13">
        <f t="shared" si="40"/>
        <v>3.6362360396202</v>
      </c>
      <c r="M520" s="14">
        <v>208.564</v>
      </c>
      <c r="N520" s="16">
        <f t="shared" si="41"/>
        <v>0.850164831898122</v>
      </c>
      <c r="Q520" s="14">
        <v>0.0957694</v>
      </c>
      <c r="R520" s="17">
        <v>1.11087953772291</v>
      </c>
      <c r="S520" s="17">
        <f t="shared" si="42"/>
        <v>1.88493202235558</v>
      </c>
      <c r="V520" s="18">
        <v>1.54726</v>
      </c>
      <c r="Y520" s="14">
        <v>126.8057</v>
      </c>
      <c r="Z520" s="19">
        <f t="shared" si="43"/>
        <v>1.39831078571389</v>
      </c>
    </row>
    <row r="521" spans="1:26">
      <c r="A521" s="1" t="s">
        <v>541</v>
      </c>
      <c r="B521" s="1">
        <v>178387490</v>
      </c>
      <c r="C521" s="2">
        <v>0.240552</v>
      </c>
      <c r="E521" s="14">
        <f t="shared" si="44"/>
        <v>0.502351962406471</v>
      </c>
      <c r="F521" s="11">
        <v>9.750397306</v>
      </c>
      <c r="G521" s="15">
        <v>4.89813122091187</v>
      </c>
      <c r="I521" s="14">
        <v>0.053585</v>
      </c>
      <c r="J521" s="13">
        <f t="shared" si="40"/>
        <v>3.3290564523654</v>
      </c>
      <c r="M521" s="14">
        <v>97.278</v>
      </c>
      <c r="N521" s="16">
        <f t="shared" si="41"/>
        <v>1.83379068237423</v>
      </c>
      <c r="Q521" s="14">
        <v>0.00278173</v>
      </c>
      <c r="R521" s="17">
        <v>26.9338669820579</v>
      </c>
      <c r="S521" s="17">
        <f t="shared" si="42"/>
        <v>0.181857704434895</v>
      </c>
      <c r="V521" s="18">
        <v>1.8959</v>
      </c>
      <c r="Y521" s="14">
        <v>146.0805</v>
      </c>
      <c r="Z521" s="19">
        <f t="shared" si="43"/>
        <v>1.22115881312016</v>
      </c>
    </row>
    <row r="522" spans="1:26">
      <c r="A522" s="1" t="s">
        <v>542</v>
      </c>
      <c r="B522" s="1">
        <v>180268052</v>
      </c>
      <c r="C522" s="2">
        <v>0</v>
      </c>
      <c r="E522" s="14">
        <f t="shared" si="44"/>
        <v>1.39713421281444</v>
      </c>
      <c r="F522" s="11">
        <v>3.697430434</v>
      </c>
      <c r="G522" s="15">
        <v>5.16580655884275</v>
      </c>
      <c r="I522" s="14">
        <v>0.04176</v>
      </c>
      <c r="J522" s="13">
        <f t="shared" si="40"/>
        <v>4.31676369731801</v>
      </c>
      <c r="M522" s="14">
        <v>301.823</v>
      </c>
      <c r="N522" s="16">
        <f t="shared" si="41"/>
        <v>0.597264131626814</v>
      </c>
      <c r="Q522" s="14">
        <v>0.127615</v>
      </c>
      <c r="R522" s="17">
        <v>0.847555782627434</v>
      </c>
      <c r="S522" s="17">
        <f t="shared" si="42"/>
        <v>6.09494580147714</v>
      </c>
      <c r="V522" s="18">
        <v>2.07836</v>
      </c>
      <c r="Y522" s="14">
        <v>69.5568</v>
      </c>
      <c r="Z522" s="19">
        <f t="shared" si="43"/>
        <v>2.59166683918754</v>
      </c>
    </row>
    <row r="523" spans="1:26">
      <c r="A523" s="1" t="s">
        <v>543</v>
      </c>
      <c r="B523" s="1">
        <v>186742056</v>
      </c>
      <c r="C523" s="2">
        <v>0.00662983</v>
      </c>
      <c r="E523" s="14">
        <f t="shared" si="44"/>
        <v>6.06389500974299</v>
      </c>
      <c r="F523" s="11">
        <v>12.057558209</v>
      </c>
      <c r="G523" s="15">
        <v>73.1157670532407</v>
      </c>
      <c r="I523" s="14">
        <v>0.002762</v>
      </c>
      <c r="J523" s="13">
        <f t="shared" si="40"/>
        <v>67.6111716147719</v>
      </c>
      <c r="M523" s="14">
        <v>29.139</v>
      </c>
      <c r="N523" s="16">
        <f t="shared" si="41"/>
        <v>6.40866385256872</v>
      </c>
      <c r="Q523" s="14">
        <v>0.0155115</v>
      </c>
      <c r="R523" s="17">
        <v>7.22336547722657</v>
      </c>
      <c r="S523" s="17">
        <f t="shared" si="42"/>
        <v>10.1221192924207</v>
      </c>
      <c r="V523" s="18">
        <v>6.40765</v>
      </c>
      <c r="Y523" s="14">
        <v>5.9238</v>
      </c>
      <c r="Z523" s="19">
        <f t="shared" si="43"/>
        <v>31.5240311961916</v>
      </c>
    </row>
    <row r="524" spans="1:26">
      <c r="A524" s="1" t="s">
        <v>544</v>
      </c>
      <c r="B524" s="1">
        <v>187790122</v>
      </c>
      <c r="C524" s="2">
        <v>0.189501</v>
      </c>
      <c r="E524" s="14">
        <f t="shared" si="44"/>
        <v>0.377698688374782</v>
      </c>
      <c r="F524" s="11">
        <v>13.169139375</v>
      </c>
      <c r="G524" s="15">
        <v>4.97396666896219</v>
      </c>
      <c r="I524" s="14">
        <v>0.056371</v>
      </c>
      <c r="J524" s="13">
        <f t="shared" si="40"/>
        <v>3.33132500753934</v>
      </c>
      <c r="M524" s="14">
        <v>96.812</v>
      </c>
      <c r="N524" s="16">
        <f t="shared" si="41"/>
        <v>1.93974013552039</v>
      </c>
      <c r="Q524" s="14">
        <v>0.00287106</v>
      </c>
      <c r="R524" s="17">
        <v>27.4713350609183</v>
      </c>
      <c r="S524" s="17">
        <f t="shared" si="42"/>
        <v>0.18106024544975</v>
      </c>
      <c r="V524" s="18">
        <v>1.80705</v>
      </c>
      <c r="Y524" s="14">
        <v>144.6617</v>
      </c>
      <c r="Z524" s="19">
        <f t="shared" si="43"/>
        <v>1.29813296815951</v>
      </c>
    </row>
    <row r="525" spans="1:26">
      <c r="A525" s="1" t="s">
        <v>545</v>
      </c>
      <c r="B525" s="1">
        <v>188564658</v>
      </c>
      <c r="C525" s="2">
        <v>0.572002</v>
      </c>
      <c r="E525" s="14">
        <f t="shared" si="44"/>
        <v>1.83863016861286</v>
      </c>
      <c r="F525" s="11">
        <v>10.869515911</v>
      </c>
      <c r="G525" s="15">
        <v>19.9850198721821</v>
      </c>
      <c r="I525" s="14">
        <v>0.009938</v>
      </c>
      <c r="J525" s="13">
        <f t="shared" si="40"/>
        <v>18.9741052525659</v>
      </c>
      <c r="M525" s="14">
        <v>105.675</v>
      </c>
      <c r="N525" s="16">
        <f t="shared" si="41"/>
        <v>1.7843828530873</v>
      </c>
      <c r="Q525" s="14">
        <v>0.017892</v>
      </c>
      <c r="R525" s="17">
        <v>6.3234291750503</v>
      </c>
      <c r="S525" s="17">
        <f t="shared" si="42"/>
        <v>3.16047184509236</v>
      </c>
      <c r="V525" s="18">
        <v>6.84383</v>
      </c>
      <c r="Y525" s="14">
        <v>20.0961</v>
      </c>
      <c r="Z525" s="19">
        <f t="shared" si="43"/>
        <v>9.38314687924523</v>
      </c>
    </row>
    <row r="526" spans="1:26">
      <c r="A526" s="1" t="s">
        <v>546</v>
      </c>
      <c r="B526" s="1">
        <v>191801712</v>
      </c>
      <c r="C526" s="2">
        <v>0.071976</v>
      </c>
      <c r="E526" s="14">
        <f t="shared" si="44"/>
        <v>0.886674033835706</v>
      </c>
      <c r="F526" s="11">
        <v>1.368317359</v>
      </c>
      <c r="G526" s="15">
        <v>1.21325147227195</v>
      </c>
      <c r="I526" s="14">
        <v>0.101441</v>
      </c>
      <c r="J526" s="13">
        <f t="shared" si="40"/>
        <v>1.89077110832898</v>
      </c>
      <c r="M526" s="14">
        <v>858.969</v>
      </c>
      <c r="N526" s="16">
        <f t="shared" si="41"/>
        <v>0.22329293839475</v>
      </c>
      <c r="Q526" s="14">
        <v>0.200416</v>
      </c>
      <c r="R526" s="17">
        <v>0.574210777582628</v>
      </c>
      <c r="S526" s="17">
        <f t="shared" si="42"/>
        <v>2.11290264766472</v>
      </c>
      <c r="V526" s="18">
        <v>1.32719</v>
      </c>
      <c r="Y526" s="14">
        <v>182.5517</v>
      </c>
      <c r="Z526" s="19">
        <f t="shared" si="43"/>
        <v>1.05067064289185</v>
      </c>
    </row>
    <row r="527" spans="1:26">
      <c r="A527" s="1" t="s">
        <v>547</v>
      </c>
      <c r="B527" s="1">
        <v>192762986</v>
      </c>
      <c r="C527" s="2">
        <v>0.492909</v>
      </c>
      <c r="E527" s="14">
        <f t="shared" si="44"/>
        <v>1.36409154651562</v>
      </c>
      <c r="F527" s="11">
        <v>8.017995103</v>
      </c>
      <c r="G527" s="15">
        <v>10.9372793400059</v>
      </c>
      <c r="I527" s="14">
        <v>0.016543</v>
      </c>
      <c r="J527" s="13">
        <f t="shared" si="40"/>
        <v>11.6522387716859</v>
      </c>
      <c r="M527" s="14">
        <v>232.088</v>
      </c>
      <c r="N527" s="16">
        <f t="shared" si="41"/>
        <v>0.83055989969322</v>
      </c>
      <c r="Q527" s="14">
        <v>0.0547784</v>
      </c>
      <c r="R527" s="17">
        <v>2.11137586347904</v>
      </c>
      <c r="S527" s="17">
        <f t="shared" si="42"/>
        <v>5.1801668898421</v>
      </c>
      <c r="V527" s="18">
        <v>4.86063</v>
      </c>
      <c r="Y527" s="14">
        <v>41.8563</v>
      </c>
      <c r="Z527" s="19">
        <f t="shared" si="43"/>
        <v>4.60535178694725</v>
      </c>
    </row>
    <row r="528" spans="1:26">
      <c r="A528" s="1" t="s">
        <v>548</v>
      </c>
      <c r="B528" s="1">
        <v>194704526</v>
      </c>
      <c r="C528" s="2">
        <v>0.259485</v>
      </c>
      <c r="E528" s="14">
        <f t="shared" si="44"/>
        <v>1.1875728244239</v>
      </c>
      <c r="F528" s="11">
        <v>0.87869214</v>
      </c>
      <c r="G528" s="15">
        <v>1.04351090649888</v>
      </c>
      <c r="I528" s="14">
        <v>0.101101</v>
      </c>
      <c r="J528" s="13">
        <f t="shared" si="40"/>
        <v>1.925841742416</v>
      </c>
      <c r="M528" s="14">
        <v>350.666</v>
      </c>
      <c r="N528" s="16">
        <f t="shared" si="41"/>
        <v>0.55524209931958</v>
      </c>
      <c r="Q528" s="14">
        <v>0.27452</v>
      </c>
      <c r="R528" s="17">
        <v>0.425552657729856</v>
      </c>
      <c r="S528" s="17">
        <f t="shared" si="42"/>
        <v>2.45213109951086</v>
      </c>
      <c r="V528" s="18">
        <v>1.00787</v>
      </c>
      <c r="Y528" s="14">
        <v>297.5028</v>
      </c>
      <c r="Z528" s="19">
        <f t="shared" si="43"/>
        <v>0.654462835307768</v>
      </c>
    </row>
    <row r="529" spans="1:26">
      <c r="A529" s="1" t="s">
        <v>549</v>
      </c>
      <c r="B529" s="1">
        <v>194811630</v>
      </c>
      <c r="C529" s="2">
        <v>0.184325</v>
      </c>
      <c r="E529" s="14">
        <f t="shared" si="44"/>
        <v>0.385856974226603</v>
      </c>
      <c r="F529" s="11">
        <v>12.748410916</v>
      </c>
      <c r="G529" s="15">
        <v>4.91906326224516</v>
      </c>
      <c r="I529" s="14">
        <v>0.059705</v>
      </c>
      <c r="J529" s="13">
        <f t="shared" si="40"/>
        <v>3.26290310694247</v>
      </c>
      <c r="M529" s="14">
        <v>103.49</v>
      </c>
      <c r="N529" s="16">
        <f t="shared" si="41"/>
        <v>1.88241984732824</v>
      </c>
      <c r="Q529" s="14">
        <v>0.00291838</v>
      </c>
      <c r="R529" s="17">
        <v>28.0364053344664</v>
      </c>
      <c r="S529" s="17">
        <f t="shared" si="42"/>
        <v>0.175452708846306</v>
      </c>
      <c r="V529" s="18">
        <v>1.79778</v>
      </c>
      <c r="Y529" s="14">
        <v>146.5373</v>
      </c>
      <c r="Z529" s="19">
        <f t="shared" si="43"/>
        <v>1.3294337346191</v>
      </c>
    </row>
    <row r="530" spans="1:26">
      <c r="A530" s="1" t="s">
        <v>550</v>
      </c>
      <c r="B530" s="1">
        <v>195901372</v>
      </c>
      <c r="C530" s="2">
        <v>0.106111</v>
      </c>
      <c r="E530" s="14">
        <f t="shared" si="44"/>
        <v>1.3224244066527</v>
      </c>
      <c r="F530" s="11">
        <v>6.059038956</v>
      </c>
      <c r="G530" s="15">
        <v>8.01262099627389</v>
      </c>
      <c r="I530" s="14">
        <v>0.027113</v>
      </c>
      <c r="J530" s="13">
        <f t="shared" si="40"/>
        <v>7.22536687198023</v>
      </c>
      <c r="M530" s="14">
        <v>142.039</v>
      </c>
      <c r="N530" s="16">
        <f t="shared" si="41"/>
        <v>1.37920833010652</v>
      </c>
      <c r="Q530" s="14">
        <v>0.00237701</v>
      </c>
      <c r="R530" s="17">
        <v>34.6143164059049</v>
      </c>
      <c r="S530" s="17">
        <f t="shared" si="42"/>
        <v>0.231482861088859</v>
      </c>
      <c r="V530" s="18">
        <v>3.86616</v>
      </c>
      <c r="Y530" s="14">
        <v>52.5908</v>
      </c>
      <c r="Z530" s="19">
        <f t="shared" si="43"/>
        <v>3.72501220745834</v>
      </c>
    </row>
    <row r="531" spans="1:26">
      <c r="A531" s="1" t="s">
        <v>551</v>
      </c>
      <c r="B531" s="1">
        <v>199397162</v>
      </c>
      <c r="C531" s="2">
        <v>0.643454</v>
      </c>
      <c r="E531" s="14">
        <f t="shared" si="44"/>
        <v>1.61878983212971</v>
      </c>
      <c r="F531" s="11">
        <v>5.666265675</v>
      </c>
      <c r="G531" s="15">
        <v>9.17249326083556</v>
      </c>
      <c r="I531" s="14">
        <v>0.014563</v>
      </c>
      <c r="J531" s="13">
        <f t="shared" si="40"/>
        <v>13.6920388656183</v>
      </c>
      <c r="M531" s="14">
        <v>236.96</v>
      </c>
      <c r="N531" s="16">
        <f t="shared" si="41"/>
        <v>0.841480258271438</v>
      </c>
      <c r="Q531" s="14">
        <v>0.0172899</v>
      </c>
      <c r="R531" s="17">
        <v>6.91954824492912</v>
      </c>
      <c r="S531" s="17">
        <f t="shared" si="42"/>
        <v>1.3255913444288</v>
      </c>
      <c r="V531" s="18">
        <v>5.87525</v>
      </c>
      <c r="Y531" s="14">
        <v>33.3824</v>
      </c>
      <c r="Z531" s="19">
        <f t="shared" si="43"/>
        <v>5.97312242379218</v>
      </c>
    </row>
    <row r="532" spans="1:26">
      <c r="A532" s="1" t="s">
        <v>552</v>
      </c>
      <c r="B532" s="1">
        <v>199397162</v>
      </c>
      <c r="C532" s="2">
        <v>0.663897</v>
      </c>
      <c r="E532" s="14">
        <f t="shared" si="44"/>
        <v>1.67362638294843</v>
      </c>
      <c r="F532" s="11">
        <v>5.562491739</v>
      </c>
      <c r="G532" s="15">
        <v>9.30953292932311</v>
      </c>
      <c r="I532" s="14">
        <v>0.01457</v>
      </c>
      <c r="J532" s="13">
        <f t="shared" si="40"/>
        <v>13.685460672615</v>
      </c>
      <c r="M532" s="14">
        <v>203.824</v>
      </c>
      <c r="N532" s="16">
        <f t="shared" si="41"/>
        <v>0.978281075830128</v>
      </c>
      <c r="Q532" s="14">
        <v>0.054191</v>
      </c>
      <c r="R532" s="17">
        <v>2.20771525161005</v>
      </c>
      <c r="S532" s="17">
        <f t="shared" si="42"/>
        <v>4.21681778142984</v>
      </c>
      <c r="V532" s="18">
        <v>4.93233</v>
      </c>
      <c r="Y532" s="14">
        <v>33.0787</v>
      </c>
      <c r="Z532" s="19">
        <f t="shared" si="43"/>
        <v>6.02796246527222</v>
      </c>
    </row>
    <row r="533" spans="1:26">
      <c r="A533" s="1" t="s">
        <v>553</v>
      </c>
      <c r="B533" s="1">
        <v>200939936</v>
      </c>
      <c r="C533" s="2">
        <v>0.129126</v>
      </c>
      <c r="E533" s="14">
        <f t="shared" si="44"/>
        <v>0.400305134491944</v>
      </c>
      <c r="F533" s="11">
        <v>4.905565755</v>
      </c>
      <c r="G533" s="15">
        <v>1.96372315931435</v>
      </c>
      <c r="I533" s="14">
        <v>0.106485</v>
      </c>
      <c r="J533" s="13">
        <f t="shared" si="40"/>
        <v>1.88702574071465</v>
      </c>
      <c r="M533" s="14">
        <v>187.859</v>
      </c>
      <c r="N533" s="16">
        <f t="shared" si="41"/>
        <v>1.06963167056143</v>
      </c>
      <c r="Q533" s="14">
        <v>0.00183366</v>
      </c>
      <c r="R533" s="17">
        <v>46.0253117371814</v>
      </c>
      <c r="S533" s="17">
        <f t="shared" si="42"/>
        <v>0.0426661566254632</v>
      </c>
      <c r="V533" s="18">
        <v>0.927556</v>
      </c>
      <c r="Y533" s="14">
        <v>301.8685</v>
      </c>
      <c r="Z533" s="19">
        <f t="shared" si="43"/>
        <v>0.665653872464335</v>
      </c>
    </row>
    <row r="534" spans="1:26">
      <c r="A534" s="1" t="s">
        <v>554</v>
      </c>
      <c r="B534" s="1">
        <v>201068708</v>
      </c>
      <c r="C534" s="2">
        <v>1</v>
      </c>
      <c r="E534" s="14">
        <f t="shared" si="44"/>
        <v>3.04781694978272</v>
      </c>
      <c r="F534" s="11">
        <v>13.904578667</v>
      </c>
      <c r="G534" s="15">
        <v>42.3786105408698</v>
      </c>
      <c r="I534" s="14">
        <v>0.007245</v>
      </c>
      <c r="J534" s="13">
        <f t="shared" si="40"/>
        <v>27.7527547273982</v>
      </c>
      <c r="M534" s="14">
        <v>52.363</v>
      </c>
      <c r="N534" s="16">
        <f t="shared" si="41"/>
        <v>3.83990046406814</v>
      </c>
      <c r="Q534" s="14">
        <v>0.0138727</v>
      </c>
      <c r="R534" s="17">
        <v>8.69630459823971</v>
      </c>
      <c r="S534" s="17">
        <f t="shared" si="42"/>
        <v>4.87317458377067</v>
      </c>
      <c r="V534" s="18">
        <v>8.7894</v>
      </c>
      <c r="Y534" s="14">
        <v>12.4376</v>
      </c>
      <c r="Z534" s="19">
        <f t="shared" si="43"/>
        <v>16.1661983019232</v>
      </c>
    </row>
    <row r="535" spans="1:26">
      <c r="A535" s="1" t="s">
        <v>555</v>
      </c>
      <c r="B535" s="1">
        <v>201720030</v>
      </c>
      <c r="C535" s="2">
        <v>0.346558</v>
      </c>
      <c r="E535" s="14">
        <f t="shared" si="44"/>
        <v>0.347061467257366</v>
      </c>
      <c r="F535" s="11">
        <v>3.837644534</v>
      </c>
      <c r="G535" s="15">
        <v>1.33189854278225</v>
      </c>
      <c r="I535" s="14">
        <v>0.174137</v>
      </c>
      <c r="J535" s="13">
        <f t="shared" si="40"/>
        <v>1.15839844490258</v>
      </c>
      <c r="M535" s="14">
        <v>212.2</v>
      </c>
      <c r="N535" s="16">
        <f t="shared" si="41"/>
        <v>0.950612770970782</v>
      </c>
      <c r="Q535" s="14">
        <v>0.00329201</v>
      </c>
      <c r="R535" s="17">
        <v>25.735770122205</v>
      </c>
      <c r="S535" s="17">
        <f t="shared" si="42"/>
        <v>0.0517528147188834</v>
      </c>
      <c r="V535" s="18">
        <v>0.879372</v>
      </c>
      <c r="Y535" s="14">
        <v>285.7247</v>
      </c>
      <c r="Z535" s="19">
        <f t="shared" si="43"/>
        <v>0.705994371505159</v>
      </c>
    </row>
    <row r="536" spans="1:26">
      <c r="A536" s="1" t="s">
        <v>556</v>
      </c>
      <c r="B536" s="1">
        <v>202252606</v>
      </c>
      <c r="C536" s="2">
        <v>0.187748</v>
      </c>
      <c r="E536" s="14">
        <f t="shared" si="44"/>
        <v>0.511151230360553</v>
      </c>
      <c r="F536" s="11">
        <v>9.859723451</v>
      </c>
      <c r="G536" s="15">
        <v>5.03980977299345</v>
      </c>
      <c r="I536" s="14">
        <v>0.06236</v>
      </c>
      <c r="J536" s="13">
        <f t="shared" si="40"/>
        <v>3.24330670301475</v>
      </c>
      <c r="M536" s="14">
        <v>104.698</v>
      </c>
      <c r="N536" s="16">
        <f t="shared" si="41"/>
        <v>1.93177143784982</v>
      </c>
      <c r="Q536" s="14">
        <v>0.00410235</v>
      </c>
      <c r="R536" s="17">
        <v>29.5809873852792</v>
      </c>
      <c r="S536" s="17">
        <f t="shared" si="42"/>
        <v>0.170373277516135</v>
      </c>
      <c r="V536" s="18">
        <v>1.85828</v>
      </c>
      <c r="Y536" s="14">
        <v>151.4905</v>
      </c>
      <c r="Z536" s="19">
        <f t="shared" si="43"/>
        <v>1.33508441783478</v>
      </c>
    </row>
    <row r="537" spans="1:26">
      <c r="A537" s="1" t="s">
        <v>557</v>
      </c>
      <c r="B537" s="1">
        <v>207047594</v>
      </c>
      <c r="C537" s="2">
        <v>0.187679</v>
      </c>
      <c r="E537" s="14">
        <f t="shared" si="44"/>
        <v>0.400818998757658</v>
      </c>
      <c r="F537" s="11">
        <v>13.136967521</v>
      </c>
      <c r="G537" s="15">
        <v>5.26554616847909</v>
      </c>
      <c r="I537" s="14">
        <v>0.063775</v>
      </c>
      <c r="J537" s="13">
        <f t="shared" si="40"/>
        <v>3.24653224617797</v>
      </c>
      <c r="M537" s="14">
        <v>119.192</v>
      </c>
      <c r="N537" s="16">
        <f t="shared" si="41"/>
        <v>1.73709304315726</v>
      </c>
      <c r="Q537" s="14">
        <v>0.00342718</v>
      </c>
      <c r="R537" s="17">
        <v>25.37362772892</v>
      </c>
      <c r="S537" s="17">
        <f t="shared" si="42"/>
        <v>0.207520431241986</v>
      </c>
      <c r="V537" s="18">
        <v>1.87447</v>
      </c>
      <c r="Y537" s="14">
        <v>154.8827</v>
      </c>
      <c r="Z537" s="19">
        <f t="shared" si="43"/>
        <v>1.33680258673177</v>
      </c>
    </row>
    <row r="538" spans="1:26">
      <c r="A538" s="1" t="s">
        <v>558</v>
      </c>
      <c r="B538" s="1">
        <v>209498722</v>
      </c>
      <c r="C538" s="2">
        <v>0.191484</v>
      </c>
      <c r="E538" s="14">
        <f t="shared" si="44"/>
        <v>0.361653558209297</v>
      </c>
      <c r="F538" s="11">
        <v>13.007680362</v>
      </c>
      <c r="G538" s="15">
        <v>4.7042738869665</v>
      </c>
      <c r="I538" s="14">
        <v>0.061109</v>
      </c>
      <c r="J538" s="13">
        <f t="shared" si="40"/>
        <v>3.42827933692255</v>
      </c>
      <c r="M538" s="14">
        <v>122.845</v>
      </c>
      <c r="N538" s="16">
        <f t="shared" si="41"/>
        <v>1.70539071187268</v>
      </c>
      <c r="Q538" s="14">
        <v>0.00281455</v>
      </c>
      <c r="R538" s="17">
        <v>31.2623557016219</v>
      </c>
      <c r="S538" s="17">
        <f t="shared" si="42"/>
        <v>0.150477268311628</v>
      </c>
      <c r="V538" s="18">
        <v>1.81733</v>
      </c>
      <c r="Y538" s="14">
        <v>162.3267</v>
      </c>
      <c r="Z538" s="19">
        <f t="shared" si="43"/>
        <v>1.29059927910812</v>
      </c>
    </row>
    <row r="539" spans="1:26">
      <c r="A539" s="1" t="s">
        <v>559</v>
      </c>
      <c r="B539" s="1">
        <v>210794496</v>
      </c>
      <c r="C539" s="2">
        <v>0</v>
      </c>
      <c r="E539" s="14">
        <f t="shared" si="44"/>
        <v>2.43694734023652</v>
      </c>
      <c r="F539" s="11">
        <v>17.329479838</v>
      </c>
      <c r="G539" s="15">
        <v>42.2310297988965</v>
      </c>
      <c r="I539" s="14">
        <v>0.008249</v>
      </c>
      <c r="J539" s="13">
        <f t="shared" si="40"/>
        <v>25.5539454479331</v>
      </c>
      <c r="M539" s="14">
        <v>294.811</v>
      </c>
      <c r="N539" s="16">
        <f t="shared" si="41"/>
        <v>0.715015708369091</v>
      </c>
      <c r="Q539" s="14">
        <v>0.08907</v>
      </c>
      <c r="R539" s="17">
        <v>1.41996965981812</v>
      </c>
      <c r="S539" s="17">
        <f t="shared" si="42"/>
        <v>29.7407972817572</v>
      </c>
      <c r="V539" s="18">
        <v>7.74074</v>
      </c>
      <c r="Y539" s="14">
        <v>20.1216</v>
      </c>
      <c r="Z539" s="19">
        <f t="shared" si="43"/>
        <v>10.4760305343511</v>
      </c>
    </row>
    <row r="540" spans="1:26">
      <c r="A540" s="1" t="s">
        <v>560</v>
      </c>
      <c r="B540" s="1">
        <v>211513862</v>
      </c>
      <c r="C540" s="2">
        <v>0.23386</v>
      </c>
      <c r="E540" s="14">
        <f t="shared" si="44"/>
        <v>0.533905539272369</v>
      </c>
      <c r="F540" s="11">
        <v>8.343146237</v>
      </c>
      <c r="G540" s="15">
        <v>4.45445199089372</v>
      </c>
      <c r="I540" s="14">
        <v>0.063843</v>
      </c>
      <c r="J540" s="13">
        <f t="shared" si="40"/>
        <v>3.31303137383895</v>
      </c>
      <c r="M540" s="14">
        <v>155.92</v>
      </c>
      <c r="N540" s="16">
        <f t="shared" si="41"/>
        <v>1.35655375833761</v>
      </c>
      <c r="Q540" s="14">
        <v>0.0030031</v>
      </c>
      <c r="R540" s="17">
        <v>29.5813732609637</v>
      </c>
      <c r="S540" s="17">
        <f t="shared" si="42"/>
        <v>0.150583002066774</v>
      </c>
      <c r="V540" s="18">
        <v>1.92069</v>
      </c>
      <c r="Y540" s="14">
        <v>157.823</v>
      </c>
      <c r="Z540" s="19">
        <f t="shared" si="43"/>
        <v>1.34019668869556</v>
      </c>
    </row>
    <row r="541" spans="1:26">
      <c r="A541" s="1" t="s">
        <v>561</v>
      </c>
      <c r="B541" s="1">
        <v>211926086</v>
      </c>
      <c r="C541" s="2">
        <v>0.244262</v>
      </c>
      <c r="E541" s="14">
        <f t="shared" si="44"/>
        <v>0.51163113073844</v>
      </c>
      <c r="F541" s="11">
        <v>8.883334401</v>
      </c>
      <c r="G541" s="15">
        <v>4.54499042431131</v>
      </c>
      <c r="I541" s="14">
        <v>0.064954</v>
      </c>
      <c r="J541" s="13">
        <f t="shared" si="40"/>
        <v>3.26271031807125</v>
      </c>
      <c r="M541" s="14">
        <v>152.425</v>
      </c>
      <c r="N541" s="16">
        <f t="shared" si="41"/>
        <v>1.39036303755946</v>
      </c>
      <c r="Q541" s="14">
        <v>0.00304102</v>
      </c>
      <c r="R541" s="17">
        <v>29.2694412138033</v>
      </c>
      <c r="S541" s="17">
        <f t="shared" si="42"/>
        <v>0.155281079372568</v>
      </c>
      <c r="V541" s="18">
        <v>1.81198</v>
      </c>
      <c r="Y541" s="14">
        <v>163.6795</v>
      </c>
      <c r="Z541" s="19">
        <f t="shared" si="43"/>
        <v>1.29476254509575</v>
      </c>
    </row>
    <row r="542" spans="1:26">
      <c r="A542" s="1" t="s">
        <v>562</v>
      </c>
      <c r="B542" s="1">
        <v>223678350</v>
      </c>
      <c r="C542" s="2">
        <v>0.105613</v>
      </c>
      <c r="E542" s="14">
        <f t="shared" si="44"/>
        <v>1.12686793915767</v>
      </c>
      <c r="F542" s="11">
        <v>0.955045106</v>
      </c>
      <c r="G542" s="15">
        <v>1.07620971040084</v>
      </c>
      <c r="I542" s="14">
        <v>0.112142</v>
      </c>
      <c r="J542" s="13">
        <f t="shared" si="40"/>
        <v>1.9945992580835</v>
      </c>
      <c r="M542" s="14">
        <v>3390.711</v>
      </c>
      <c r="N542" s="16">
        <f t="shared" si="41"/>
        <v>0.0659679783974512</v>
      </c>
      <c r="Q542" s="14">
        <v>0.226304</v>
      </c>
      <c r="R542" s="17">
        <v>0.593038611778846</v>
      </c>
      <c r="S542" s="17">
        <f t="shared" si="42"/>
        <v>1.81473801035096</v>
      </c>
      <c r="V542" s="18">
        <v>1.10364</v>
      </c>
      <c r="Y542" s="14">
        <v>266.032</v>
      </c>
      <c r="Z542" s="19">
        <f t="shared" si="43"/>
        <v>0.840794904372406</v>
      </c>
    </row>
    <row r="543" spans="1:26">
      <c r="A543" s="1" t="s">
        <v>563</v>
      </c>
      <c r="B543" s="1">
        <v>224531414</v>
      </c>
      <c r="C543" s="2">
        <v>0.159808</v>
      </c>
      <c r="E543" s="14">
        <f t="shared" si="44"/>
        <v>0.955604964856197</v>
      </c>
      <c r="F543" s="11">
        <v>5.705135592</v>
      </c>
      <c r="G543" s="15">
        <v>5.451855896893</v>
      </c>
      <c r="I543" s="14">
        <v>0.018911</v>
      </c>
      <c r="J543" s="13">
        <f t="shared" si="40"/>
        <v>11.8730587488763</v>
      </c>
      <c r="M543" s="14">
        <v>291.727</v>
      </c>
      <c r="N543" s="16">
        <f t="shared" si="41"/>
        <v>0.769662780613382</v>
      </c>
      <c r="Q543" s="14">
        <v>0.0227231</v>
      </c>
      <c r="R543" s="17">
        <v>5.92871784219583</v>
      </c>
      <c r="S543" s="17">
        <f t="shared" si="42"/>
        <v>0.919567441393667</v>
      </c>
      <c r="V543" s="18">
        <v>4.75427</v>
      </c>
      <c r="Y543" s="14">
        <v>40.7003</v>
      </c>
      <c r="Z543" s="19">
        <f t="shared" si="43"/>
        <v>5.5167016950735</v>
      </c>
    </row>
    <row r="544" spans="1:26">
      <c r="A544" s="1" t="s">
        <v>564</v>
      </c>
      <c r="B544" s="1">
        <v>229322284</v>
      </c>
      <c r="C544" s="2">
        <v>0.114863</v>
      </c>
      <c r="E544" s="14">
        <f t="shared" si="44"/>
        <v>0.991711155981516</v>
      </c>
      <c r="F544" s="11">
        <v>7.513833843</v>
      </c>
      <c r="G544" s="15">
        <v>7.45155284629457</v>
      </c>
      <c r="I544" s="14">
        <v>0.019552</v>
      </c>
      <c r="J544" s="13">
        <f t="shared" si="40"/>
        <v>11.7288402209493</v>
      </c>
      <c r="M544" s="14">
        <v>519.799</v>
      </c>
      <c r="N544" s="16">
        <f t="shared" si="41"/>
        <v>0.441174923383846</v>
      </c>
      <c r="Q544" s="14">
        <v>0.0668276</v>
      </c>
      <c r="R544" s="17">
        <v>2.05893029826</v>
      </c>
      <c r="S544" s="17">
        <f t="shared" si="42"/>
        <v>3.61913798276312</v>
      </c>
      <c r="V544" s="18">
        <v>4.69997</v>
      </c>
      <c r="Y544" s="14">
        <v>50.6257</v>
      </c>
      <c r="Z544" s="19">
        <f t="shared" si="43"/>
        <v>4.52976026010505</v>
      </c>
    </row>
    <row r="545" spans="1:26">
      <c r="A545" s="1" t="s">
        <v>565</v>
      </c>
      <c r="B545" s="1">
        <v>230709890</v>
      </c>
      <c r="C545" s="2">
        <v>0.119412</v>
      </c>
      <c r="E545" s="14">
        <f t="shared" si="44"/>
        <v>1.11176651007221</v>
      </c>
      <c r="F545" s="11">
        <v>6.092656672</v>
      </c>
      <c r="G545" s="15">
        <v>6.77361164529758</v>
      </c>
      <c r="I545" s="14">
        <v>0.0202</v>
      </c>
      <c r="J545" s="13">
        <f t="shared" si="40"/>
        <v>11.4212816831683</v>
      </c>
      <c r="M545" s="14">
        <v>993.822</v>
      </c>
      <c r="N545" s="16">
        <f t="shared" si="41"/>
        <v>0.232144076102159</v>
      </c>
      <c r="Q545" s="14">
        <v>0.128994</v>
      </c>
      <c r="R545" s="17">
        <v>1.07311916833341</v>
      </c>
      <c r="S545" s="17">
        <f t="shared" si="42"/>
        <v>6.31207776841525</v>
      </c>
      <c r="V545" s="18">
        <v>3.50449</v>
      </c>
      <c r="Y545" s="14">
        <v>55.2752</v>
      </c>
      <c r="Z545" s="19">
        <f t="shared" si="43"/>
        <v>4.17384089067068</v>
      </c>
    </row>
    <row r="546" spans="1:26">
      <c r="A546" s="1" t="s">
        <v>566</v>
      </c>
      <c r="B546" s="1">
        <v>234252916</v>
      </c>
      <c r="C546" s="2">
        <v>0.103839</v>
      </c>
      <c r="E546" s="14">
        <f t="shared" si="44"/>
        <v>0.858836386378692</v>
      </c>
      <c r="F546" s="11">
        <v>1.275556913</v>
      </c>
      <c r="G546" s="15">
        <v>1.09549468978128</v>
      </c>
      <c r="I546" s="14">
        <v>0.117236</v>
      </c>
      <c r="J546" s="13">
        <f t="shared" si="40"/>
        <v>1.9981312566106</v>
      </c>
      <c r="M546" s="14">
        <v>2593.64</v>
      </c>
      <c r="N546" s="16">
        <f t="shared" si="41"/>
        <v>0.0903182076155519</v>
      </c>
      <c r="Q546" s="14">
        <v>0.238314</v>
      </c>
      <c r="R546" s="17">
        <v>0.58977546262494</v>
      </c>
      <c r="S546" s="17">
        <f t="shared" si="42"/>
        <v>1.85747756426745</v>
      </c>
      <c r="V546" s="18">
        <v>1.09485</v>
      </c>
      <c r="Y546" s="14">
        <v>276.7953</v>
      </c>
      <c r="Z546" s="19">
        <f t="shared" si="43"/>
        <v>0.846303806459141</v>
      </c>
    </row>
    <row r="547" spans="1:26">
      <c r="A547" s="1" t="s">
        <v>567</v>
      </c>
      <c r="B547" s="1">
        <v>241787550</v>
      </c>
      <c r="C547" s="2">
        <v>4.33595e-5</v>
      </c>
      <c r="E547" s="14">
        <f t="shared" si="44"/>
        <v>1.07779234505748</v>
      </c>
      <c r="F547" s="11">
        <v>4.361262557</v>
      </c>
      <c r="G547" s="15">
        <v>4.70053539872041</v>
      </c>
      <c r="I547" s="14">
        <v>0.068393</v>
      </c>
      <c r="J547" s="13">
        <f t="shared" si="40"/>
        <v>3.53526749813577</v>
      </c>
      <c r="M547" s="14">
        <v>8589.183</v>
      </c>
      <c r="N547" s="16">
        <f t="shared" si="41"/>
        <v>0.0281502385034758</v>
      </c>
      <c r="Q547" s="14">
        <v>0.00388034</v>
      </c>
      <c r="R547" s="17">
        <v>26.1705858249535</v>
      </c>
      <c r="S547" s="17">
        <f t="shared" si="42"/>
        <v>0.179611393881694</v>
      </c>
      <c r="V547" s="18">
        <v>2.37343</v>
      </c>
      <c r="Y547" s="14">
        <v>124.7765</v>
      </c>
      <c r="Z547" s="19">
        <f t="shared" si="43"/>
        <v>1.93776512404179</v>
      </c>
    </row>
    <row r="548" spans="1:26">
      <c r="A548" s="1" t="s">
        <v>568</v>
      </c>
      <c r="B548" s="1">
        <v>241787550</v>
      </c>
      <c r="C548" s="2">
        <v>4.33595e-5</v>
      </c>
      <c r="E548" s="14">
        <f t="shared" si="44"/>
        <v>0.950710980805902</v>
      </c>
      <c r="F548" s="11">
        <v>4.863095524</v>
      </c>
      <c r="G548" s="15">
        <v>4.62339831537483</v>
      </c>
      <c r="I548" s="14">
        <v>0.057794</v>
      </c>
      <c r="J548" s="13">
        <f t="shared" si="40"/>
        <v>4.18360989030003</v>
      </c>
      <c r="M548" s="14">
        <v>8588.674</v>
      </c>
      <c r="N548" s="16">
        <f t="shared" si="41"/>
        <v>0.0281519068019114</v>
      </c>
      <c r="Q548" s="14">
        <v>0.00391087</v>
      </c>
      <c r="R548" s="17">
        <v>25.9662865295957</v>
      </c>
      <c r="S548" s="17">
        <f t="shared" si="42"/>
        <v>0.178053889612024</v>
      </c>
      <c r="V548" s="18">
        <v>2.3226</v>
      </c>
      <c r="Y548" s="14">
        <v>127.7052</v>
      </c>
      <c r="Z548" s="19">
        <f t="shared" si="43"/>
        <v>1.89332580035895</v>
      </c>
    </row>
    <row r="549" spans="1:26">
      <c r="A549" s="1" t="s">
        <v>569</v>
      </c>
      <c r="B549" s="1">
        <v>243981060</v>
      </c>
      <c r="C549" s="2">
        <v>1</v>
      </c>
      <c r="E549" s="14">
        <f t="shared" si="44"/>
        <v>2.32016811480373</v>
      </c>
      <c r="F549" s="11">
        <v>7.735347168</v>
      </c>
      <c r="G549" s="15">
        <v>17.9473058561309</v>
      </c>
      <c r="I549" s="14">
        <v>0.015504</v>
      </c>
      <c r="J549" s="13">
        <f t="shared" si="40"/>
        <v>15.7366524767802</v>
      </c>
      <c r="M549" s="14">
        <v>63.07</v>
      </c>
      <c r="N549" s="16">
        <f t="shared" si="41"/>
        <v>3.86841699698747</v>
      </c>
      <c r="Q549" s="14">
        <v>0.0135758</v>
      </c>
      <c r="R549" s="17">
        <v>10.7830577940158</v>
      </c>
      <c r="S549" s="17">
        <f t="shared" si="42"/>
        <v>1.66439855920006</v>
      </c>
      <c r="V549" s="18">
        <v>5.84517</v>
      </c>
      <c r="Y549" s="14">
        <v>34.7937</v>
      </c>
      <c r="Z549" s="19">
        <f t="shared" si="43"/>
        <v>7.01221945352176</v>
      </c>
    </row>
    <row r="550" spans="1:26">
      <c r="A550" s="1" t="s">
        <v>570</v>
      </c>
      <c r="B550" s="1">
        <v>254331808</v>
      </c>
      <c r="C550" s="2">
        <v>0.115523</v>
      </c>
      <c r="E550" s="14">
        <f t="shared" si="44"/>
        <v>0.861395587094728</v>
      </c>
      <c r="F550" s="11">
        <v>7.088100304</v>
      </c>
      <c r="G550" s="15">
        <v>6.1056583227504</v>
      </c>
      <c r="I550" s="14">
        <v>0.021841</v>
      </c>
      <c r="J550" s="13">
        <f t="shared" si="40"/>
        <v>11.6446961219724</v>
      </c>
      <c r="M550" s="14">
        <v>999.227</v>
      </c>
      <c r="N550" s="16">
        <f t="shared" si="41"/>
        <v>0.254528558575779</v>
      </c>
      <c r="Q550" s="14">
        <v>0.0690373</v>
      </c>
      <c r="R550" s="17">
        <v>2.21038604928061</v>
      </c>
      <c r="S550" s="17">
        <f t="shared" si="42"/>
        <v>2.76225880304372</v>
      </c>
      <c r="V550" s="18">
        <v>3.85953</v>
      </c>
      <c r="Y550" s="14">
        <v>54.7942</v>
      </c>
      <c r="Z550" s="19">
        <f t="shared" si="43"/>
        <v>4.6415826492585</v>
      </c>
    </row>
    <row r="551" spans="1:26">
      <c r="A551" s="1" t="s">
        <v>571</v>
      </c>
      <c r="B551" s="1">
        <v>258256624</v>
      </c>
      <c r="C551" s="2">
        <v>0.702361</v>
      </c>
      <c r="E551" s="14">
        <f t="shared" si="44"/>
        <v>2.37550902084457</v>
      </c>
      <c r="F551" s="11">
        <v>8.871109218</v>
      </c>
      <c r="G551" s="15">
        <v>21.0733999722564</v>
      </c>
      <c r="I551" s="14">
        <v>0.013436</v>
      </c>
      <c r="J551" s="13">
        <f t="shared" si="40"/>
        <v>19.2212432271509</v>
      </c>
      <c r="M551" s="14">
        <v>171.812</v>
      </c>
      <c r="N551" s="16">
        <f t="shared" si="41"/>
        <v>1.50313496146951</v>
      </c>
      <c r="Q551" s="14">
        <v>0.0174591</v>
      </c>
      <c r="R551" s="17">
        <v>8.87525556300153</v>
      </c>
      <c r="S551" s="17">
        <f t="shared" si="42"/>
        <v>2.37439922970844</v>
      </c>
      <c r="V551" s="18">
        <v>7.31164</v>
      </c>
      <c r="Y551" s="14">
        <v>31.663</v>
      </c>
      <c r="Z551" s="19">
        <f t="shared" si="43"/>
        <v>8.15641676404636</v>
      </c>
    </row>
    <row r="552" spans="1:26">
      <c r="A552" s="1" t="s">
        <v>572</v>
      </c>
      <c r="B552" s="1">
        <v>258256624</v>
      </c>
      <c r="C552" s="2">
        <v>0.680666</v>
      </c>
      <c r="E552" s="14">
        <f t="shared" si="44"/>
        <v>2.35697176510372</v>
      </c>
      <c r="F552" s="11">
        <v>10.052972588</v>
      </c>
      <c r="G552" s="15">
        <v>23.6945725452777</v>
      </c>
      <c r="I552" s="14">
        <v>0.013795</v>
      </c>
      <c r="J552" s="13">
        <f t="shared" si="40"/>
        <v>18.721031098224</v>
      </c>
      <c r="M552" s="14">
        <v>136.449</v>
      </c>
      <c r="N552" s="16">
        <f t="shared" si="41"/>
        <v>1.89269708096065</v>
      </c>
      <c r="Q552" s="14">
        <v>0.01874</v>
      </c>
      <c r="R552" s="17">
        <v>8.26862189967983</v>
      </c>
      <c r="S552" s="17">
        <f t="shared" si="42"/>
        <v>2.8656011645901</v>
      </c>
      <c r="V552" s="18">
        <v>7.02445</v>
      </c>
      <c r="Y552" s="14">
        <v>33.8457</v>
      </c>
      <c r="Z552" s="19">
        <f t="shared" si="43"/>
        <v>7.6304116623382</v>
      </c>
    </row>
    <row r="553" spans="1:26">
      <c r="A553" s="1" t="s">
        <v>573</v>
      </c>
      <c r="B553" s="1">
        <v>293719984</v>
      </c>
      <c r="C553" s="2">
        <v>1</v>
      </c>
      <c r="E553" s="14">
        <f t="shared" si="44"/>
        <v>3.48282600605434</v>
      </c>
      <c r="F553" s="11">
        <v>14.34265531</v>
      </c>
      <c r="G553" s="15">
        <v>49.9529729095414</v>
      </c>
      <c r="I553" s="14">
        <v>0.009873</v>
      </c>
      <c r="J553" s="13">
        <f t="shared" si="40"/>
        <v>29.7498211283298</v>
      </c>
      <c r="M553" s="14">
        <v>100.504</v>
      </c>
      <c r="N553" s="16">
        <f t="shared" si="41"/>
        <v>2.92247058823529</v>
      </c>
      <c r="Q553" s="14">
        <v>0.0181004</v>
      </c>
      <c r="R553" s="17">
        <v>9.73635888709642</v>
      </c>
      <c r="S553" s="17">
        <f t="shared" si="42"/>
        <v>5.13055994430772</v>
      </c>
      <c r="V553" s="18">
        <v>9.12726</v>
      </c>
      <c r="Y553" s="14">
        <v>13.9421</v>
      </c>
      <c r="Z553" s="19">
        <f t="shared" si="43"/>
        <v>21.0671264730564</v>
      </c>
    </row>
    <row r="554" spans="1:26">
      <c r="A554" s="1" t="s">
        <v>574</v>
      </c>
      <c r="B554" s="1">
        <v>300282560</v>
      </c>
      <c r="C554" s="2">
        <v>0.448168</v>
      </c>
      <c r="E554" s="14">
        <f t="shared" si="44"/>
        <v>2.05440691939194</v>
      </c>
      <c r="F554" s="11">
        <v>1.171213353</v>
      </c>
      <c r="G554" s="15">
        <v>2.40614881648744</v>
      </c>
      <c r="I554" s="14">
        <v>0.118025</v>
      </c>
      <c r="J554" s="13">
        <f t="shared" si="40"/>
        <v>2.54422842618089</v>
      </c>
      <c r="M554" s="14">
        <v>692.926</v>
      </c>
      <c r="N554" s="16">
        <f t="shared" si="41"/>
        <v>0.433354441888456</v>
      </c>
      <c r="Q554" s="14">
        <v>0.101706</v>
      </c>
      <c r="R554" s="17">
        <v>1.77147401333255</v>
      </c>
      <c r="S554" s="17">
        <f t="shared" si="42"/>
        <v>1.35827497235532</v>
      </c>
      <c r="V554" s="18">
        <v>1.68642</v>
      </c>
      <c r="Y554" s="14">
        <v>238.5773</v>
      </c>
      <c r="Z554" s="19">
        <f t="shared" si="43"/>
        <v>1.25863843710194</v>
      </c>
    </row>
    <row r="555" spans="1:26">
      <c r="A555" s="1" t="s">
        <v>575</v>
      </c>
      <c r="B555" s="1">
        <v>306811190</v>
      </c>
      <c r="C555" s="2">
        <v>0</v>
      </c>
      <c r="E555" s="14">
        <f t="shared" si="44"/>
        <v>1.12657105580996</v>
      </c>
      <c r="F555" s="11">
        <v>6.661173237</v>
      </c>
      <c r="G555" s="15">
        <v>7.50428496654013</v>
      </c>
      <c r="I555" s="14">
        <v>0.10246</v>
      </c>
      <c r="J555" s="13">
        <f t="shared" si="40"/>
        <v>2.99444846769471</v>
      </c>
      <c r="M555" s="14">
        <v>356.053</v>
      </c>
      <c r="N555" s="16">
        <f t="shared" si="41"/>
        <v>0.861700898461746</v>
      </c>
      <c r="Q555" s="14">
        <v>0.0664287</v>
      </c>
      <c r="R555" s="17">
        <v>2.77119248156294</v>
      </c>
      <c r="S555" s="17">
        <f t="shared" si="42"/>
        <v>2.70796237232419</v>
      </c>
      <c r="V555" s="18">
        <v>5.45782</v>
      </c>
      <c r="Y555" s="14">
        <v>45.2202</v>
      </c>
      <c r="Z555" s="19">
        <f t="shared" si="43"/>
        <v>6.7848260290755</v>
      </c>
    </row>
    <row r="556" spans="1:26">
      <c r="A556" s="1" t="s">
        <v>576</v>
      </c>
      <c r="B556" s="1">
        <v>318033908</v>
      </c>
      <c r="C556" s="2">
        <v>0.135334</v>
      </c>
      <c r="E556" s="14">
        <f t="shared" si="44"/>
        <v>0.985870094623904</v>
      </c>
      <c r="F556" s="11">
        <v>7.638787423</v>
      </c>
      <c r="G556" s="15">
        <v>7.5308520795249</v>
      </c>
      <c r="I556" s="14">
        <v>0.124686</v>
      </c>
      <c r="J556" s="13">
        <f t="shared" si="40"/>
        <v>2.55067856856423</v>
      </c>
      <c r="M556" s="14">
        <v>1221.969</v>
      </c>
      <c r="N556" s="16">
        <f t="shared" si="41"/>
        <v>0.260263482952514</v>
      </c>
      <c r="Q556" s="14">
        <v>0.0664433</v>
      </c>
      <c r="R556" s="17">
        <v>2.87192756530756</v>
      </c>
      <c r="S556" s="17">
        <f t="shared" si="42"/>
        <v>2.62222911555863</v>
      </c>
      <c r="V556" s="18">
        <v>3.84588</v>
      </c>
      <c r="Y556" s="14">
        <v>66.0063</v>
      </c>
      <c r="Z556" s="19">
        <f t="shared" si="43"/>
        <v>4.8182356532634</v>
      </c>
    </row>
    <row r="557" spans="1:26">
      <c r="A557" s="1" t="s">
        <v>577</v>
      </c>
      <c r="B557" s="1">
        <v>323280496</v>
      </c>
      <c r="C557" s="2">
        <v>0.177912</v>
      </c>
      <c r="E557" s="14">
        <f t="shared" si="44"/>
        <v>0.668603979613247</v>
      </c>
      <c r="F557" s="11">
        <v>13.129379593</v>
      </c>
      <c r="G557" s="15">
        <v>8.77835544573275</v>
      </c>
      <c r="I557" s="14">
        <v>0.060556</v>
      </c>
      <c r="J557" s="13">
        <f t="shared" si="40"/>
        <v>5.33853781623621</v>
      </c>
      <c r="M557" s="14">
        <v>164.945</v>
      </c>
      <c r="N557" s="16">
        <f t="shared" si="41"/>
        <v>1.95992904301434</v>
      </c>
      <c r="Q557" s="14">
        <v>0.00297891</v>
      </c>
      <c r="R557" s="17">
        <v>45.5796946936967</v>
      </c>
      <c r="S557" s="17">
        <f t="shared" si="42"/>
        <v>0.192593555194364</v>
      </c>
      <c r="V557" s="18">
        <v>2.59437</v>
      </c>
      <c r="Y557" s="14">
        <v>162.71</v>
      </c>
      <c r="Z557" s="19">
        <f t="shared" si="43"/>
        <v>1.98685081433225</v>
      </c>
    </row>
    <row r="558" spans="1:26">
      <c r="A558" s="1" t="s">
        <v>578</v>
      </c>
      <c r="B558" s="1">
        <v>328842078</v>
      </c>
      <c r="C558" s="2">
        <v>0</v>
      </c>
      <c r="E558" s="14">
        <f t="shared" si="44"/>
        <v>0.970913857331945</v>
      </c>
      <c r="F558" s="11">
        <v>4.983151724</v>
      </c>
      <c r="G558" s="15">
        <v>4.83821106201917</v>
      </c>
      <c r="I558" s="14">
        <v>0.029263</v>
      </c>
      <c r="J558" s="13">
        <f t="shared" si="40"/>
        <v>11.2374697741175</v>
      </c>
      <c r="M558" s="14">
        <v>709.299</v>
      </c>
      <c r="N558" s="16">
        <f t="shared" si="41"/>
        <v>0.463615595115741</v>
      </c>
      <c r="Q558" s="14">
        <v>0.0434512</v>
      </c>
      <c r="R558" s="17">
        <v>4.54084689951025</v>
      </c>
      <c r="S558" s="17">
        <f t="shared" si="42"/>
        <v>1.06548649824353</v>
      </c>
      <c r="V558" s="18">
        <v>3.73593</v>
      </c>
      <c r="Y558" s="14">
        <v>63.3225</v>
      </c>
      <c r="Z558" s="19">
        <f t="shared" si="43"/>
        <v>5.19313163567452</v>
      </c>
    </row>
    <row r="559" spans="1:26">
      <c r="A559" s="1" t="s">
        <v>579</v>
      </c>
      <c r="B559" s="1">
        <v>329009580</v>
      </c>
      <c r="C559" s="2">
        <v>0.000786164</v>
      </c>
      <c r="E559" s="14">
        <f t="shared" si="44"/>
        <v>3.12393808418629</v>
      </c>
      <c r="F559" s="11">
        <v>8.04243126</v>
      </c>
      <c r="G559" s="15">
        <v>25.1240573025643</v>
      </c>
      <c r="I559" s="14">
        <v>0.015194</v>
      </c>
      <c r="J559" s="13">
        <f t="shared" si="40"/>
        <v>21.6539147031723</v>
      </c>
      <c r="M559" s="14">
        <v>88.591</v>
      </c>
      <c r="N559" s="16">
        <f t="shared" si="41"/>
        <v>3.71380365951395</v>
      </c>
      <c r="Q559" s="14">
        <v>0.0185613</v>
      </c>
      <c r="R559" s="17">
        <v>10.635340628081</v>
      </c>
      <c r="S559" s="17">
        <f t="shared" si="42"/>
        <v>2.36231806588574</v>
      </c>
      <c r="V559" s="18">
        <v>7.31263</v>
      </c>
      <c r="Y559" s="14">
        <v>29.1141</v>
      </c>
      <c r="Z559" s="19">
        <f t="shared" si="43"/>
        <v>11.3006955392748</v>
      </c>
    </row>
    <row r="560" spans="1:26">
      <c r="A560" s="1" t="s">
        <v>580</v>
      </c>
      <c r="B560" s="1">
        <v>351780064</v>
      </c>
      <c r="C560" s="2">
        <v>0.209581</v>
      </c>
      <c r="E560" s="14">
        <f t="shared" si="44"/>
        <v>1.57226450476115</v>
      </c>
      <c r="F560" s="11">
        <v>0.873701676</v>
      </c>
      <c r="G560" s="15">
        <v>1.37369013292513</v>
      </c>
      <c r="I560" s="14">
        <v>0.188015</v>
      </c>
      <c r="J560" s="13">
        <f t="shared" si="40"/>
        <v>1.87102126957955</v>
      </c>
      <c r="M560" s="14">
        <v>393.309</v>
      </c>
      <c r="N560" s="16">
        <f t="shared" si="41"/>
        <v>0.894411427147612</v>
      </c>
      <c r="Q560" s="14">
        <v>0.00408895</v>
      </c>
      <c r="R560" s="17">
        <v>36.133390449871</v>
      </c>
      <c r="S560" s="17">
        <f t="shared" si="42"/>
        <v>0.0380171945068618</v>
      </c>
      <c r="V560" s="18">
        <v>1.02095</v>
      </c>
      <c r="Y560" s="14">
        <v>529.6153</v>
      </c>
      <c r="Z560" s="19">
        <f t="shared" si="43"/>
        <v>0.664218091886696</v>
      </c>
    </row>
    <row r="561" spans="1:26">
      <c r="A561" s="1" t="s">
        <v>581</v>
      </c>
      <c r="B561" s="1">
        <v>353774742</v>
      </c>
      <c r="C561" s="2">
        <v>0</v>
      </c>
      <c r="E561" s="14">
        <f t="shared" si="44"/>
        <v>1.54962395452555</v>
      </c>
      <c r="F561" s="11">
        <v>5.961399424</v>
      </c>
      <c r="G561" s="15">
        <v>9.23792734992519</v>
      </c>
      <c r="I561" s="14">
        <v>0.047617</v>
      </c>
      <c r="J561" s="13">
        <f t="shared" si="40"/>
        <v>7.42958905432934</v>
      </c>
      <c r="M561" s="14">
        <v>409.181</v>
      </c>
      <c r="N561" s="16">
        <f t="shared" si="41"/>
        <v>0.864592300228994</v>
      </c>
      <c r="Q561" s="14">
        <v>0.0772809</v>
      </c>
      <c r="R561" s="17">
        <v>2.74666631987982</v>
      </c>
      <c r="S561" s="17">
        <f t="shared" si="42"/>
        <v>3.36332348893745</v>
      </c>
      <c r="V561" s="18">
        <v>5.64725</v>
      </c>
      <c r="Y561" s="14">
        <v>54.7942</v>
      </c>
      <c r="Z561" s="19">
        <f t="shared" si="43"/>
        <v>6.45642681159685</v>
      </c>
    </row>
    <row r="562" spans="1:26">
      <c r="A562" s="1" t="s">
        <v>582</v>
      </c>
      <c r="B562" s="1">
        <v>355061442</v>
      </c>
      <c r="C562" s="2">
        <v>0</v>
      </c>
      <c r="E562" s="14">
        <f t="shared" si="44"/>
        <v>1.64296553063427</v>
      </c>
      <c r="F562" s="11">
        <v>7.455825971</v>
      </c>
      <c r="G562" s="15">
        <v>12.2496650727608</v>
      </c>
      <c r="I562" s="14">
        <v>0.039987</v>
      </c>
      <c r="J562" s="13">
        <f t="shared" si="40"/>
        <v>8.87942186210518</v>
      </c>
      <c r="M562" s="14">
        <v>215.976</v>
      </c>
      <c r="N562" s="16">
        <f t="shared" si="41"/>
        <v>1.64398563729303</v>
      </c>
      <c r="Q562" s="14">
        <v>0.0879294</v>
      </c>
      <c r="R562" s="17">
        <v>2.4228172283673</v>
      </c>
      <c r="S562" s="17">
        <f t="shared" si="42"/>
        <v>5.05595920704909</v>
      </c>
      <c r="V562" s="18">
        <v>4.39113</v>
      </c>
      <c r="Y562" s="14">
        <v>74.4788</v>
      </c>
      <c r="Z562" s="19">
        <f t="shared" si="43"/>
        <v>4.767281991654</v>
      </c>
    </row>
    <row r="563" spans="1:26">
      <c r="A563" s="1" t="s">
        <v>583</v>
      </c>
      <c r="B563" s="1">
        <v>364302812</v>
      </c>
      <c r="C563" s="2">
        <v>0.233881</v>
      </c>
      <c r="E563" s="14">
        <f t="shared" si="44"/>
        <v>1.20651964513342</v>
      </c>
      <c r="F563" s="11">
        <v>0.880560853</v>
      </c>
      <c r="G563" s="15">
        <v>1.06241396787994</v>
      </c>
      <c r="I563" s="14">
        <v>0.17571</v>
      </c>
      <c r="J563" s="13">
        <f t="shared" si="40"/>
        <v>2.07331860451881</v>
      </c>
      <c r="M563" s="14">
        <v>642.296</v>
      </c>
      <c r="N563" s="16">
        <f t="shared" si="41"/>
        <v>0.567188355524556</v>
      </c>
      <c r="Q563" s="14">
        <v>0.469404</v>
      </c>
      <c r="R563" s="17">
        <v>0.46565791343917</v>
      </c>
      <c r="S563" s="17">
        <f t="shared" si="42"/>
        <v>2.28153315388406</v>
      </c>
      <c r="V563" s="18">
        <v>0.910785</v>
      </c>
      <c r="Y563" s="14">
        <v>549.159</v>
      </c>
      <c r="Z563" s="19">
        <f t="shared" si="43"/>
        <v>0.663383122192298</v>
      </c>
    </row>
    <row r="564" spans="1:26">
      <c r="A564" s="1" t="s">
        <v>584</v>
      </c>
      <c r="B564" s="1">
        <v>367600496</v>
      </c>
      <c r="C564" s="2">
        <v>0.000104485</v>
      </c>
      <c r="E564" s="14">
        <f t="shared" si="44"/>
        <v>1.12279812212478</v>
      </c>
      <c r="F564" s="11">
        <v>1.054832448</v>
      </c>
      <c r="G564" s="15">
        <v>1.18436389177068</v>
      </c>
      <c r="I564" s="14">
        <v>0.159138</v>
      </c>
      <c r="J564" s="13">
        <f t="shared" si="40"/>
        <v>2.30994794455127</v>
      </c>
      <c r="M564" s="14">
        <v>1057.034</v>
      </c>
      <c r="N564" s="16">
        <f t="shared" si="41"/>
        <v>0.347766009418808</v>
      </c>
      <c r="Q564" s="14">
        <v>0.00535411</v>
      </c>
      <c r="R564" s="17">
        <v>28.8362040227041</v>
      </c>
      <c r="S564" s="17">
        <f t="shared" si="42"/>
        <v>0.0410721151382538</v>
      </c>
      <c r="V564" s="18">
        <v>1.1545</v>
      </c>
      <c r="Y564" s="14">
        <v>491.7382</v>
      </c>
      <c r="Z564" s="19">
        <f t="shared" si="43"/>
        <v>0.747553263098128</v>
      </c>
    </row>
    <row r="565" spans="1:26">
      <c r="A565" s="1" t="s">
        <v>585</v>
      </c>
      <c r="B565" s="1">
        <v>382255382</v>
      </c>
      <c r="C565" s="2">
        <v>0.0413258</v>
      </c>
      <c r="E565" s="14">
        <f t="shared" si="44"/>
        <v>0.661404048997131</v>
      </c>
      <c r="F565" s="11">
        <v>8.165837727</v>
      </c>
      <c r="G565" s="15">
        <v>5.40091813609133</v>
      </c>
      <c r="I565" s="14">
        <v>0.154481</v>
      </c>
      <c r="J565" s="13">
        <f t="shared" si="40"/>
        <v>2.47444916850616</v>
      </c>
      <c r="M565" s="14">
        <v>597.278</v>
      </c>
      <c r="N565" s="16">
        <f t="shared" si="41"/>
        <v>0.639995750722444</v>
      </c>
      <c r="Q565" s="14">
        <v>0.00317413</v>
      </c>
      <c r="R565" s="17">
        <v>50.5799259765668</v>
      </c>
      <c r="S565" s="17">
        <f t="shared" si="42"/>
        <v>0.106779874264615</v>
      </c>
      <c r="V565" s="18">
        <v>2.80716</v>
      </c>
      <c r="Y565" s="14">
        <v>132.7072</v>
      </c>
      <c r="Z565" s="19">
        <f t="shared" si="43"/>
        <v>2.88044192025753</v>
      </c>
    </row>
    <row r="566" spans="1:26">
      <c r="A566" s="1" t="s">
        <v>586</v>
      </c>
      <c r="B566" s="1">
        <v>385191344</v>
      </c>
      <c r="C566" s="2">
        <v>0.891726</v>
      </c>
      <c r="E566" s="14">
        <f t="shared" si="44"/>
        <v>0.760372383453597</v>
      </c>
      <c r="F566" s="11">
        <v>7.647798146</v>
      </c>
      <c r="G566" s="15">
        <v>5.81517450444602</v>
      </c>
      <c r="I566" s="14">
        <v>0.196022</v>
      </c>
      <c r="J566" s="13">
        <f t="shared" si="40"/>
        <v>1.965041393313</v>
      </c>
      <c r="M566" s="14">
        <v>347.569</v>
      </c>
      <c r="N566" s="16">
        <f t="shared" si="41"/>
        <v>1.10824424502761</v>
      </c>
      <c r="Q566" s="14">
        <v>0.0636194</v>
      </c>
      <c r="R566" s="17">
        <v>3.63277249392481</v>
      </c>
      <c r="S566" s="17">
        <f t="shared" si="42"/>
        <v>1.60075383585702</v>
      </c>
      <c r="V566" s="18">
        <v>1.10725</v>
      </c>
      <c r="Y566" s="14">
        <v>539.518</v>
      </c>
      <c r="Z566" s="19">
        <f t="shared" si="43"/>
        <v>0.713954574268143</v>
      </c>
    </row>
    <row r="567" spans="1:26">
      <c r="A567" s="1" t="s">
        <v>587</v>
      </c>
      <c r="B567" s="1">
        <v>385300368</v>
      </c>
      <c r="C567" s="2">
        <v>0.950735</v>
      </c>
      <c r="E567" s="14">
        <f t="shared" si="44"/>
        <v>4.00276979138252</v>
      </c>
      <c r="F567" s="11">
        <v>10.149229417</v>
      </c>
      <c r="G567" s="15">
        <v>40.6250289161784</v>
      </c>
      <c r="I567" s="14">
        <v>0.015433</v>
      </c>
      <c r="J567" s="13">
        <f t="shared" si="40"/>
        <v>24.9660058316594</v>
      </c>
      <c r="M567" s="14">
        <v>162.458</v>
      </c>
      <c r="N567" s="16">
        <f t="shared" si="41"/>
        <v>2.37169217890162</v>
      </c>
      <c r="Q567" s="14">
        <v>0.0191531</v>
      </c>
      <c r="R567" s="17">
        <v>12.0701202834006</v>
      </c>
      <c r="S567" s="17">
        <f t="shared" si="42"/>
        <v>3.36575178725003</v>
      </c>
      <c r="V567" s="18">
        <v>7.8591</v>
      </c>
      <c r="Y567" s="14">
        <v>27.9312</v>
      </c>
      <c r="Z567" s="19">
        <f t="shared" si="43"/>
        <v>13.7946227874205</v>
      </c>
    </row>
    <row r="568" spans="1:26">
      <c r="A568" s="1" t="s">
        <v>588</v>
      </c>
      <c r="B568" s="1">
        <v>394238376</v>
      </c>
      <c r="C568" s="2">
        <v>1</v>
      </c>
      <c r="E568" s="14">
        <f t="shared" si="44"/>
        <v>3.93864012447178</v>
      </c>
      <c r="F568" s="11">
        <v>14.108763926</v>
      </c>
      <c r="G568" s="15">
        <v>55.5693437056436</v>
      </c>
      <c r="I568" s="14">
        <v>0.013286</v>
      </c>
      <c r="J568" s="13">
        <f t="shared" si="40"/>
        <v>29.6732181243414</v>
      </c>
      <c r="M568" s="14">
        <v>126.941</v>
      </c>
      <c r="N568" s="16">
        <f t="shared" si="41"/>
        <v>3.10568197824186</v>
      </c>
      <c r="Q568" s="14">
        <v>0.0216679</v>
      </c>
      <c r="R568" s="17">
        <v>10.9167489973648</v>
      </c>
      <c r="S568" s="17">
        <f t="shared" si="42"/>
        <v>5.09028317121311</v>
      </c>
      <c r="V568" s="18">
        <v>9.47852</v>
      </c>
      <c r="Y568" s="14">
        <v>17.7902</v>
      </c>
      <c r="Z568" s="19">
        <f t="shared" si="43"/>
        <v>22.1604240536925</v>
      </c>
    </row>
    <row r="569" spans="1:26">
      <c r="A569" s="1" t="s">
        <v>589</v>
      </c>
      <c r="B569" s="1">
        <v>402201632</v>
      </c>
      <c r="C569" s="2">
        <v>0</v>
      </c>
      <c r="E569" s="14">
        <f t="shared" si="44"/>
        <v>1.26671475665772</v>
      </c>
      <c r="F569" s="11">
        <v>6.43653481</v>
      </c>
      <c r="G569" s="15">
        <v>8.15325362556811</v>
      </c>
      <c r="I569" s="14">
        <v>0.03996</v>
      </c>
      <c r="J569" s="13">
        <f t="shared" si="40"/>
        <v>10.0651059059059</v>
      </c>
      <c r="M569" s="14">
        <v>926.625</v>
      </c>
      <c r="N569" s="16">
        <f t="shared" si="41"/>
        <v>0.43405005476865</v>
      </c>
      <c r="Q569" s="14">
        <v>0.0819662</v>
      </c>
      <c r="R569" s="17">
        <v>2.94415233596287</v>
      </c>
      <c r="S569" s="17">
        <f t="shared" si="42"/>
        <v>2.76930426662234</v>
      </c>
      <c r="V569" s="18">
        <v>2.69569</v>
      </c>
      <c r="Y569" s="14">
        <v>73.6421</v>
      </c>
      <c r="Z569" s="19">
        <f t="shared" si="43"/>
        <v>5.4615720084028</v>
      </c>
    </row>
    <row r="570" spans="1:26">
      <c r="A570" s="1" t="s">
        <v>590</v>
      </c>
      <c r="B570" s="1">
        <v>402990156</v>
      </c>
      <c r="C570" s="2">
        <v>0.000175176</v>
      </c>
      <c r="E570" s="14">
        <f t="shared" si="44"/>
        <v>1.55328632197361</v>
      </c>
      <c r="F570" s="11">
        <v>0.917189554</v>
      </c>
      <c r="G570" s="15">
        <v>1.42465798888528</v>
      </c>
      <c r="I570" s="14">
        <v>0.177274</v>
      </c>
      <c r="J570" s="13">
        <f t="shared" si="40"/>
        <v>2.27326148222526</v>
      </c>
      <c r="M570" s="14">
        <v>637.093</v>
      </c>
      <c r="N570" s="16">
        <f t="shared" si="41"/>
        <v>0.63254525791368</v>
      </c>
      <c r="Q570" s="14">
        <v>0.00639943</v>
      </c>
      <c r="R570" s="17">
        <v>26.4485845645628</v>
      </c>
      <c r="S570" s="17">
        <f t="shared" si="42"/>
        <v>0.0538651883395723</v>
      </c>
      <c r="V570" s="18">
        <v>1.13205</v>
      </c>
      <c r="Y570" s="14">
        <v>538.9395</v>
      </c>
      <c r="Z570" s="19">
        <f t="shared" si="43"/>
        <v>0.747746557823281</v>
      </c>
    </row>
    <row r="571" spans="1:26">
      <c r="A571" s="1" t="s">
        <v>591</v>
      </c>
      <c r="B571" s="1">
        <v>407765828</v>
      </c>
      <c r="C571" s="2">
        <v>0.88159</v>
      </c>
      <c r="E571" s="14">
        <f t="shared" si="44"/>
        <v>0.629553061121382</v>
      </c>
      <c r="F571" s="11">
        <v>9.42461763</v>
      </c>
      <c r="G571" s="15">
        <v>5.93329687886504</v>
      </c>
      <c r="I571" s="14">
        <v>0.20253</v>
      </c>
      <c r="J571" s="13">
        <f t="shared" si="40"/>
        <v>2.01336013430109</v>
      </c>
      <c r="M571" s="14">
        <v>286.167</v>
      </c>
      <c r="N571" s="16">
        <f t="shared" si="41"/>
        <v>1.42492260812742</v>
      </c>
      <c r="Q571" s="14">
        <v>0.0745264</v>
      </c>
      <c r="R571" s="17">
        <v>3.28285677021834</v>
      </c>
      <c r="S571" s="17">
        <f t="shared" si="42"/>
        <v>1.80735782708864</v>
      </c>
      <c r="V571" s="18">
        <v>1.093</v>
      </c>
      <c r="Y571" s="14">
        <v>587.3278</v>
      </c>
      <c r="Z571" s="19">
        <f t="shared" si="43"/>
        <v>0.694272990313076</v>
      </c>
    </row>
    <row r="572" spans="1:26">
      <c r="A572" s="1" t="s">
        <v>592</v>
      </c>
      <c r="B572" s="1">
        <v>425405742</v>
      </c>
      <c r="C572" s="2">
        <v>1</v>
      </c>
      <c r="E572" s="14">
        <f t="shared" si="44"/>
        <v>14.3044709690341</v>
      </c>
      <c r="F572" s="11">
        <v>3.19928344</v>
      </c>
      <c r="G572" s="15">
        <v>45.7640570891914</v>
      </c>
      <c r="I572" s="14">
        <v>0.013014</v>
      </c>
      <c r="J572" s="13">
        <f t="shared" si="40"/>
        <v>32.6883158137391</v>
      </c>
      <c r="M572" s="14">
        <v>80.987</v>
      </c>
      <c r="N572" s="16">
        <f t="shared" si="41"/>
        <v>5.25276577722351</v>
      </c>
      <c r="Q572" s="14">
        <v>0.0484447</v>
      </c>
      <c r="R572" s="17">
        <v>5.26875891893231</v>
      </c>
      <c r="S572" s="17">
        <f t="shared" si="42"/>
        <v>8.68592733001063</v>
      </c>
      <c r="V572" s="18">
        <v>8.92407</v>
      </c>
      <c r="Y572" s="14">
        <v>20.3104</v>
      </c>
      <c r="Z572" s="19">
        <f t="shared" si="43"/>
        <v>20.9452173270837</v>
      </c>
    </row>
    <row r="573" spans="1:26">
      <c r="A573" s="1" t="s">
        <v>593</v>
      </c>
      <c r="B573" s="1">
        <v>425405742</v>
      </c>
      <c r="C573" s="2">
        <v>1</v>
      </c>
      <c r="E573" s="14">
        <f t="shared" si="44"/>
        <v>8.28325289726226</v>
      </c>
      <c r="F573" s="11">
        <v>5.536461992</v>
      </c>
      <c r="G573" s="15">
        <v>45.8599148358164</v>
      </c>
      <c r="I573" s="14">
        <v>0.013082</v>
      </c>
      <c r="J573" s="13">
        <f t="shared" si="40"/>
        <v>32.5184025378383</v>
      </c>
      <c r="M573" s="14">
        <v>94.982</v>
      </c>
      <c r="N573" s="16">
        <f t="shared" si="41"/>
        <v>4.47880379440315</v>
      </c>
      <c r="Q573" s="14">
        <v>0.0533479</v>
      </c>
      <c r="R573" s="17">
        <v>4.78450782879926</v>
      </c>
      <c r="S573" s="17">
        <f t="shared" si="42"/>
        <v>9.58508512824936</v>
      </c>
      <c r="V573" s="18">
        <v>8.84169</v>
      </c>
      <c r="Y573" s="14">
        <v>20.0986</v>
      </c>
      <c r="Z573" s="19">
        <f t="shared" si="43"/>
        <v>21.1659390206283</v>
      </c>
    </row>
    <row r="574" spans="1:26">
      <c r="A574" s="1" t="s">
        <v>594</v>
      </c>
      <c r="B574" s="1">
        <v>459065752</v>
      </c>
      <c r="C574" s="2">
        <v>1</v>
      </c>
      <c r="E574" s="14">
        <f t="shared" si="44"/>
        <v>2.76635955864064</v>
      </c>
      <c r="F574" s="11">
        <v>5.635138096</v>
      </c>
      <c r="G574" s="15">
        <v>15.5888181361296</v>
      </c>
      <c r="I574" s="14">
        <v>0.024666</v>
      </c>
      <c r="J574" s="13">
        <f t="shared" si="40"/>
        <v>18.6112767372091</v>
      </c>
      <c r="M574" s="14">
        <v>116.5</v>
      </c>
      <c r="N574" s="16">
        <f t="shared" si="41"/>
        <v>3.94047855793991</v>
      </c>
      <c r="Q574" s="14">
        <v>0.0833793</v>
      </c>
      <c r="R574" s="17">
        <v>3.30345123070115</v>
      </c>
      <c r="S574" s="17">
        <f t="shared" si="42"/>
        <v>4.71894907702963</v>
      </c>
      <c r="V574" s="18">
        <v>5.66947</v>
      </c>
      <c r="Y574" s="14">
        <v>55.79</v>
      </c>
      <c r="Z574" s="19">
        <f t="shared" si="43"/>
        <v>8.22845943717512</v>
      </c>
    </row>
    <row r="575" spans="1:26">
      <c r="A575" s="1" t="s">
        <v>595</v>
      </c>
      <c r="B575" s="1">
        <v>461232120</v>
      </c>
      <c r="C575" s="2">
        <v>1</v>
      </c>
      <c r="E575" s="14">
        <f t="shared" si="44"/>
        <v>3.59887695489339</v>
      </c>
      <c r="F575" s="11">
        <v>4.304730761</v>
      </c>
      <c r="G575" s="15">
        <v>15.4921963327836</v>
      </c>
      <c r="I575" s="14">
        <v>0.024719</v>
      </c>
      <c r="J575" s="13">
        <f t="shared" si="40"/>
        <v>18.6590120959586</v>
      </c>
      <c r="M575" s="14">
        <v>115.669</v>
      </c>
      <c r="N575" s="16">
        <f t="shared" si="41"/>
        <v>3.9875171394237</v>
      </c>
      <c r="Q575" s="14">
        <v>0.0790073</v>
      </c>
      <c r="R575" s="17">
        <v>3.50270509180797</v>
      </c>
      <c r="S575" s="17">
        <f t="shared" si="42"/>
        <v>4.42292340540353</v>
      </c>
      <c r="V575" s="18">
        <v>5.46844</v>
      </c>
      <c r="Y575" s="14">
        <v>50.1291</v>
      </c>
      <c r="Z575" s="19">
        <f t="shared" si="43"/>
        <v>9.20088571308881</v>
      </c>
    </row>
    <row r="576" spans="1:26">
      <c r="A576" s="1" t="s">
        <v>596</v>
      </c>
      <c r="B576" s="1">
        <v>461232120</v>
      </c>
      <c r="C576" s="2">
        <v>1</v>
      </c>
      <c r="E576" s="14">
        <f t="shared" si="44"/>
        <v>2.3554552176216</v>
      </c>
      <c r="F576" s="11">
        <v>6.556059879</v>
      </c>
      <c r="G576" s="15">
        <v>15.4425054490302</v>
      </c>
      <c r="I576" s="14">
        <v>0.024492</v>
      </c>
      <c r="J576" s="13">
        <f t="shared" si="40"/>
        <v>18.8319500244978</v>
      </c>
      <c r="M576" s="14">
        <v>125.878</v>
      </c>
      <c r="N576" s="16">
        <f t="shared" si="41"/>
        <v>3.66412017985669</v>
      </c>
      <c r="Q576" s="14">
        <v>0.0830737</v>
      </c>
      <c r="R576" s="17">
        <v>3.33125010683285</v>
      </c>
      <c r="S576" s="17">
        <f t="shared" si="42"/>
        <v>4.63564876661632</v>
      </c>
      <c r="V576" s="18">
        <v>5.86249</v>
      </c>
      <c r="Y576" s="14">
        <v>48.2026</v>
      </c>
      <c r="Z576" s="19">
        <f t="shared" si="43"/>
        <v>9.56861497097667</v>
      </c>
    </row>
    <row r="577" spans="1:26">
      <c r="A577" s="1" t="s">
        <v>597</v>
      </c>
      <c r="B577" s="1">
        <v>467091368</v>
      </c>
      <c r="C577" s="2">
        <v>4.28761e-5</v>
      </c>
      <c r="E577" s="14">
        <f t="shared" si="44"/>
        <v>0.631194117142874</v>
      </c>
      <c r="F577" s="11">
        <v>8.510593016</v>
      </c>
      <c r="G577" s="15">
        <v>5.37183624509643</v>
      </c>
      <c r="I577" s="14">
        <v>0.094383</v>
      </c>
      <c r="J577" s="13">
        <f t="shared" si="40"/>
        <v>4.94889299979869</v>
      </c>
      <c r="M577" s="14">
        <v>697.634</v>
      </c>
      <c r="N577" s="16">
        <f t="shared" si="41"/>
        <v>0.66953641594303</v>
      </c>
      <c r="Q577" s="14">
        <v>0.0183764</v>
      </c>
      <c r="R577" s="17">
        <v>15.2508010709388</v>
      </c>
      <c r="S577" s="17">
        <f t="shared" si="42"/>
        <v>0.352233054520182</v>
      </c>
      <c r="V577" s="18">
        <v>1.97952</v>
      </c>
      <c r="Y577" s="14">
        <v>259.0732</v>
      </c>
      <c r="Z577" s="19">
        <f t="shared" si="43"/>
        <v>1.80293202075707</v>
      </c>
    </row>
    <row r="578" spans="1:26">
      <c r="A578" s="1" t="s">
        <v>598</v>
      </c>
      <c r="B578" s="1">
        <v>488889912</v>
      </c>
      <c r="C578" s="2">
        <v>1</v>
      </c>
      <c r="E578" s="14">
        <f t="shared" si="44"/>
        <v>3.76337051029319</v>
      </c>
      <c r="F578" s="11">
        <v>15.275718778</v>
      </c>
      <c r="G578" s="15">
        <v>57.4881895726572</v>
      </c>
      <c r="I578" s="14">
        <v>0.015918</v>
      </c>
      <c r="J578" s="13">
        <f t="shared" ref="J578:J603" si="45">B578/I578/1000000000</f>
        <v>30.7130237467018</v>
      </c>
      <c r="M578" s="14">
        <v>111.782</v>
      </c>
      <c r="N578" s="16">
        <f t="shared" ref="N578:N601" si="46">B578/M578/1000000</f>
        <v>4.37360140273031</v>
      </c>
      <c r="Q578" s="14">
        <v>0.074646</v>
      </c>
      <c r="R578" s="17">
        <v>3.92966732577767</v>
      </c>
      <c r="S578" s="17">
        <f t="shared" ref="S578:S611" si="47">G578/R578</f>
        <v>14.6292764264162</v>
      </c>
      <c r="V578" s="18">
        <v>7.19832</v>
      </c>
      <c r="Y578" s="14">
        <v>20.8359</v>
      </c>
      <c r="Z578" s="19">
        <f t="shared" ref="Z578:Z601" si="48">B578/Y578/1000000</f>
        <v>23.463825032756</v>
      </c>
    </row>
    <row r="579" spans="1:26">
      <c r="A579" s="1" t="s">
        <v>599</v>
      </c>
      <c r="B579" s="1">
        <v>489768668</v>
      </c>
      <c r="C579" s="2">
        <v>1</v>
      </c>
      <c r="E579" s="14">
        <f t="shared" ref="E579:E611" si="49">G579/F579</f>
        <v>3.35659654652704</v>
      </c>
      <c r="F579" s="11">
        <v>15.357748993</v>
      </c>
      <c r="G579" s="15">
        <v>51.549767232333</v>
      </c>
      <c r="I579" s="14">
        <v>0.015684</v>
      </c>
      <c r="J579" s="13">
        <f t="shared" si="45"/>
        <v>31.2272805406784</v>
      </c>
      <c r="M579" s="14">
        <v>115.32</v>
      </c>
      <c r="N579" s="16">
        <f t="shared" si="46"/>
        <v>4.24704013180715</v>
      </c>
      <c r="Q579" s="14">
        <v>0.0603461</v>
      </c>
      <c r="R579" s="17">
        <v>4.86959722003576</v>
      </c>
      <c r="S579" s="17">
        <f t="shared" si="47"/>
        <v>10.5860433426062</v>
      </c>
      <c r="V579" s="18">
        <v>9.3915</v>
      </c>
      <c r="Y579" s="14">
        <v>20.5129</v>
      </c>
      <c r="Z579" s="19">
        <f t="shared" si="48"/>
        <v>23.8761300449961</v>
      </c>
    </row>
    <row r="580" spans="1:26">
      <c r="A580" s="1" t="s">
        <v>600</v>
      </c>
      <c r="B580" s="1">
        <v>492893748</v>
      </c>
      <c r="C580" s="2">
        <v>1</v>
      </c>
      <c r="E580" s="14">
        <f t="shared" si="49"/>
        <v>3.35264266108739</v>
      </c>
      <c r="F580" s="11">
        <v>15.540427804</v>
      </c>
      <c r="G580" s="15">
        <v>52.101501227239</v>
      </c>
      <c r="I580" s="14">
        <v>0.015724</v>
      </c>
      <c r="J580" s="13">
        <f t="shared" si="45"/>
        <v>31.3465878911219</v>
      </c>
      <c r="M580" s="14">
        <v>112.398</v>
      </c>
      <c r="N580" s="16">
        <f t="shared" si="46"/>
        <v>4.38525372337586</v>
      </c>
      <c r="Q580" s="14">
        <v>0.0858753</v>
      </c>
      <c r="R580" s="17">
        <v>3.44378708196653</v>
      </c>
      <c r="S580" s="17">
        <f t="shared" si="47"/>
        <v>15.1291296433713</v>
      </c>
      <c r="V580" s="18">
        <v>9.51381</v>
      </c>
      <c r="Y580" s="14">
        <v>20.5174</v>
      </c>
      <c r="Z580" s="19">
        <f t="shared" si="48"/>
        <v>24.0232070340297</v>
      </c>
    </row>
    <row r="581" spans="1:26">
      <c r="A581" s="1" t="s">
        <v>601</v>
      </c>
      <c r="B581" s="1">
        <v>492894708</v>
      </c>
      <c r="C581" s="2">
        <v>1</v>
      </c>
      <c r="E581" s="14">
        <f t="shared" si="49"/>
        <v>3.94483809590991</v>
      </c>
      <c r="F581" s="11">
        <v>13.374346084</v>
      </c>
      <c r="G581" s="15">
        <v>52.7596299400467</v>
      </c>
      <c r="I581" s="14">
        <v>0.01594</v>
      </c>
      <c r="J581" s="13">
        <f t="shared" si="45"/>
        <v>30.9218762860728</v>
      </c>
      <c r="M581" s="14">
        <v>183.208</v>
      </c>
      <c r="N581" s="16">
        <f t="shared" si="46"/>
        <v>2.69035581415659</v>
      </c>
      <c r="Q581" s="14">
        <v>0.0768042</v>
      </c>
      <c r="R581" s="17">
        <v>3.85052933042724</v>
      </c>
      <c r="S581" s="17">
        <f t="shared" si="47"/>
        <v>13.7019161295916</v>
      </c>
      <c r="V581" s="18">
        <v>9.32433</v>
      </c>
      <c r="Y581" s="14">
        <v>20.5763</v>
      </c>
      <c r="Z581" s="19">
        <f t="shared" si="48"/>
        <v>23.9544868610975</v>
      </c>
    </row>
    <row r="582" spans="1:26">
      <c r="A582" s="1" t="s">
        <v>602</v>
      </c>
      <c r="B582" s="1">
        <v>527862308</v>
      </c>
      <c r="C582" s="2">
        <v>0.999929</v>
      </c>
      <c r="E582" s="14">
        <f t="shared" si="49"/>
        <v>1.43135100696414</v>
      </c>
      <c r="F582" s="11">
        <v>1.360206793</v>
      </c>
      <c r="G582" s="15">
        <v>1.94693336284002</v>
      </c>
      <c r="I582" s="14">
        <v>0.224044</v>
      </c>
      <c r="J582" s="13">
        <f t="shared" si="45"/>
        <v>2.356065362161</v>
      </c>
      <c r="M582" s="14">
        <v>254.406</v>
      </c>
      <c r="N582" s="16">
        <f t="shared" si="46"/>
        <v>2.07488152008993</v>
      </c>
      <c r="Q582" s="14">
        <v>0.626613</v>
      </c>
      <c r="R582" s="17">
        <v>0.505443367437318</v>
      </c>
      <c r="S582" s="17">
        <f t="shared" si="47"/>
        <v>3.85193176579069</v>
      </c>
      <c r="V582" s="18">
        <v>1.70393</v>
      </c>
      <c r="Y582" s="14">
        <v>498.1408</v>
      </c>
      <c r="Z582" s="19">
        <f t="shared" si="48"/>
        <v>1.05966487386699</v>
      </c>
    </row>
    <row r="583" spans="1:26">
      <c r="A583" s="1" t="s">
        <v>603</v>
      </c>
      <c r="B583" s="1">
        <v>533316882</v>
      </c>
      <c r="C583" s="2">
        <v>0.945586</v>
      </c>
      <c r="E583" s="14">
        <f t="shared" si="49"/>
        <v>2.47815877753871</v>
      </c>
      <c r="F583" s="11">
        <v>7.911291446</v>
      </c>
      <c r="G583" s="15">
        <v>19.6054363385718</v>
      </c>
      <c r="I583" s="14">
        <v>0.028808</v>
      </c>
      <c r="J583" s="13">
        <f t="shared" si="45"/>
        <v>18.5128048458761</v>
      </c>
      <c r="M583" s="14">
        <v>143.015</v>
      </c>
      <c r="N583" s="16">
        <f t="shared" si="46"/>
        <v>3.72909752123903</v>
      </c>
      <c r="Q583" s="14">
        <v>0.0736818</v>
      </c>
      <c r="R583" s="17">
        <v>4.34286525573479</v>
      </c>
      <c r="S583" s="17">
        <f t="shared" si="47"/>
        <v>4.51440124988512</v>
      </c>
      <c r="V583" s="18">
        <v>6.72231</v>
      </c>
      <c r="Y583" s="14">
        <v>54.8209</v>
      </c>
      <c r="Z583" s="19">
        <f t="shared" si="48"/>
        <v>9.72834962578141</v>
      </c>
    </row>
    <row r="584" spans="1:26">
      <c r="A584" s="1" t="s">
        <v>604</v>
      </c>
      <c r="B584" s="1">
        <v>538342094</v>
      </c>
      <c r="C584" s="2">
        <v>0.727804</v>
      </c>
      <c r="E584" s="14">
        <f t="shared" si="49"/>
        <v>2.88497287569353</v>
      </c>
      <c r="F584" s="11">
        <v>9.568064443</v>
      </c>
      <c r="G584" s="15">
        <v>27.6036063909427</v>
      </c>
      <c r="I584" s="14">
        <v>0.020676</v>
      </c>
      <c r="J584" s="13">
        <f t="shared" si="45"/>
        <v>26.0370523312053</v>
      </c>
      <c r="M584" s="14">
        <v>187.504</v>
      </c>
      <c r="N584" s="16">
        <f t="shared" si="46"/>
        <v>2.8710965846062</v>
      </c>
      <c r="Q584" s="14">
        <v>0.0200187</v>
      </c>
      <c r="R584" s="17">
        <v>16.1351764300379</v>
      </c>
      <c r="S584" s="17">
        <f t="shared" si="47"/>
        <v>1.71077189708039</v>
      </c>
      <c r="V584" s="18">
        <v>7.99457</v>
      </c>
      <c r="Y584" s="14">
        <v>38.6526</v>
      </c>
      <c r="Z584" s="19">
        <f t="shared" si="48"/>
        <v>13.9277071658828</v>
      </c>
    </row>
    <row r="585" spans="1:26">
      <c r="A585" s="1" t="s">
        <v>605</v>
      </c>
      <c r="B585" s="1">
        <v>541225572</v>
      </c>
      <c r="C585" s="2">
        <v>5.74779e-5</v>
      </c>
      <c r="E585" s="14">
        <f t="shared" si="49"/>
        <v>0.607263361649586</v>
      </c>
      <c r="F585" s="11">
        <v>9.06340402</v>
      </c>
      <c r="G585" s="15">
        <v>5.50387319317357</v>
      </c>
      <c r="I585" s="14">
        <v>0.105733</v>
      </c>
      <c r="J585" s="13">
        <f t="shared" si="45"/>
        <v>5.11879519166202</v>
      </c>
      <c r="M585" s="14">
        <v>702.556</v>
      </c>
      <c r="N585" s="16">
        <f t="shared" si="46"/>
        <v>0.77036645050359</v>
      </c>
      <c r="Q585" s="14">
        <v>0.0193393</v>
      </c>
      <c r="R585" s="17">
        <v>16.7914734866308</v>
      </c>
      <c r="S585" s="17">
        <f t="shared" si="47"/>
        <v>0.327777856872162</v>
      </c>
      <c r="V585" s="18">
        <v>2.07256</v>
      </c>
      <c r="Y585" s="14">
        <v>289.3243</v>
      </c>
      <c r="Z585" s="19">
        <f t="shared" si="48"/>
        <v>1.87065369898069</v>
      </c>
    </row>
    <row r="586" spans="1:26">
      <c r="A586" s="1" t="s">
        <v>606</v>
      </c>
      <c r="B586" s="1">
        <v>648643046</v>
      </c>
      <c r="C586" s="2">
        <v>0.174105</v>
      </c>
      <c r="E586" s="14">
        <f t="shared" si="49"/>
        <v>1.361716029578</v>
      </c>
      <c r="F586" s="11">
        <v>6.770843385</v>
      </c>
      <c r="G586" s="15">
        <v>9.21996597111667</v>
      </c>
      <c r="I586" s="14">
        <v>0.102353</v>
      </c>
      <c r="J586" s="13">
        <f t="shared" si="45"/>
        <v>6.33731347395777</v>
      </c>
      <c r="M586" s="14">
        <v>1577.572</v>
      </c>
      <c r="N586" s="16">
        <f t="shared" si="46"/>
        <v>0.411165414954119</v>
      </c>
      <c r="Q586" s="14">
        <v>0.20663</v>
      </c>
      <c r="R586" s="17">
        <v>1.88349139815128</v>
      </c>
      <c r="S586" s="17">
        <f t="shared" si="47"/>
        <v>4.89514631187932</v>
      </c>
      <c r="V586" s="18">
        <v>0.947854</v>
      </c>
      <c r="Y586" s="14">
        <v>178.517</v>
      </c>
      <c r="Z586" s="19">
        <f t="shared" si="48"/>
        <v>3.63350855100635</v>
      </c>
    </row>
    <row r="587" spans="1:26">
      <c r="A587" s="1" t="s">
        <v>607</v>
      </c>
      <c r="B587" s="1">
        <v>866232788</v>
      </c>
      <c r="C587" s="2">
        <v>0.379022</v>
      </c>
      <c r="E587" s="14">
        <f t="shared" si="49"/>
        <v>3.55396569040014</v>
      </c>
      <c r="F587" s="11">
        <v>7.558227311</v>
      </c>
      <c r="G587" s="15">
        <v>26.8616805435393</v>
      </c>
      <c r="I587" s="14">
        <v>0.034865</v>
      </c>
      <c r="J587" s="13">
        <f t="shared" si="45"/>
        <v>24.8453402552703</v>
      </c>
      <c r="M587" s="14">
        <v>244.227</v>
      </c>
      <c r="N587" s="16">
        <f t="shared" si="46"/>
        <v>3.5468346579207</v>
      </c>
      <c r="Q587" s="14">
        <v>0.00760734</v>
      </c>
      <c r="R587" s="17">
        <v>47.8245708697127</v>
      </c>
      <c r="S587" s="17">
        <f t="shared" si="47"/>
        <v>0.561671125428766</v>
      </c>
      <c r="V587" s="18">
        <v>6.90179</v>
      </c>
      <c r="Y587" s="14">
        <v>81.7107</v>
      </c>
      <c r="Z587" s="19">
        <f t="shared" si="48"/>
        <v>10.6012160953217</v>
      </c>
    </row>
    <row r="588" spans="1:26">
      <c r="A588" s="1" t="s">
        <v>608</v>
      </c>
      <c r="B588" s="1">
        <v>1040987838</v>
      </c>
      <c r="C588" s="2">
        <v>0.932529</v>
      </c>
      <c r="E588" s="14">
        <f t="shared" si="49"/>
        <v>0.790763225769185</v>
      </c>
      <c r="F588" s="11">
        <v>5.547319142</v>
      </c>
      <c r="G588" s="15">
        <v>4.38661597909907</v>
      </c>
      <c r="I588" s="14">
        <v>0.497622</v>
      </c>
      <c r="J588" s="13">
        <f t="shared" si="45"/>
        <v>2.09192487068498</v>
      </c>
      <c r="M588" s="14">
        <v>612.015</v>
      </c>
      <c r="N588" s="16">
        <f t="shared" si="46"/>
        <v>1.70091883042082</v>
      </c>
      <c r="Q588" s="14">
        <v>1.63293</v>
      </c>
      <c r="R588" s="17">
        <v>0.382498149216439</v>
      </c>
      <c r="S588" s="17">
        <f t="shared" si="47"/>
        <v>11.4683325607855</v>
      </c>
      <c r="V588" s="18">
        <v>1.1527</v>
      </c>
      <c r="Y588" s="14">
        <v>1473.7017</v>
      </c>
      <c r="Z588" s="19">
        <f t="shared" si="48"/>
        <v>0.706376221185061</v>
      </c>
    </row>
    <row r="589" spans="1:26">
      <c r="A589" s="1" t="s">
        <v>609</v>
      </c>
      <c r="B589" s="1">
        <v>1040988978</v>
      </c>
      <c r="C589" s="2">
        <v>0.932452</v>
      </c>
      <c r="E589" s="14">
        <f t="shared" si="49"/>
        <v>0.58098066931626</v>
      </c>
      <c r="F589" s="11">
        <v>6.697663477</v>
      </c>
      <c r="G589" s="15">
        <v>3.89121300972253</v>
      </c>
      <c r="I589" s="14">
        <v>0.512771</v>
      </c>
      <c r="J589" s="13">
        <f t="shared" si="45"/>
        <v>2.03012451562198</v>
      </c>
      <c r="M589" s="14">
        <v>575.211</v>
      </c>
      <c r="N589" s="16">
        <f t="shared" si="46"/>
        <v>1.80975151379233</v>
      </c>
      <c r="Q589" s="14">
        <v>1.65404</v>
      </c>
      <c r="R589" s="17">
        <v>0.377616857391599</v>
      </c>
      <c r="S589" s="17">
        <f t="shared" si="47"/>
        <v>10.304659163262</v>
      </c>
      <c r="V589" s="18">
        <v>1.09376</v>
      </c>
      <c r="Y589" s="14">
        <v>1422.185</v>
      </c>
      <c r="Z589" s="19">
        <f t="shared" si="48"/>
        <v>0.731964532040487</v>
      </c>
    </row>
    <row r="590" spans="1:26">
      <c r="A590" s="1" t="s">
        <v>610</v>
      </c>
      <c r="B590" s="1">
        <v>1040988978</v>
      </c>
      <c r="C590" s="2">
        <v>0.932452</v>
      </c>
      <c r="E590" s="14">
        <f t="shared" si="49"/>
        <v>2.10344254944376</v>
      </c>
      <c r="F590" s="11">
        <v>5.892544768</v>
      </c>
      <c r="G590" s="15">
        <v>12.3946293895134</v>
      </c>
      <c r="I590" s="14">
        <v>0.499112</v>
      </c>
      <c r="J590" s="13">
        <f t="shared" si="45"/>
        <v>2.08568212745837</v>
      </c>
      <c r="M590" s="14">
        <v>537.97</v>
      </c>
      <c r="N590" s="16">
        <f t="shared" si="46"/>
        <v>1.93503165232262</v>
      </c>
      <c r="Q590" s="14">
        <v>1.66202</v>
      </c>
      <c r="R590" s="17">
        <v>0.375803772999122</v>
      </c>
      <c r="S590" s="17">
        <f t="shared" si="47"/>
        <v>32.981652341054</v>
      </c>
      <c r="V590" s="18">
        <v>1.18309</v>
      </c>
      <c r="Y590" s="14">
        <v>1464.555</v>
      </c>
      <c r="Z590" s="19">
        <f t="shared" si="48"/>
        <v>0.71078858629413</v>
      </c>
    </row>
    <row r="591" spans="1:26">
      <c r="A591" s="1" t="s">
        <v>611</v>
      </c>
      <c r="B591" s="1">
        <v>1165401468</v>
      </c>
      <c r="C591" s="2">
        <v>0.00497225</v>
      </c>
      <c r="E591" s="14">
        <f t="shared" si="49"/>
        <v>1.04232474124953</v>
      </c>
      <c r="F591" s="11">
        <v>1.061944666</v>
      </c>
      <c r="G591" s="15">
        <v>1.10689119920977</v>
      </c>
      <c r="I591" s="14">
        <v>0.885951</v>
      </c>
      <c r="J591" s="13">
        <f t="shared" si="45"/>
        <v>1.31542429321712</v>
      </c>
      <c r="M591" s="14">
        <v>15682.936</v>
      </c>
      <c r="N591" s="16">
        <f t="shared" si="46"/>
        <v>0.0743101590161434</v>
      </c>
      <c r="Q591" s="14">
        <v>0.0752649</v>
      </c>
      <c r="R591" s="17">
        <v>9.29039805805894</v>
      </c>
      <c r="S591" s="17">
        <f t="shared" si="47"/>
        <v>0.119143570845126</v>
      </c>
      <c r="V591" s="18">
        <v>1.12171</v>
      </c>
      <c r="Y591" s="14">
        <v>1507.125</v>
      </c>
      <c r="Z591" s="19">
        <f t="shared" si="48"/>
        <v>0.773261320726549</v>
      </c>
    </row>
    <row r="592" spans="1:26">
      <c r="A592" s="1" t="s">
        <v>612</v>
      </c>
      <c r="B592" s="1">
        <v>1192131702</v>
      </c>
      <c r="C592" s="2">
        <v>1</v>
      </c>
      <c r="E592" s="14">
        <f t="shared" si="49"/>
        <v>7.09553501310349</v>
      </c>
      <c r="F592" s="11">
        <v>7.100628919</v>
      </c>
      <c r="G592" s="15">
        <v>50.3827611098197</v>
      </c>
      <c r="I592" s="14">
        <v>0.037626</v>
      </c>
      <c r="J592" s="13">
        <f t="shared" si="45"/>
        <v>31.6837214160421</v>
      </c>
      <c r="M592" s="14">
        <v>309.537</v>
      </c>
      <c r="N592" s="16">
        <f t="shared" si="46"/>
        <v>3.8513382955834</v>
      </c>
      <c r="Q592" s="14">
        <v>0.109057</v>
      </c>
      <c r="R592" s="17">
        <v>6.55876304317925</v>
      </c>
      <c r="S592" s="17">
        <f t="shared" si="47"/>
        <v>7.68174742373335</v>
      </c>
      <c r="V592" s="18">
        <v>8.88143</v>
      </c>
      <c r="Y592" s="14">
        <v>48.9813</v>
      </c>
      <c r="Z592" s="19">
        <f t="shared" si="48"/>
        <v>24.3385067770762</v>
      </c>
    </row>
    <row r="593" spans="1:26">
      <c r="A593" s="1" t="s">
        <v>613</v>
      </c>
      <c r="B593" s="1">
        <v>1240402324</v>
      </c>
      <c r="C593" s="2">
        <v>1</v>
      </c>
      <c r="E593" s="14">
        <f t="shared" si="49"/>
        <v>2.26972225445678</v>
      </c>
      <c r="F593" s="11">
        <v>8.640993102</v>
      </c>
      <c r="G593" s="15">
        <v>19.6126543442169</v>
      </c>
      <c r="I593" s="14">
        <v>0.069568</v>
      </c>
      <c r="J593" s="13">
        <f t="shared" si="45"/>
        <v>17.8300702046918</v>
      </c>
      <c r="M593" s="14">
        <v>269.126</v>
      </c>
      <c r="N593" s="16">
        <f t="shared" si="46"/>
        <v>4.60900219228168</v>
      </c>
      <c r="Q593" s="14">
        <v>0.0236772</v>
      </c>
      <c r="R593" s="17">
        <v>22.0029807612387</v>
      </c>
      <c r="S593" s="17">
        <f t="shared" si="47"/>
        <v>0.891363518290545</v>
      </c>
      <c r="V593" s="18">
        <v>6.68416</v>
      </c>
      <c r="Y593" s="14">
        <v>146.8937</v>
      </c>
      <c r="Z593" s="19">
        <f t="shared" si="48"/>
        <v>8.4442173081623</v>
      </c>
    </row>
    <row r="594" spans="1:26">
      <c r="A594" s="1" t="s">
        <v>614</v>
      </c>
      <c r="B594" s="1">
        <v>1337750372</v>
      </c>
      <c r="C594" s="2">
        <v>0.267839</v>
      </c>
      <c r="E594" s="14">
        <f t="shared" si="49"/>
        <v>1.0572482694084</v>
      </c>
      <c r="F594" s="11">
        <v>2.676982743</v>
      </c>
      <c r="G594" s="15">
        <v>2.8302353722729</v>
      </c>
      <c r="I594" s="14">
        <v>0.396113</v>
      </c>
      <c r="J594" s="13">
        <f t="shared" si="45"/>
        <v>3.377193810857</v>
      </c>
      <c r="M594" s="14">
        <v>1865.725</v>
      </c>
      <c r="N594" s="16">
        <f t="shared" si="46"/>
        <v>0.717013692800386</v>
      </c>
      <c r="Q594" s="14">
        <v>0.00980787</v>
      </c>
      <c r="R594" s="17">
        <v>81.8373635865891</v>
      </c>
      <c r="S594" s="17">
        <f t="shared" si="47"/>
        <v>0.0345836577357277</v>
      </c>
      <c r="V594" s="18">
        <v>1.82989</v>
      </c>
      <c r="Y594" s="14">
        <v>1098.5333</v>
      </c>
      <c r="Z594" s="19">
        <f t="shared" si="48"/>
        <v>1.21776041927905</v>
      </c>
    </row>
    <row r="595" spans="1:26">
      <c r="A595" s="1" t="s">
        <v>615</v>
      </c>
      <c r="B595" s="1">
        <v>1357697784</v>
      </c>
      <c r="C595" s="2">
        <v>0.314159</v>
      </c>
      <c r="E595" s="14">
        <f t="shared" si="49"/>
        <v>1.24788242436796</v>
      </c>
      <c r="F595" s="11">
        <v>2.561093942</v>
      </c>
      <c r="G595" s="15">
        <v>3.19594411737705</v>
      </c>
      <c r="I595" s="14">
        <v>0.356339</v>
      </c>
      <c r="J595" s="13">
        <f t="shared" si="45"/>
        <v>3.81012963498242</v>
      </c>
      <c r="M595" s="14">
        <v>1145.85</v>
      </c>
      <c r="N595" s="16">
        <f t="shared" si="46"/>
        <v>1.18488264956146</v>
      </c>
      <c r="Q595" s="14">
        <v>0.0122837</v>
      </c>
      <c r="R595" s="17">
        <v>46.4219306300219</v>
      </c>
      <c r="S595" s="17">
        <f t="shared" si="47"/>
        <v>0.0688455666104971</v>
      </c>
      <c r="V595" s="18">
        <v>1.73469</v>
      </c>
      <c r="Y595" s="14">
        <v>1081.4717</v>
      </c>
      <c r="Z595" s="19">
        <f t="shared" si="48"/>
        <v>1.25541683984888</v>
      </c>
    </row>
    <row r="596" spans="1:26">
      <c r="A596" s="1" t="s">
        <v>616</v>
      </c>
      <c r="B596" s="1">
        <v>1762440102</v>
      </c>
      <c r="C596" s="2">
        <v>0.382009</v>
      </c>
      <c r="E596" s="14">
        <f t="shared" si="49"/>
        <v>0.454799776352724</v>
      </c>
      <c r="F596" s="11">
        <v>4.121110823</v>
      </c>
      <c r="G596" s="15">
        <v>1.87428028062519</v>
      </c>
      <c r="I596" s="14">
        <v>0.824152</v>
      </c>
      <c r="J596" s="13">
        <f t="shared" si="45"/>
        <v>2.13848914035275</v>
      </c>
      <c r="M596" s="14">
        <v>3249.367</v>
      </c>
      <c r="N596" s="16">
        <f t="shared" si="46"/>
        <v>0.54239490399207</v>
      </c>
      <c r="Q596" s="14">
        <v>1.02558</v>
      </c>
      <c r="R596" s="17">
        <v>1.03108880945416</v>
      </c>
      <c r="S596" s="17">
        <f t="shared" si="47"/>
        <v>1.81776803650638</v>
      </c>
      <c r="V596" s="18">
        <v>1.09593</v>
      </c>
      <c r="Y596" s="14">
        <v>2575.8267</v>
      </c>
      <c r="Z596" s="19">
        <f t="shared" si="48"/>
        <v>0.684223089231896</v>
      </c>
    </row>
    <row r="597" spans="1:26">
      <c r="A597" s="1" t="s">
        <v>617</v>
      </c>
      <c r="B597" s="1">
        <v>1809439090</v>
      </c>
      <c r="C597" s="2">
        <v>0.325966</v>
      </c>
      <c r="E597" s="14">
        <f t="shared" si="49"/>
        <v>0.618271434716516</v>
      </c>
      <c r="F597" s="11">
        <v>4.272909262</v>
      </c>
      <c r="G597" s="15">
        <v>2.64181773983023</v>
      </c>
      <c r="I597" s="14">
        <v>0.786836</v>
      </c>
      <c r="J597" s="13">
        <f t="shared" si="45"/>
        <v>2.29963942930928</v>
      </c>
      <c r="M597" s="14">
        <v>5393.704</v>
      </c>
      <c r="N597" s="16">
        <f t="shared" si="46"/>
        <v>0.335472448988673</v>
      </c>
      <c r="Q597" s="14">
        <v>1.0335</v>
      </c>
      <c r="R597" s="17">
        <v>1.05047262119013</v>
      </c>
      <c r="S597" s="17">
        <f t="shared" si="47"/>
        <v>2.51488490660251</v>
      </c>
      <c r="V597" s="18">
        <v>1.10541</v>
      </c>
      <c r="Y597" s="14">
        <v>2562.9933</v>
      </c>
      <c r="Z597" s="19">
        <f t="shared" si="48"/>
        <v>0.70598666410872</v>
      </c>
    </row>
    <row r="598" spans="1:26">
      <c r="A598" s="1" t="s">
        <v>618</v>
      </c>
      <c r="B598" s="1">
        <v>1809439090</v>
      </c>
      <c r="C598" s="2">
        <v>0.365697</v>
      </c>
      <c r="E598" s="14">
        <f t="shared" si="49"/>
        <v>0.44332442465102</v>
      </c>
      <c r="F598" s="11">
        <v>3.992061476</v>
      </c>
      <c r="G598" s="15">
        <v>1.7697783570192</v>
      </c>
      <c r="I598" s="14">
        <v>0.783532</v>
      </c>
      <c r="J598" s="13">
        <f t="shared" si="45"/>
        <v>2.30933655549486</v>
      </c>
      <c r="M598" s="14">
        <v>5610.425</v>
      </c>
      <c r="N598" s="16">
        <f t="shared" si="46"/>
        <v>0.322513729352054</v>
      </c>
      <c r="Q598" s="14">
        <v>1.05625</v>
      </c>
      <c r="R598" s="17">
        <v>1.02784705704142</v>
      </c>
      <c r="S598" s="17">
        <f t="shared" si="47"/>
        <v>1.72183044636366</v>
      </c>
      <c r="V598" s="18">
        <v>1.08532</v>
      </c>
      <c r="Y598" s="14">
        <v>2516.0617</v>
      </c>
      <c r="Z598" s="19">
        <f t="shared" si="48"/>
        <v>0.719155293369793</v>
      </c>
    </row>
    <row r="599" spans="1:26">
      <c r="A599" s="1" t="s">
        <v>619</v>
      </c>
      <c r="B599" s="1">
        <v>1812018218</v>
      </c>
      <c r="C599" s="2">
        <v>0.334719</v>
      </c>
      <c r="E599" s="14">
        <f t="shared" si="49"/>
        <v>0.417292800869875</v>
      </c>
      <c r="F599" s="11">
        <v>3.895049851</v>
      </c>
      <c r="G599" s="15">
        <v>1.62537626185158</v>
      </c>
      <c r="I599" s="14">
        <v>0.795648</v>
      </c>
      <c r="J599" s="13">
        <f t="shared" si="45"/>
        <v>2.277411893199</v>
      </c>
      <c r="M599" s="14">
        <v>2570.522</v>
      </c>
      <c r="N599" s="16">
        <f t="shared" si="46"/>
        <v>0.70492227570898</v>
      </c>
      <c r="Q599" s="14">
        <v>1.00357</v>
      </c>
      <c r="R599" s="17">
        <v>1.08334339488028</v>
      </c>
      <c r="S599" s="17">
        <f t="shared" si="47"/>
        <v>1.5003333841632</v>
      </c>
      <c r="V599" s="18">
        <v>1.10614</v>
      </c>
      <c r="Y599" s="14">
        <v>2577.8567</v>
      </c>
      <c r="Z599" s="19">
        <f t="shared" si="48"/>
        <v>0.702916581049676</v>
      </c>
    </row>
    <row r="600" spans="1:26">
      <c r="A600" s="1" t="s">
        <v>620</v>
      </c>
      <c r="B600" s="1">
        <v>1821434330</v>
      </c>
      <c r="C600" s="2">
        <v>0.372467</v>
      </c>
      <c r="E600" s="14">
        <f t="shared" si="49"/>
        <v>0.427596333715878</v>
      </c>
      <c r="F600" s="11">
        <v>4.159949617</v>
      </c>
      <c r="G600" s="15">
        <v>1.77877920467197</v>
      </c>
      <c r="I600" s="14">
        <v>0.810494</v>
      </c>
      <c r="J600" s="13">
        <f t="shared" si="45"/>
        <v>2.24731377406865</v>
      </c>
      <c r="M600" s="14">
        <v>2356.167</v>
      </c>
      <c r="N600" s="16">
        <f t="shared" si="46"/>
        <v>0.773049758357536</v>
      </c>
      <c r="Q600" s="14">
        <v>0.973907</v>
      </c>
      <c r="R600" s="17">
        <v>1.12214061301541</v>
      </c>
      <c r="S600" s="17">
        <f t="shared" si="47"/>
        <v>1.58516605142028</v>
      </c>
      <c r="V600" s="18">
        <v>1.15782</v>
      </c>
      <c r="Y600" s="14">
        <v>2518.66</v>
      </c>
      <c r="Z600" s="19">
        <f t="shared" si="48"/>
        <v>0.723175946733581</v>
      </c>
    </row>
    <row r="601" spans="1:26">
      <c r="A601" s="1" t="s">
        <v>621</v>
      </c>
      <c r="B601" s="1">
        <v>1821434330</v>
      </c>
      <c r="C601" s="2">
        <v>0.372467</v>
      </c>
      <c r="E601" s="14">
        <f t="shared" si="49"/>
        <v>0.44403027362869</v>
      </c>
      <c r="F601" s="11">
        <v>4.138940253</v>
      </c>
      <c r="G601" s="15">
        <v>1.83781477307239</v>
      </c>
      <c r="I601" s="14">
        <v>0.810395</v>
      </c>
      <c r="J601" s="13">
        <f t="shared" si="45"/>
        <v>2.24758831187261</v>
      </c>
      <c r="M601" s="14">
        <v>2246.896</v>
      </c>
      <c r="N601" s="16">
        <f t="shared" si="46"/>
        <v>0.810644698285991</v>
      </c>
      <c r="Q601" s="14">
        <v>1.04269</v>
      </c>
      <c r="R601" s="17">
        <v>1.04811650442605</v>
      </c>
      <c r="S601" s="17">
        <f t="shared" si="47"/>
        <v>1.7534451230484</v>
      </c>
      <c r="V601" s="18">
        <v>1.03444</v>
      </c>
      <c r="Y601" s="14">
        <v>2543.0717</v>
      </c>
      <c r="Z601" s="19">
        <f t="shared" si="48"/>
        <v>0.716233966191358</v>
      </c>
    </row>
    <row r="602" spans="1:26">
      <c r="A602" s="1" t="s">
        <v>622</v>
      </c>
      <c r="B602" s="1">
        <v>7760091282</v>
      </c>
      <c r="C602" s="2">
        <v>0.331557</v>
      </c>
      <c r="E602" s="14">
        <f t="shared" si="49"/>
        <v>0.661348020500696</v>
      </c>
      <c r="F602" s="11">
        <v>3.102705183</v>
      </c>
      <c r="G602" s="15">
        <v>2.0519679309743</v>
      </c>
      <c r="I602" s="14">
        <v>3.240845</v>
      </c>
      <c r="J602" s="13">
        <f t="shared" si="45"/>
        <v>2.39446541935822</v>
      </c>
      <c r="M602" s="14">
        <v>0</v>
      </c>
      <c r="N602" s="16">
        <v>0</v>
      </c>
      <c r="Q602" s="14">
        <v>4.62717</v>
      </c>
      <c r="R602" s="17">
        <v>1.00624242662362</v>
      </c>
      <c r="S602" s="17">
        <f t="shared" si="47"/>
        <v>2.03923813653887</v>
      </c>
      <c r="V602" s="18">
        <v>1.1115</v>
      </c>
      <c r="Y602" s="14" t="s">
        <v>623</v>
      </c>
      <c r="Z602" s="19">
        <v>0</v>
      </c>
    </row>
    <row r="603" spans="1:26">
      <c r="A603" s="1" t="s">
        <v>624</v>
      </c>
      <c r="B603" s="1">
        <v>16489419010</v>
      </c>
      <c r="C603" s="2">
        <v>0.1093</v>
      </c>
      <c r="E603" s="14">
        <f t="shared" si="49"/>
        <v>0.56239742764214</v>
      </c>
      <c r="F603" s="11">
        <v>11.724430346</v>
      </c>
      <c r="G603" s="15">
        <v>6.59378946715985</v>
      </c>
      <c r="I603" s="14">
        <v>1.69984</v>
      </c>
      <c r="J603" s="13">
        <f t="shared" si="45"/>
        <v>9.70057123611634</v>
      </c>
      <c r="M603" s="14">
        <v>7440.543</v>
      </c>
      <c r="N603" s="16">
        <f>B603/M603/1000000</f>
        <v>2.21615801561795</v>
      </c>
      <c r="Q603" s="14">
        <v>2.91572</v>
      </c>
      <c r="R603" s="17">
        <v>3.39321039263029</v>
      </c>
      <c r="S603" s="17">
        <f t="shared" si="47"/>
        <v>1.94323036422407</v>
      </c>
      <c r="V603" s="18">
        <v>1.04113</v>
      </c>
      <c r="Y603" s="14">
        <v>5827.3033</v>
      </c>
      <c r="Z603" s="19">
        <f>B603/Y603/1000000</f>
        <v>2.8296826441143</v>
      </c>
    </row>
    <row r="604" spans="1:26">
      <c r="A604" s="1" t="s">
        <v>625</v>
      </c>
      <c r="B604" s="1">
        <v>23259770310</v>
      </c>
      <c r="C604" s="2">
        <v>0.3163</v>
      </c>
      <c r="E604" s="14">
        <f t="shared" si="49"/>
        <v>0.718576152882437</v>
      </c>
      <c r="F604" s="11">
        <v>2.613521582</v>
      </c>
      <c r="G604" s="15">
        <v>1.87801428386878</v>
      </c>
      <c r="I604" s="14" t="s">
        <v>626</v>
      </c>
      <c r="J604" s="13">
        <v>0</v>
      </c>
      <c r="M604" s="14">
        <v>0</v>
      </c>
      <c r="N604" s="16">
        <v>0</v>
      </c>
      <c r="Q604" s="14">
        <v>15.5162</v>
      </c>
      <c r="R604" s="17">
        <v>0.899438147613462</v>
      </c>
      <c r="S604" s="17">
        <f t="shared" si="47"/>
        <v>2.08798602644533</v>
      </c>
      <c r="V604" s="18">
        <v>1.16206</v>
      </c>
      <c r="Y604" s="14" t="s">
        <v>623</v>
      </c>
      <c r="Z604" s="19">
        <v>0</v>
      </c>
    </row>
    <row r="605" spans="1:26">
      <c r="A605" s="1" t="s">
        <v>627</v>
      </c>
      <c r="B605" s="1">
        <v>24864000506</v>
      </c>
      <c r="C605" s="2">
        <v>0.288956</v>
      </c>
      <c r="E605" s="14">
        <f t="shared" si="49"/>
        <v>0.831818493476406</v>
      </c>
      <c r="F605" s="11">
        <v>2.289596249</v>
      </c>
      <c r="G605" s="15">
        <v>1.90452850251241</v>
      </c>
      <c r="I605" s="14" t="s">
        <v>626</v>
      </c>
      <c r="J605" s="13">
        <v>0</v>
      </c>
      <c r="M605" s="14">
        <v>0</v>
      </c>
      <c r="N605" s="16">
        <v>0</v>
      </c>
      <c r="Q605" s="14">
        <v>16.2191</v>
      </c>
      <c r="R605" s="17">
        <v>0.919804446831205</v>
      </c>
      <c r="S605" s="17">
        <f t="shared" si="47"/>
        <v>2.07057979451355</v>
      </c>
      <c r="V605" s="18">
        <v>1.18781</v>
      </c>
      <c r="Y605" s="14" t="s">
        <v>623</v>
      </c>
      <c r="Z605" s="19">
        <v>0</v>
      </c>
    </row>
    <row r="606" spans="1:26">
      <c r="A606" s="1" t="s">
        <v>628</v>
      </c>
      <c r="B606" s="1">
        <v>26088428220</v>
      </c>
      <c r="C606" s="2">
        <v>0.881265</v>
      </c>
      <c r="E606" s="14">
        <f t="shared" si="49"/>
        <v>1.30465502558728</v>
      </c>
      <c r="F606" s="11">
        <v>2.183656418</v>
      </c>
      <c r="G606" s="15">
        <v>2.84891831989962</v>
      </c>
      <c r="I606" s="14" t="s">
        <v>626</v>
      </c>
      <c r="J606" s="13">
        <v>0</v>
      </c>
      <c r="M606" s="14">
        <v>0</v>
      </c>
      <c r="N606" s="16">
        <v>0</v>
      </c>
      <c r="Q606" s="14" t="s">
        <v>626</v>
      </c>
      <c r="R606" s="17">
        <v>0</v>
      </c>
      <c r="S606" s="17" t="e">
        <f t="shared" si="47"/>
        <v>#DIV/0!</v>
      </c>
      <c r="V606" s="18">
        <v>1.16794</v>
      </c>
      <c r="Y606" s="14" t="s">
        <v>623</v>
      </c>
      <c r="Z606" s="19">
        <v>0</v>
      </c>
    </row>
    <row r="607" spans="1:26">
      <c r="A607" s="1" t="s">
        <v>629</v>
      </c>
      <c r="B607" s="1">
        <v>26088428220</v>
      </c>
      <c r="C607" s="2">
        <v>0.873237</v>
      </c>
      <c r="E607" s="14">
        <f t="shared" si="49"/>
        <v>1.33824861167196</v>
      </c>
      <c r="F607" s="11">
        <v>2.126439781</v>
      </c>
      <c r="G607" s="15">
        <v>2.84570508472727</v>
      </c>
      <c r="I607" s="14" t="s">
        <v>626</v>
      </c>
      <c r="J607" s="13">
        <v>0</v>
      </c>
      <c r="M607" s="14">
        <v>0</v>
      </c>
      <c r="N607" s="16">
        <v>0</v>
      </c>
      <c r="Q607" s="14" t="s">
        <v>626</v>
      </c>
      <c r="R607" s="17">
        <v>0</v>
      </c>
      <c r="S607" s="17" t="e">
        <f t="shared" si="47"/>
        <v>#DIV/0!</v>
      </c>
      <c r="V607" s="18">
        <v>1.13776</v>
      </c>
      <c r="Y607" s="14" t="s">
        <v>623</v>
      </c>
      <c r="Z607" s="19">
        <v>0</v>
      </c>
    </row>
    <row r="608" spans="1:26">
      <c r="A608" s="1" t="s">
        <v>630</v>
      </c>
      <c r="B608" s="1">
        <v>26088428220</v>
      </c>
      <c r="C608" s="2">
        <v>0.884939</v>
      </c>
      <c r="E608" s="14">
        <f t="shared" si="49"/>
        <v>1.37121145468461</v>
      </c>
      <c r="F608" s="11">
        <v>2.189319839</v>
      </c>
      <c r="G608" s="15">
        <v>3.00202044120507</v>
      </c>
      <c r="I608" s="14" t="s">
        <v>626</v>
      </c>
      <c r="J608" s="13">
        <v>0</v>
      </c>
      <c r="M608" s="14">
        <v>0</v>
      </c>
      <c r="N608" s="16">
        <v>0</v>
      </c>
      <c r="Q608" s="14" t="s">
        <v>626</v>
      </c>
      <c r="R608" s="17">
        <v>0</v>
      </c>
      <c r="S608" s="17" t="e">
        <f t="shared" si="47"/>
        <v>#DIV/0!</v>
      </c>
      <c r="V608" s="18">
        <v>1.16139</v>
      </c>
      <c r="Y608" s="14" t="s">
        <v>623</v>
      </c>
      <c r="Z608" s="19">
        <v>0</v>
      </c>
    </row>
    <row r="609" spans="1:26">
      <c r="A609" s="1" t="s">
        <v>631</v>
      </c>
      <c r="B609" s="1">
        <v>26088428220</v>
      </c>
      <c r="C609" s="2">
        <v>0.873237</v>
      </c>
      <c r="E609" s="14">
        <f t="shared" si="49"/>
        <v>1.22960513704471</v>
      </c>
      <c r="F609" s="11">
        <v>2.233653422</v>
      </c>
      <c r="G609" s="15">
        <v>2.74651172206869</v>
      </c>
      <c r="I609" s="14" t="s">
        <v>626</v>
      </c>
      <c r="J609" s="13">
        <v>0</v>
      </c>
      <c r="M609" s="14">
        <v>0</v>
      </c>
      <c r="N609" s="16">
        <v>0</v>
      </c>
      <c r="Q609" s="14" t="s">
        <v>626</v>
      </c>
      <c r="R609" s="17">
        <v>0</v>
      </c>
      <c r="S609" s="17" t="e">
        <f t="shared" si="47"/>
        <v>#DIV/0!</v>
      </c>
      <c r="V609" s="18">
        <v>1.20347</v>
      </c>
      <c r="Y609" s="14" t="s">
        <v>623</v>
      </c>
      <c r="Z609" s="19">
        <v>0</v>
      </c>
    </row>
    <row r="610" spans="1:26">
      <c r="A610" s="1" t="s">
        <v>632</v>
      </c>
      <c r="B610" s="1">
        <v>26088428220</v>
      </c>
      <c r="C610" s="2">
        <v>0.905336</v>
      </c>
      <c r="E610" s="14">
        <f t="shared" si="49"/>
        <v>1.25719499151038</v>
      </c>
      <c r="F610" s="11">
        <v>2.226806524</v>
      </c>
      <c r="G610" s="15">
        <v>2.79953000903544</v>
      </c>
      <c r="I610" s="14" t="s">
        <v>626</v>
      </c>
      <c r="J610" s="13">
        <v>0</v>
      </c>
      <c r="M610" s="14">
        <v>0</v>
      </c>
      <c r="N610" s="16">
        <v>0</v>
      </c>
      <c r="Q610" s="14" t="s">
        <v>626</v>
      </c>
      <c r="R610" s="17">
        <v>0</v>
      </c>
      <c r="S610" s="17" t="e">
        <f t="shared" si="47"/>
        <v>#DIV/0!</v>
      </c>
      <c r="V610" s="18">
        <v>1.15999</v>
      </c>
      <c r="Y610" s="14" t="s">
        <v>623</v>
      </c>
      <c r="Z610" s="19">
        <v>0</v>
      </c>
    </row>
    <row r="611" spans="1:26">
      <c r="A611" s="1" t="s">
        <v>633</v>
      </c>
      <c r="B611" s="1">
        <v>35218253702</v>
      </c>
      <c r="C611" s="2">
        <v>0.999738</v>
      </c>
      <c r="E611" s="14">
        <f t="shared" si="49"/>
        <v>1.11135429738145</v>
      </c>
      <c r="F611" s="11">
        <v>4.206063588</v>
      </c>
      <c r="G611" s="15">
        <v>4.67442684358343</v>
      </c>
      <c r="I611" s="14" t="s">
        <v>626</v>
      </c>
      <c r="J611" s="13">
        <v>0</v>
      </c>
      <c r="M611" s="14">
        <v>0</v>
      </c>
      <c r="N611" s="16">
        <v>0</v>
      </c>
      <c r="Q611" s="14">
        <v>28.4366</v>
      </c>
      <c r="R611" s="17">
        <v>0.74308996930716</v>
      </c>
      <c r="S611" s="17">
        <f t="shared" si="47"/>
        <v>6.2905260959743</v>
      </c>
      <c r="V611" s="18">
        <v>1.80247</v>
      </c>
      <c r="Y611" s="14" t="s">
        <v>623</v>
      </c>
      <c r="Z611" s="19">
        <v>0</v>
      </c>
    </row>
  </sheetData>
  <autoFilter xmlns:etc="http://www.wps.cn/officeDocument/2017/etCustomData" ref="A1:AA611" etc:filterBottomFollowUsedRange="0">
    <sortState ref="A1:AA611">
      <sortCondition ref="B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11"/>
  <sheetViews>
    <sheetView zoomScale="80" zoomScaleNormal="80" workbookViewId="0">
      <selection activeCell="AA1" sqref="AA$1:AA$1048576"/>
    </sheetView>
  </sheetViews>
  <sheetFormatPr defaultColWidth="9.23076923076923" defaultRowHeight="16.8"/>
  <cols>
    <col min="1" max="1" width="20.8173076923077" style="1" customWidth="1"/>
    <col min="2" max="2" width="13.6442307692308" style="1" customWidth="1"/>
    <col min="3" max="3" width="13.2115384615385" style="2" customWidth="1"/>
    <col min="5" max="6" width="12.9230769230769"/>
    <col min="7" max="7" width="12.9230769230769" style="3"/>
    <col min="8" max="8" width="12.9230769230769" style="4"/>
    <col min="10" max="10" width="10.3846153846154"/>
    <col min="11" max="11" width="12.9230769230769" style="5"/>
    <col min="12" max="13" width="12.9230769230769"/>
    <col min="14" max="15" width="11.7692307692308"/>
    <col min="16" max="16" width="12.9230769230769" style="6"/>
    <col min="17" max="18" width="12.9230769230769" style="4"/>
    <col min="20" max="20" width="10.6923076923077"/>
    <col min="21" max="21" width="12.9230769230769" style="7"/>
    <col min="22" max="25" width="12.9230769230769"/>
    <col min="26" max="26" width="12.9230769230769" style="8"/>
    <col min="27" max="28" width="12.9230769230769"/>
    <col min="29" max="29" width="9.69230769230769"/>
    <col min="30" max="30" width="9.69230769230769" style="9"/>
    <col min="31" max="32" width="12.9230769230769"/>
    <col min="34" max="34" width="12.5" customWidth="1"/>
    <col min="35" max="35" width="15.3846153846154" style="10" customWidth="1"/>
    <col min="36" max="36" width="11.375" customWidth="1"/>
    <col min="37" max="37" width="12.9230769230769"/>
  </cols>
  <sheetData>
    <row r="1" spans="1:37">
      <c r="A1" s="1" t="s">
        <v>0</v>
      </c>
      <c r="B1" s="1" t="s">
        <v>1</v>
      </c>
      <c r="C1" s="2" t="s">
        <v>2</v>
      </c>
      <c r="E1" t="s">
        <v>634</v>
      </c>
      <c r="F1" t="s">
        <v>635</v>
      </c>
      <c r="G1" s="11" t="s">
        <v>5</v>
      </c>
      <c r="H1" s="12"/>
      <c r="I1" t="s">
        <v>636</v>
      </c>
      <c r="J1" t="s">
        <v>637</v>
      </c>
      <c r="K1" s="5" t="s">
        <v>6</v>
      </c>
      <c r="L1" t="s">
        <v>638</v>
      </c>
      <c r="M1" t="s">
        <v>3</v>
      </c>
      <c r="O1" t="s">
        <v>639</v>
      </c>
      <c r="P1" s="13" t="s">
        <v>8</v>
      </c>
      <c r="Q1" t="s">
        <v>640</v>
      </c>
      <c r="R1" t="s">
        <v>9</v>
      </c>
      <c r="T1" t="s">
        <v>641</v>
      </c>
      <c r="U1" s="7" t="s">
        <v>11</v>
      </c>
      <c r="V1" t="s">
        <v>642</v>
      </c>
      <c r="W1" t="s">
        <v>12</v>
      </c>
      <c r="Y1" t="s">
        <v>643</v>
      </c>
      <c r="Z1" s="8" t="s">
        <v>14</v>
      </c>
      <c r="AA1" t="s">
        <v>644</v>
      </c>
      <c r="AB1" t="s">
        <v>16</v>
      </c>
      <c r="AD1" s="9" t="s">
        <v>17</v>
      </c>
      <c r="AE1" t="s">
        <v>645</v>
      </c>
      <c r="AF1" t="s">
        <v>18</v>
      </c>
      <c r="AH1" t="s">
        <v>646</v>
      </c>
      <c r="AI1" s="10" t="s">
        <v>20</v>
      </c>
      <c r="AJ1" t="s">
        <v>647</v>
      </c>
      <c r="AK1" t="s">
        <v>21</v>
      </c>
    </row>
    <row r="2" spans="1:37">
      <c r="A2" s="1" t="s">
        <v>22</v>
      </c>
      <c r="B2" s="1">
        <v>802816</v>
      </c>
      <c r="C2" s="2">
        <v>0.0413848</v>
      </c>
      <c r="E2">
        <v>1.232753</v>
      </c>
      <c r="F2">
        <v>651.23823</v>
      </c>
      <c r="G2" s="3">
        <f t="shared" ref="G2:G65" si="0">F2/1000</f>
        <v>0.65123823</v>
      </c>
      <c r="I2" t="s">
        <v>22</v>
      </c>
      <c r="J2">
        <v>1.73945</v>
      </c>
      <c r="K2" s="5">
        <f t="shared" ref="K2:K65" si="1">B2/J2/1000000</f>
        <v>0.461534393055276</v>
      </c>
      <c r="L2">
        <f t="shared" ref="L2:L65" si="2">K2/G2</f>
        <v>0.708702855259704</v>
      </c>
      <c r="O2">
        <v>0.0007056</v>
      </c>
      <c r="P2" s="6">
        <f t="shared" ref="P2:P65" si="3">B2/O2/1000000000</f>
        <v>1.13777777777778</v>
      </c>
      <c r="Q2" s="4">
        <f t="shared" ref="Q2:Q65" si="4">K2/P2</f>
        <v>0.405645462646239</v>
      </c>
      <c r="T2">
        <v>1.434</v>
      </c>
      <c r="U2" s="7">
        <f t="shared" ref="U2:U65" si="5">B2/T2/1000000</f>
        <v>0.559843793584379</v>
      </c>
      <c r="V2">
        <f t="shared" ref="V2:V65" si="6">K2/U2</f>
        <v>0.824398516772543</v>
      </c>
      <c r="Y2">
        <v>0.00386874</v>
      </c>
      <c r="Z2" s="8">
        <v>0.124508134431365</v>
      </c>
      <c r="AA2">
        <f t="shared" ref="AA2:AA65" si="7">K2/Z2</f>
        <v>3.70686136422433</v>
      </c>
      <c r="AD2" s="9">
        <v>0.730086</v>
      </c>
      <c r="AE2">
        <f t="shared" ref="AE2:AE65" si="8">K2/AD2</f>
        <v>0.63216442043167</v>
      </c>
      <c r="AH2">
        <v>1.8052</v>
      </c>
      <c r="AI2" s="10">
        <f t="shared" ref="AI2:AI65" si="9">B2/AH2/1000000</f>
        <v>0.444724130290273</v>
      </c>
      <c r="AJ2">
        <f t="shared" ref="AJ2:AJ65" si="10">K2/AI2</f>
        <v>1.03779930437782</v>
      </c>
    </row>
    <row r="3" spans="1:37">
      <c r="A3" s="1" t="s">
        <v>23</v>
      </c>
      <c r="B3" s="1">
        <v>884736</v>
      </c>
      <c r="C3" s="2">
        <v>0</v>
      </c>
      <c r="E3">
        <v>1.834011</v>
      </c>
      <c r="F3">
        <v>482.404864</v>
      </c>
      <c r="G3" s="3">
        <f t="shared" si="0"/>
        <v>0.482404864</v>
      </c>
      <c r="I3" t="s">
        <v>23</v>
      </c>
      <c r="J3">
        <v>0.768428</v>
      </c>
      <c r="K3" s="5">
        <f t="shared" si="1"/>
        <v>1.15135835758197</v>
      </c>
      <c r="L3">
        <f t="shared" si="2"/>
        <v>2.38670553201962</v>
      </c>
      <c r="O3">
        <v>0.0006496</v>
      </c>
      <c r="P3" s="6">
        <f t="shared" si="3"/>
        <v>1.36197044334975</v>
      </c>
      <c r="Q3" s="4">
        <f t="shared" si="4"/>
        <v>0.845362220012805</v>
      </c>
      <c r="T3">
        <v>1.219</v>
      </c>
      <c r="U3" s="7">
        <f t="shared" si="5"/>
        <v>0.725788351107465</v>
      </c>
      <c r="V3">
        <f t="shared" si="6"/>
        <v>1.58635552062132</v>
      </c>
      <c r="Y3">
        <v>0.003079422</v>
      </c>
      <c r="Z3" s="8">
        <v>0.172383518725267</v>
      </c>
      <c r="AA3">
        <f t="shared" si="7"/>
        <v>6.67905125789275</v>
      </c>
      <c r="AD3" s="9">
        <v>0.853263</v>
      </c>
      <c r="AE3">
        <f t="shared" si="8"/>
        <v>1.34935929201427</v>
      </c>
      <c r="AH3">
        <v>1.5689</v>
      </c>
      <c r="AI3" s="10">
        <f t="shared" si="9"/>
        <v>0.563921218688253</v>
      </c>
      <c r="AJ3">
        <f t="shared" si="10"/>
        <v>2.04170071887021</v>
      </c>
    </row>
    <row r="4" spans="1:37">
      <c r="A4" s="1" t="s">
        <v>24</v>
      </c>
      <c r="B4" s="1">
        <v>971290</v>
      </c>
      <c r="C4" s="2">
        <v>0.178177</v>
      </c>
      <c r="E4">
        <v>1.216428</v>
      </c>
      <c r="F4">
        <v>798.477284</v>
      </c>
      <c r="G4" s="3">
        <f t="shared" si="0"/>
        <v>0.798477284</v>
      </c>
      <c r="I4" t="s">
        <v>24</v>
      </c>
      <c r="J4">
        <v>0.51382</v>
      </c>
      <c r="K4" s="5">
        <f t="shared" si="1"/>
        <v>1.89033124440466</v>
      </c>
      <c r="L4">
        <f t="shared" si="2"/>
        <v>2.36742019126076</v>
      </c>
      <c r="O4">
        <v>0.0005216</v>
      </c>
      <c r="P4" s="6">
        <f t="shared" si="3"/>
        <v>1.86213573619632</v>
      </c>
      <c r="Q4" s="4">
        <f t="shared" si="4"/>
        <v>1.01514148923748</v>
      </c>
      <c r="T4">
        <v>1.099</v>
      </c>
      <c r="U4" s="7">
        <f t="shared" si="5"/>
        <v>0.883794358507734</v>
      </c>
      <c r="V4">
        <f t="shared" si="6"/>
        <v>2.13888132030672</v>
      </c>
      <c r="Y4">
        <v>0.00294372</v>
      </c>
      <c r="Z4" s="8">
        <v>0.197971953854307</v>
      </c>
      <c r="AA4">
        <f t="shared" si="7"/>
        <v>9.54848001245571</v>
      </c>
      <c r="AD4" s="9">
        <v>1.241514</v>
      </c>
      <c r="AE4">
        <f t="shared" si="8"/>
        <v>1.52260163349318</v>
      </c>
      <c r="AH4">
        <v>0.7968</v>
      </c>
      <c r="AI4" s="10">
        <f t="shared" si="9"/>
        <v>1.21898845381526</v>
      </c>
      <c r="AJ4">
        <f t="shared" si="10"/>
        <v>1.55073761239344</v>
      </c>
    </row>
    <row r="5" spans="1:37">
      <c r="A5" s="1" t="s">
        <v>25</v>
      </c>
      <c r="B5" s="1">
        <v>1038412</v>
      </c>
      <c r="C5" s="2">
        <v>0.568278</v>
      </c>
      <c r="E5">
        <v>1.292815</v>
      </c>
      <c r="F5">
        <v>803.217878</v>
      </c>
      <c r="G5" s="3">
        <f t="shared" si="0"/>
        <v>0.803217878</v>
      </c>
      <c r="I5" t="s">
        <v>25</v>
      </c>
      <c r="J5">
        <v>1.04414</v>
      </c>
      <c r="K5" s="5">
        <f t="shared" si="1"/>
        <v>0.994514145612657</v>
      </c>
      <c r="L5">
        <f t="shared" si="2"/>
        <v>1.23816236273149</v>
      </c>
      <c r="O5">
        <v>0.0015824</v>
      </c>
      <c r="P5" s="6">
        <f t="shared" si="3"/>
        <v>0.656225985844287</v>
      </c>
      <c r="Q5" s="4">
        <f t="shared" si="4"/>
        <v>1.51550558354244</v>
      </c>
      <c r="T5">
        <v>2.285</v>
      </c>
      <c r="U5" s="7">
        <f t="shared" si="5"/>
        <v>0.454447264770241</v>
      </c>
      <c r="V5">
        <f t="shared" si="6"/>
        <v>2.18840385388932</v>
      </c>
      <c r="Y5">
        <v>0.002917782</v>
      </c>
      <c r="Z5" s="8">
        <v>0.213534527253921</v>
      </c>
      <c r="AA5">
        <f t="shared" si="7"/>
        <v>4.65739268680445</v>
      </c>
      <c r="AD5" s="9">
        <v>0.564099</v>
      </c>
      <c r="AE5">
        <f t="shared" si="8"/>
        <v>1.76301348808039</v>
      </c>
      <c r="AH5">
        <v>2.7508</v>
      </c>
      <c r="AI5" s="10">
        <f t="shared" si="9"/>
        <v>0.377494547040861</v>
      </c>
      <c r="AJ5">
        <f t="shared" si="10"/>
        <v>2.6345126132511</v>
      </c>
    </row>
    <row r="6" spans="1:37">
      <c r="A6" s="1" t="s">
        <v>26</v>
      </c>
      <c r="B6" s="1">
        <v>1068740</v>
      </c>
      <c r="C6" s="2">
        <v>0.0331953</v>
      </c>
      <c r="E6">
        <v>1.15974</v>
      </c>
      <c r="F6">
        <v>921.53415</v>
      </c>
      <c r="G6" s="3">
        <f t="shared" si="0"/>
        <v>0.92153415</v>
      </c>
      <c r="I6" t="s">
        <v>26</v>
      </c>
      <c r="J6">
        <v>0.97032</v>
      </c>
      <c r="K6" s="5">
        <f t="shared" si="1"/>
        <v>1.10143045593206</v>
      </c>
      <c r="L6">
        <f t="shared" si="2"/>
        <v>1.19521393312669</v>
      </c>
      <c r="O6">
        <v>0.0007632</v>
      </c>
      <c r="P6" s="6">
        <f t="shared" si="3"/>
        <v>1.40034067085954</v>
      </c>
      <c r="Q6" s="4">
        <f t="shared" si="4"/>
        <v>0.786544645065546</v>
      </c>
      <c r="T6">
        <v>1.456</v>
      </c>
      <c r="U6" s="7">
        <f t="shared" si="5"/>
        <v>0.734024725274725</v>
      </c>
      <c r="V6">
        <f t="shared" si="6"/>
        <v>1.5005359056806</v>
      </c>
      <c r="Y6">
        <v>0.003734586</v>
      </c>
      <c r="Z6" s="8">
        <v>0.171704172832009</v>
      </c>
      <c r="AA6">
        <f t="shared" si="7"/>
        <v>6.4146982438783</v>
      </c>
      <c r="AD6" s="9">
        <v>0.871635</v>
      </c>
      <c r="AE6">
        <f t="shared" si="8"/>
        <v>1.26363725175339</v>
      </c>
      <c r="AH6">
        <v>3.4337</v>
      </c>
      <c r="AI6" s="10">
        <f t="shared" si="9"/>
        <v>0.311250254827154</v>
      </c>
      <c r="AJ6">
        <f t="shared" si="10"/>
        <v>3.53872949130184</v>
      </c>
    </row>
    <row r="7" spans="1:37">
      <c r="A7" s="1" t="s">
        <v>27</v>
      </c>
      <c r="B7" s="1">
        <v>1076636</v>
      </c>
      <c r="C7" s="2">
        <v>0.0106072</v>
      </c>
      <c r="E7">
        <v>2.011751</v>
      </c>
      <c r="F7">
        <v>535.173671</v>
      </c>
      <c r="G7" s="3">
        <f t="shared" si="0"/>
        <v>0.535173671</v>
      </c>
      <c r="I7" t="s">
        <v>27</v>
      </c>
      <c r="J7">
        <v>1.40945</v>
      </c>
      <c r="K7" s="5">
        <f t="shared" si="1"/>
        <v>0.763869594522686</v>
      </c>
      <c r="L7">
        <f t="shared" si="2"/>
        <v>1.42733029652852</v>
      </c>
      <c r="O7">
        <v>0.0011088</v>
      </c>
      <c r="P7" s="6">
        <f t="shared" si="3"/>
        <v>0.970992063492063</v>
      </c>
      <c r="Q7" s="4">
        <f t="shared" si="4"/>
        <v>0.786689843555997</v>
      </c>
      <c r="T7">
        <v>3.371</v>
      </c>
      <c r="U7" s="7">
        <f t="shared" si="5"/>
        <v>0.319381785820231</v>
      </c>
      <c r="V7">
        <f t="shared" si="6"/>
        <v>2.39171307957004</v>
      </c>
      <c r="Y7">
        <v>0.006510978</v>
      </c>
      <c r="Z7" s="8">
        <v>0.0992142194306293</v>
      </c>
      <c r="AA7">
        <f t="shared" si="7"/>
        <v>7.69919472134521</v>
      </c>
      <c r="AD7" s="9">
        <v>0.585888</v>
      </c>
      <c r="AE7">
        <f t="shared" si="8"/>
        <v>1.30378091806401</v>
      </c>
      <c r="AH7">
        <v>2.2117</v>
      </c>
      <c r="AI7" s="10">
        <f t="shared" si="9"/>
        <v>0.486791156124248</v>
      </c>
      <c r="AJ7">
        <f t="shared" si="10"/>
        <v>1.56919365710029</v>
      </c>
    </row>
    <row r="8" spans="1:37">
      <c r="A8" s="1" t="s">
        <v>28</v>
      </c>
      <c r="B8" s="1">
        <v>1083918</v>
      </c>
      <c r="C8" s="2">
        <v>0</v>
      </c>
      <c r="E8">
        <v>1.369637</v>
      </c>
      <c r="F8">
        <v>791.390634</v>
      </c>
      <c r="G8" s="3">
        <f t="shared" si="0"/>
        <v>0.791390634</v>
      </c>
      <c r="I8" t="s">
        <v>28</v>
      </c>
      <c r="J8">
        <v>1.14611</v>
      </c>
      <c r="K8" s="5">
        <f t="shared" si="1"/>
        <v>0.945736447635916</v>
      </c>
      <c r="L8">
        <f t="shared" si="2"/>
        <v>1.19503113507395</v>
      </c>
      <c r="O8">
        <v>0.0006368</v>
      </c>
      <c r="P8" s="6">
        <f t="shared" si="3"/>
        <v>1.70213253768844</v>
      </c>
      <c r="Q8" s="4">
        <f t="shared" si="4"/>
        <v>0.555618570643306</v>
      </c>
      <c r="T8">
        <v>1.26</v>
      </c>
      <c r="U8" s="7">
        <f t="shared" si="5"/>
        <v>0.860252380952381</v>
      </c>
      <c r="V8">
        <f t="shared" si="6"/>
        <v>1.09937091553167</v>
      </c>
      <c r="Y8">
        <v>0.00212895</v>
      </c>
      <c r="Z8" s="8">
        <v>0.30547960262101</v>
      </c>
      <c r="AA8">
        <f t="shared" si="7"/>
        <v>3.09590702463115</v>
      </c>
      <c r="AD8" s="9">
        <v>1.046397</v>
      </c>
      <c r="AE8">
        <f t="shared" si="8"/>
        <v>0.903802713153723</v>
      </c>
      <c r="AH8">
        <v>1.2023</v>
      </c>
      <c r="AI8" s="10">
        <f t="shared" si="9"/>
        <v>0.901537053979872</v>
      </c>
      <c r="AJ8">
        <f t="shared" si="10"/>
        <v>1.04902670773311</v>
      </c>
    </row>
    <row r="9" spans="1:37">
      <c r="A9" s="1" t="s">
        <v>29</v>
      </c>
      <c r="B9" s="1">
        <v>1121648</v>
      </c>
      <c r="C9" s="2">
        <v>0.000236072</v>
      </c>
      <c r="E9">
        <v>1.195471</v>
      </c>
      <c r="F9">
        <v>938.247907</v>
      </c>
      <c r="G9" s="3">
        <f t="shared" si="0"/>
        <v>0.938247907</v>
      </c>
      <c r="I9" t="s">
        <v>29</v>
      </c>
      <c r="J9">
        <v>0.944676</v>
      </c>
      <c r="K9" s="5">
        <f t="shared" si="1"/>
        <v>1.18733618722186</v>
      </c>
      <c r="L9">
        <f t="shared" si="2"/>
        <v>1.26548237237034</v>
      </c>
      <c r="O9">
        <v>0.0005888</v>
      </c>
      <c r="P9" s="6">
        <f t="shared" si="3"/>
        <v>1.90497282608696</v>
      </c>
      <c r="Q9" s="4">
        <f t="shared" si="4"/>
        <v>0.623282479919041</v>
      </c>
      <c r="T9">
        <v>1.222</v>
      </c>
      <c r="U9" s="7">
        <f t="shared" si="5"/>
        <v>0.917878887070376</v>
      </c>
      <c r="V9">
        <f t="shared" si="6"/>
        <v>1.29356520119067</v>
      </c>
      <c r="Y9">
        <v>0.003181212</v>
      </c>
      <c r="Z9" s="8">
        <v>0.211551069215129</v>
      </c>
      <c r="AA9">
        <f t="shared" si="7"/>
        <v>5.61252746973566</v>
      </c>
      <c r="AD9" s="9">
        <v>1.126602</v>
      </c>
      <c r="AE9">
        <f t="shared" si="8"/>
        <v>1.05390917752841</v>
      </c>
      <c r="AH9">
        <v>1.1609</v>
      </c>
      <c r="AI9" s="10">
        <f t="shared" si="9"/>
        <v>0.966188302179343</v>
      </c>
      <c r="AJ9">
        <f t="shared" si="10"/>
        <v>1.22888694113114</v>
      </c>
    </row>
    <row r="10" spans="1:37">
      <c r="A10" s="1" t="s">
        <v>30</v>
      </c>
      <c r="B10" s="1">
        <v>1125312</v>
      </c>
      <c r="C10" s="2">
        <v>0.281072</v>
      </c>
      <c r="E10">
        <v>1.585984</v>
      </c>
      <c r="F10">
        <v>709.535376</v>
      </c>
      <c r="G10" s="3">
        <f t="shared" si="0"/>
        <v>0.709535376</v>
      </c>
      <c r="I10" t="s">
        <v>30</v>
      </c>
      <c r="J10">
        <v>0.983568</v>
      </c>
      <c r="K10" s="5">
        <f t="shared" si="1"/>
        <v>1.14411204919233</v>
      </c>
      <c r="L10">
        <f t="shared" si="2"/>
        <v>1.61248062872108</v>
      </c>
      <c r="O10">
        <v>0.0015168</v>
      </c>
      <c r="P10" s="6">
        <f t="shared" si="3"/>
        <v>0.741898734177215</v>
      </c>
      <c r="Q10" s="4">
        <f t="shared" si="4"/>
        <v>1.54214045190571</v>
      </c>
      <c r="T10">
        <v>35.699</v>
      </c>
      <c r="U10" s="7">
        <f t="shared" si="5"/>
        <v>0.0315222275133757</v>
      </c>
      <c r="V10">
        <f t="shared" si="6"/>
        <v>36.295406113253</v>
      </c>
      <c r="Y10">
        <v>0.005042664</v>
      </c>
      <c r="Z10" s="8">
        <v>0.133894941245342</v>
      </c>
      <c r="AA10">
        <f t="shared" si="7"/>
        <v>8.54484895807914</v>
      </c>
      <c r="AD10" s="9">
        <v>0.635457</v>
      </c>
      <c r="AE10">
        <f t="shared" si="8"/>
        <v>1.80045549768486</v>
      </c>
      <c r="AH10">
        <v>2.247</v>
      </c>
      <c r="AI10" s="10">
        <f t="shared" si="9"/>
        <v>0.500806408544726</v>
      </c>
      <c r="AJ10">
        <f t="shared" si="10"/>
        <v>2.28453955395051</v>
      </c>
    </row>
    <row r="11" spans="1:37">
      <c r="A11" s="1" t="s">
        <v>31</v>
      </c>
      <c r="B11" s="1">
        <v>1148458</v>
      </c>
      <c r="C11" s="2">
        <v>0.265578</v>
      </c>
      <c r="E11">
        <v>1.969208</v>
      </c>
      <c r="F11">
        <v>583.207945</v>
      </c>
      <c r="G11" s="3">
        <f t="shared" si="0"/>
        <v>0.583207945</v>
      </c>
      <c r="I11" t="s">
        <v>31</v>
      </c>
      <c r="J11">
        <v>1.6192</v>
      </c>
      <c r="K11" s="5">
        <f t="shared" si="1"/>
        <v>0.709274950592885</v>
      </c>
      <c r="L11">
        <f t="shared" si="2"/>
        <v>1.21616133091754</v>
      </c>
      <c r="O11">
        <v>0.002808</v>
      </c>
      <c r="P11" s="6">
        <f t="shared" si="3"/>
        <v>0.408995014245014</v>
      </c>
      <c r="Q11" s="4">
        <f t="shared" si="4"/>
        <v>1.73418972332016</v>
      </c>
      <c r="T11">
        <v>2.81</v>
      </c>
      <c r="U11" s="7">
        <f t="shared" si="5"/>
        <v>0.408703914590747</v>
      </c>
      <c r="V11">
        <f t="shared" si="6"/>
        <v>1.73542490118577</v>
      </c>
      <c r="Y11">
        <v>0.007262532</v>
      </c>
      <c r="Z11" s="8">
        <v>0.094880793640565</v>
      </c>
      <c r="AA11">
        <f t="shared" si="7"/>
        <v>7.47543231225297</v>
      </c>
      <c r="AD11" s="9">
        <v>0.440274</v>
      </c>
      <c r="AE11">
        <f t="shared" si="8"/>
        <v>1.61098531958027</v>
      </c>
      <c r="AH11">
        <v>5.7526</v>
      </c>
      <c r="AI11" s="10">
        <f t="shared" si="9"/>
        <v>0.199641553384557</v>
      </c>
      <c r="AJ11">
        <f t="shared" si="10"/>
        <v>3.55274209486166</v>
      </c>
    </row>
    <row r="12" spans="1:37">
      <c r="A12" s="1" t="s">
        <v>32</v>
      </c>
      <c r="B12" s="1">
        <v>1199210</v>
      </c>
      <c r="C12" s="2">
        <v>0.10926</v>
      </c>
      <c r="E12">
        <v>2.105535</v>
      </c>
      <c r="F12">
        <v>569.551129</v>
      </c>
      <c r="G12" s="3">
        <f t="shared" si="0"/>
        <v>0.569551129</v>
      </c>
      <c r="I12" t="s">
        <v>32</v>
      </c>
      <c r="J12">
        <v>0.633077</v>
      </c>
      <c r="K12" s="5">
        <f t="shared" si="1"/>
        <v>1.89425614893607</v>
      </c>
      <c r="L12">
        <f t="shared" si="2"/>
        <v>3.32587550526314</v>
      </c>
      <c r="O12">
        <v>0.000608</v>
      </c>
      <c r="P12" s="6">
        <f t="shared" si="3"/>
        <v>1.97238486842105</v>
      </c>
      <c r="Q12" s="4">
        <f t="shared" si="4"/>
        <v>0.96038870469153</v>
      </c>
      <c r="T12">
        <v>1.396</v>
      </c>
      <c r="U12" s="7">
        <f t="shared" si="5"/>
        <v>0.859032951289398</v>
      </c>
      <c r="V12">
        <f t="shared" si="6"/>
        <v>2.20510301274568</v>
      </c>
      <c r="Y12">
        <v>0.003211362</v>
      </c>
      <c r="Z12" s="8">
        <v>0.224056334975627</v>
      </c>
      <c r="AA12">
        <f t="shared" si="7"/>
        <v>8.45437442838707</v>
      </c>
      <c r="AD12" s="9">
        <v>1.13505</v>
      </c>
      <c r="AE12">
        <f t="shared" si="8"/>
        <v>1.66887463013618</v>
      </c>
      <c r="AH12">
        <v>0.9</v>
      </c>
      <c r="AI12" s="10">
        <f t="shared" si="9"/>
        <v>1.33245555555556</v>
      </c>
      <c r="AJ12">
        <f t="shared" si="10"/>
        <v>1.42162801681312</v>
      </c>
    </row>
    <row r="13" spans="1:37">
      <c r="A13" s="1" t="s">
        <v>33</v>
      </c>
      <c r="B13" s="1">
        <v>1203720</v>
      </c>
      <c r="C13" s="2">
        <v>0.0696517</v>
      </c>
      <c r="E13">
        <v>1.025627</v>
      </c>
      <c r="F13">
        <v>1173.643402</v>
      </c>
      <c r="G13" s="3">
        <f t="shared" si="0"/>
        <v>1.173643402</v>
      </c>
      <c r="I13" t="s">
        <v>33</v>
      </c>
      <c r="J13">
        <v>0.521327</v>
      </c>
      <c r="K13" s="5">
        <f t="shared" si="1"/>
        <v>2.30895388115329</v>
      </c>
      <c r="L13">
        <f t="shared" si="2"/>
        <v>1.96733852652229</v>
      </c>
      <c r="O13">
        <v>0.0009024</v>
      </c>
      <c r="P13" s="6">
        <f t="shared" si="3"/>
        <v>1.33390957446809</v>
      </c>
      <c r="Q13" s="4">
        <f t="shared" si="4"/>
        <v>1.73096731993547</v>
      </c>
      <c r="T13">
        <v>1.92</v>
      </c>
      <c r="U13" s="7">
        <f t="shared" si="5"/>
        <v>0.6269375</v>
      </c>
      <c r="V13">
        <f t="shared" si="6"/>
        <v>3.68290919135207</v>
      </c>
      <c r="Y13">
        <v>0.00322119</v>
      </c>
      <c r="Z13" s="8">
        <v>0.224212790925093</v>
      </c>
      <c r="AA13">
        <f t="shared" si="7"/>
        <v>10.2980470990376</v>
      </c>
      <c r="AD13" s="9">
        <v>1.154598</v>
      </c>
      <c r="AE13">
        <f t="shared" si="8"/>
        <v>1.9997903003065</v>
      </c>
      <c r="AH13">
        <v>0.976</v>
      </c>
      <c r="AI13" s="10">
        <f t="shared" si="9"/>
        <v>1.23331967213115</v>
      </c>
      <c r="AJ13">
        <f t="shared" si="10"/>
        <v>1.87214550560397</v>
      </c>
    </row>
    <row r="14" spans="1:37">
      <c r="A14" s="1" t="s">
        <v>34</v>
      </c>
      <c r="B14" s="1">
        <v>1487464</v>
      </c>
      <c r="C14" s="2">
        <v>0.203175</v>
      </c>
      <c r="E14">
        <v>1.426961</v>
      </c>
      <c r="F14">
        <v>1042.399987</v>
      </c>
      <c r="G14" s="3">
        <f t="shared" si="0"/>
        <v>1.042399987</v>
      </c>
      <c r="I14" t="s">
        <v>34</v>
      </c>
      <c r="J14">
        <v>0.498192</v>
      </c>
      <c r="K14" s="5">
        <f t="shared" si="1"/>
        <v>2.98572437935575</v>
      </c>
      <c r="L14">
        <f t="shared" si="2"/>
        <v>2.86427898752051</v>
      </c>
      <c r="O14">
        <v>0.0006592</v>
      </c>
      <c r="P14" s="6">
        <f t="shared" si="3"/>
        <v>2.25646844660194</v>
      </c>
      <c r="Q14" s="4">
        <f t="shared" si="4"/>
        <v>1.32318463564248</v>
      </c>
      <c r="T14">
        <v>2.148</v>
      </c>
      <c r="U14" s="7">
        <f t="shared" si="5"/>
        <v>0.692487895716946</v>
      </c>
      <c r="V14">
        <f t="shared" si="6"/>
        <v>4.31159071201464</v>
      </c>
      <c r="Y14">
        <v>0.00347148</v>
      </c>
      <c r="Z14" s="8">
        <v>0.257088734487884</v>
      </c>
      <c r="AA14">
        <f t="shared" si="7"/>
        <v>11.6135947586473</v>
      </c>
      <c r="AD14" s="9">
        <v>1.457187</v>
      </c>
      <c r="AE14">
        <f t="shared" si="8"/>
        <v>2.04896446328148</v>
      </c>
      <c r="AH14">
        <v>1.1161</v>
      </c>
      <c r="AI14" s="10">
        <f t="shared" si="9"/>
        <v>1.33273362601917</v>
      </c>
      <c r="AJ14">
        <f t="shared" si="10"/>
        <v>2.24030092815621</v>
      </c>
    </row>
    <row r="15" spans="1:37">
      <c r="A15" s="1" t="s">
        <v>35</v>
      </c>
      <c r="B15" s="1">
        <v>1544336</v>
      </c>
      <c r="C15" s="2">
        <v>0.000254323</v>
      </c>
      <c r="E15">
        <v>1.388059</v>
      </c>
      <c r="F15">
        <v>1112.586752</v>
      </c>
      <c r="G15" s="3">
        <f t="shared" si="0"/>
        <v>1.112586752</v>
      </c>
      <c r="I15" t="s">
        <v>35</v>
      </c>
      <c r="J15">
        <v>0.946418</v>
      </c>
      <c r="K15" s="5">
        <f t="shared" si="1"/>
        <v>1.63176947184014</v>
      </c>
      <c r="L15">
        <f t="shared" si="2"/>
        <v>1.46664470784579</v>
      </c>
      <c r="O15">
        <v>0.0012864</v>
      </c>
      <c r="P15" s="6">
        <f t="shared" si="3"/>
        <v>1.20050995024876</v>
      </c>
      <c r="Q15" s="4">
        <f t="shared" si="4"/>
        <v>1.35923027668535</v>
      </c>
      <c r="T15">
        <v>2.946</v>
      </c>
      <c r="U15" s="7">
        <f t="shared" si="5"/>
        <v>0.524214528173795</v>
      </c>
      <c r="V15">
        <f t="shared" si="6"/>
        <v>3.11278948625237</v>
      </c>
      <c r="Y15">
        <v>0.00600156</v>
      </c>
      <c r="Z15" s="8">
        <v>0.154393457700998</v>
      </c>
      <c r="AA15">
        <f t="shared" si="7"/>
        <v>10.5689029583123</v>
      </c>
      <c r="AD15" s="9">
        <v>0.668019</v>
      </c>
      <c r="AE15">
        <f t="shared" si="8"/>
        <v>2.44269919244833</v>
      </c>
      <c r="AH15">
        <v>1.5673</v>
      </c>
      <c r="AI15" s="10">
        <f t="shared" si="9"/>
        <v>0.985348050787979</v>
      </c>
      <c r="AJ15">
        <f t="shared" si="10"/>
        <v>1.65603359192239</v>
      </c>
    </row>
    <row r="16" spans="1:37">
      <c r="A16" s="1" t="s">
        <v>36</v>
      </c>
      <c r="B16" s="1">
        <v>1551124</v>
      </c>
      <c r="C16" s="2">
        <v>0.0909091</v>
      </c>
      <c r="E16">
        <v>1.376252</v>
      </c>
      <c r="F16">
        <v>1127.064193</v>
      </c>
      <c r="G16" s="3">
        <f t="shared" si="0"/>
        <v>1.127064193</v>
      </c>
      <c r="I16" t="s">
        <v>36</v>
      </c>
      <c r="J16">
        <v>0.795487</v>
      </c>
      <c r="K16" s="5">
        <f t="shared" si="1"/>
        <v>1.9499049010229</v>
      </c>
      <c r="L16">
        <f t="shared" si="2"/>
        <v>1.73007439428332</v>
      </c>
      <c r="O16">
        <v>0.0008704</v>
      </c>
      <c r="P16" s="6">
        <f t="shared" si="3"/>
        <v>1.78208180147059</v>
      </c>
      <c r="Q16" s="4">
        <f t="shared" si="4"/>
        <v>1.09417250061912</v>
      </c>
      <c r="T16">
        <v>4.763</v>
      </c>
      <c r="U16" s="7">
        <f t="shared" si="5"/>
        <v>0.325661137938274</v>
      </c>
      <c r="V16">
        <f t="shared" si="6"/>
        <v>5.98752713746422</v>
      </c>
      <c r="Y16">
        <v>0.00589554</v>
      </c>
      <c r="Z16" s="8">
        <v>0.157860755757742</v>
      </c>
      <c r="AA16">
        <f t="shared" si="7"/>
        <v>12.3520560361137</v>
      </c>
      <c r="AD16" s="9">
        <v>1.13958</v>
      </c>
      <c r="AE16">
        <f t="shared" si="8"/>
        <v>1.71107329105714</v>
      </c>
      <c r="AH16">
        <v>1.2764</v>
      </c>
      <c r="AI16" s="10">
        <f t="shared" si="9"/>
        <v>1.21523346913193</v>
      </c>
      <c r="AJ16">
        <f t="shared" si="10"/>
        <v>1.60455167714872</v>
      </c>
    </row>
    <row r="17" spans="1:36">
      <c r="A17" s="1" t="s">
        <v>37</v>
      </c>
      <c r="B17" s="1">
        <v>1551124</v>
      </c>
      <c r="C17" s="2">
        <v>0.0909091</v>
      </c>
      <c r="E17">
        <v>1.413312</v>
      </c>
      <c r="F17">
        <v>1097.510038</v>
      </c>
      <c r="G17" s="3">
        <f t="shared" si="0"/>
        <v>1.097510038</v>
      </c>
      <c r="I17" t="s">
        <v>37</v>
      </c>
      <c r="J17">
        <v>0.801447</v>
      </c>
      <c r="K17" s="5">
        <f t="shared" si="1"/>
        <v>1.93540433740472</v>
      </c>
      <c r="L17">
        <f t="shared" si="2"/>
        <v>1.76345023771411</v>
      </c>
      <c r="O17">
        <v>0.0008704</v>
      </c>
      <c r="P17" s="6">
        <f t="shared" si="3"/>
        <v>1.78208180147059</v>
      </c>
      <c r="Q17" s="4">
        <f t="shared" si="4"/>
        <v>1.08603563304872</v>
      </c>
      <c r="T17">
        <v>4.744</v>
      </c>
      <c r="U17" s="7">
        <f t="shared" si="5"/>
        <v>0.326965430016863</v>
      </c>
      <c r="V17">
        <f t="shared" si="6"/>
        <v>5.91929347792181</v>
      </c>
      <c r="Y17">
        <v>0.005954562</v>
      </c>
      <c r="Z17" s="8">
        <v>0.156296029833932</v>
      </c>
      <c r="AA17">
        <f t="shared" si="7"/>
        <v>12.3829398575327</v>
      </c>
      <c r="AD17" s="9">
        <v>1.118682</v>
      </c>
      <c r="AE17">
        <f t="shared" si="8"/>
        <v>1.73007551511933</v>
      </c>
      <c r="AH17">
        <v>1.2597</v>
      </c>
      <c r="AI17" s="10">
        <f t="shared" si="9"/>
        <v>1.2313439707867</v>
      </c>
      <c r="AJ17">
        <f t="shared" si="10"/>
        <v>1.57178203923653</v>
      </c>
    </row>
    <row r="18" spans="1:36">
      <c r="A18" s="1" t="s">
        <v>38</v>
      </c>
      <c r="B18" s="1">
        <v>1572864</v>
      </c>
      <c r="C18" s="2">
        <v>0</v>
      </c>
      <c r="E18">
        <v>1.965979</v>
      </c>
      <c r="F18">
        <v>800.040929</v>
      </c>
      <c r="G18" s="3">
        <f t="shared" si="0"/>
        <v>0.800040929</v>
      </c>
      <c r="I18" t="s">
        <v>38</v>
      </c>
      <c r="J18">
        <v>1.26648</v>
      </c>
      <c r="K18" s="5">
        <f t="shared" si="1"/>
        <v>1.24191775630093</v>
      </c>
      <c r="L18">
        <f t="shared" si="2"/>
        <v>1.5523177768583</v>
      </c>
      <c r="O18">
        <v>0.000976</v>
      </c>
      <c r="P18" s="6">
        <f t="shared" si="3"/>
        <v>1.61154098360656</v>
      </c>
      <c r="Q18" s="4">
        <f t="shared" si="4"/>
        <v>0.770639883772345</v>
      </c>
      <c r="T18">
        <v>2.124</v>
      </c>
      <c r="U18" s="7">
        <f t="shared" si="5"/>
        <v>0.740519774011299</v>
      </c>
      <c r="V18">
        <f t="shared" si="6"/>
        <v>1.67708925525867</v>
      </c>
      <c r="Y18">
        <v>0.004631508</v>
      </c>
      <c r="Z18" s="8">
        <v>0.203760503058615</v>
      </c>
      <c r="AA18">
        <f t="shared" si="7"/>
        <v>6.0949876823953</v>
      </c>
      <c r="AD18" s="9">
        <v>0.873687</v>
      </c>
      <c r="AE18">
        <f t="shared" si="8"/>
        <v>1.42146759228526</v>
      </c>
      <c r="AH18">
        <v>1.6696</v>
      </c>
      <c r="AI18" s="10">
        <f t="shared" si="9"/>
        <v>0.942060373742214</v>
      </c>
      <c r="AJ18">
        <f t="shared" si="10"/>
        <v>1.31829953887941</v>
      </c>
    </row>
    <row r="19" spans="1:36">
      <c r="A19" s="1" t="s">
        <v>39</v>
      </c>
      <c r="B19" s="1">
        <v>1599650</v>
      </c>
      <c r="C19" s="2">
        <v>0.480316</v>
      </c>
      <c r="E19">
        <v>1.181252</v>
      </c>
      <c r="F19">
        <v>1354.199115</v>
      </c>
      <c r="G19" s="3">
        <f t="shared" si="0"/>
        <v>1.354199115</v>
      </c>
      <c r="I19" t="s">
        <v>39</v>
      </c>
      <c r="J19">
        <v>0.949295</v>
      </c>
      <c r="K19" s="5">
        <f t="shared" si="1"/>
        <v>1.68509262136638</v>
      </c>
      <c r="L19">
        <f t="shared" si="2"/>
        <v>1.24434627279045</v>
      </c>
      <c r="O19">
        <v>0.0013264</v>
      </c>
      <c r="P19" s="6">
        <f t="shared" si="3"/>
        <v>1.20600874547648</v>
      </c>
      <c r="Q19" s="4">
        <f t="shared" si="4"/>
        <v>1.39724743098826</v>
      </c>
      <c r="T19">
        <v>3.575</v>
      </c>
      <c r="U19" s="7">
        <f t="shared" si="5"/>
        <v>0.447454545454545</v>
      </c>
      <c r="V19">
        <f t="shared" si="6"/>
        <v>3.76595262800289</v>
      </c>
      <c r="Y19">
        <v>0.005303754</v>
      </c>
      <c r="Z19" s="8">
        <v>0.180964275492415</v>
      </c>
      <c r="AA19">
        <f t="shared" si="7"/>
        <v>9.31174187159947</v>
      </c>
      <c r="AD19" s="9">
        <v>1.126521</v>
      </c>
      <c r="AE19">
        <f t="shared" si="8"/>
        <v>1.49583773526315</v>
      </c>
      <c r="AH19">
        <v>1.523</v>
      </c>
      <c r="AI19" s="10">
        <f t="shared" si="9"/>
        <v>1.05032829940906</v>
      </c>
      <c r="AJ19">
        <f t="shared" si="10"/>
        <v>1.60434849019536</v>
      </c>
    </row>
    <row r="20" spans="1:36">
      <c r="A20" s="1" t="s">
        <v>40</v>
      </c>
      <c r="B20" s="1">
        <v>1600060</v>
      </c>
      <c r="C20" s="2">
        <v>0.483632</v>
      </c>
      <c r="E20">
        <v>1.166923</v>
      </c>
      <c r="F20">
        <v>1371.178656</v>
      </c>
      <c r="G20" s="3">
        <f t="shared" si="0"/>
        <v>1.371178656</v>
      </c>
      <c r="I20" t="s">
        <v>40</v>
      </c>
      <c r="J20">
        <v>0.954904</v>
      </c>
      <c r="K20" s="5">
        <f t="shared" si="1"/>
        <v>1.67562393706592</v>
      </c>
      <c r="L20">
        <f t="shared" si="2"/>
        <v>1.22203181163427</v>
      </c>
      <c r="O20">
        <v>0.00132</v>
      </c>
      <c r="P20" s="6">
        <f t="shared" si="3"/>
        <v>1.21216666666667</v>
      </c>
      <c r="Q20" s="4">
        <f t="shared" si="4"/>
        <v>1.38233791040775</v>
      </c>
      <c r="T20">
        <v>3.046</v>
      </c>
      <c r="U20" s="7">
        <f t="shared" si="5"/>
        <v>0.525298752462246</v>
      </c>
      <c r="V20">
        <f t="shared" si="6"/>
        <v>3.18984945083485</v>
      </c>
      <c r="Y20">
        <v>0.005125248</v>
      </c>
      <c r="Z20" s="8">
        <v>0.187315033340826</v>
      </c>
      <c r="AA20">
        <f t="shared" si="7"/>
        <v>8.94548561949681</v>
      </c>
      <c r="AD20" s="9">
        <v>1.164972</v>
      </c>
      <c r="AE20">
        <f t="shared" si="8"/>
        <v>1.43833837814636</v>
      </c>
      <c r="AH20">
        <v>1.5122</v>
      </c>
      <c r="AI20" s="10">
        <f t="shared" si="9"/>
        <v>1.05810078032006</v>
      </c>
      <c r="AJ20">
        <f t="shared" si="10"/>
        <v>1.58361468796863</v>
      </c>
    </row>
    <row r="21" spans="1:36">
      <c r="A21" s="1" t="s">
        <v>41</v>
      </c>
      <c r="B21" s="1">
        <v>1613608</v>
      </c>
      <c r="C21" s="2">
        <v>0.904236</v>
      </c>
      <c r="E21">
        <v>0.905211</v>
      </c>
      <c r="F21">
        <v>1782.577641</v>
      </c>
      <c r="G21" s="3">
        <f t="shared" si="0"/>
        <v>1.782577641</v>
      </c>
      <c r="I21" t="s">
        <v>41</v>
      </c>
      <c r="J21">
        <v>0.397619</v>
      </c>
      <c r="K21" s="5">
        <f t="shared" si="1"/>
        <v>4.05817629439237</v>
      </c>
      <c r="L21">
        <f t="shared" si="2"/>
        <v>2.27657758128044</v>
      </c>
      <c r="O21">
        <v>0.000624</v>
      </c>
      <c r="P21" s="6">
        <f t="shared" si="3"/>
        <v>2.58591025641026</v>
      </c>
      <c r="Q21" s="4">
        <f t="shared" si="4"/>
        <v>1.56934150531036</v>
      </c>
      <c r="T21">
        <v>2.635</v>
      </c>
      <c r="U21" s="7">
        <f t="shared" si="5"/>
        <v>0.61237495256167</v>
      </c>
      <c r="V21">
        <f t="shared" si="6"/>
        <v>6.62694690143077</v>
      </c>
      <c r="Y21">
        <v>0.00459522</v>
      </c>
      <c r="Z21" s="8">
        <v>0.21068954261167</v>
      </c>
      <c r="AA21">
        <f t="shared" si="7"/>
        <v>19.2614035043597</v>
      </c>
      <c r="AD21" s="9">
        <v>1.826067</v>
      </c>
      <c r="AE21">
        <f t="shared" si="8"/>
        <v>2.22235892461359</v>
      </c>
      <c r="AH21">
        <v>0.7439</v>
      </c>
      <c r="AI21" s="10">
        <f t="shared" si="9"/>
        <v>2.16911950530985</v>
      </c>
      <c r="AJ21">
        <f t="shared" si="10"/>
        <v>1.87088645160317</v>
      </c>
    </row>
    <row r="22" spans="1:36">
      <c r="A22" s="1" t="s">
        <v>43</v>
      </c>
      <c r="B22" s="1">
        <v>1644146</v>
      </c>
      <c r="C22" s="2">
        <v>0</v>
      </c>
      <c r="E22">
        <v>1.649659</v>
      </c>
      <c r="F22">
        <v>996.658063</v>
      </c>
      <c r="G22" s="3">
        <f t="shared" si="0"/>
        <v>0.996658063</v>
      </c>
      <c r="I22" t="s">
        <v>43</v>
      </c>
      <c r="J22">
        <v>1.03129</v>
      </c>
      <c r="K22" s="5">
        <f t="shared" si="1"/>
        <v>1.59426155591541</v>
      </c>
      <c r="L22">
        <f t="shared" si="2"/>
        <v>1.59960734288005</v>
      </c>
      <c r="O22">
        <v>0.0007184</v>
      </c>
      <c r="P22" s="6">
        <f t="shared" si="3"/>
        <v>2.2886219376392</v>
      </c>
      <c r="Q22" s="4">
        <f t="shared" si="4"/>
        <v>0.696603283266588</v>
      </c>
      <c r="T22">
        <v>1.868</v>
      </c>
      <c r="U22" s="7">
        <f t="shared" si="5"/>
        <v>0.880163811563169</v>
      </c>
      <c r="V22">
        <f t="shared" si="6"/>
        <v>1.81132368199052</v>
      </c>
      <c r="Y22">
        <v>0.00469611</v>
      </c>
      <c r="Z22" s="8">
        <v>0.210064840900234</v>
      </c>
      <c r="AA22">
        <f t="shared" si="7"/>
        <v>7.58937835138518</v>
      </c>
      <c r="AD22" s="9">
        <v>1.213317</v>
      </c>
      <c r="AE22">
        <f t="shared" si="8"/>
        <v>1.31396951984964</v>
      </c>
      <c r="AH22">
        <v>1.5285</v>
      </c>
      <c r="AI22" s="10">
        <f t="shared" si="9"/>
        <v>1.07565979718678</v>
      </c>
      <c r="AJ22">
        <f t="shared" si="10"/>
        <v>1.48212432972297</v>
      </c>
    </row>
    <row r="23" spans="1:36">
      <c r="A23" s="1" t="s">
        <v>42</v>
      </c>
      <c r="B23" s="1">
        <v>1644146</v>
      </c>
      <c r="C23" s="2">
        <v>0</v>
      </c>
      <c r="E23">
        <v>1.623675</v>
      </c>
      <c r="F23">
        <v>1012.60788</v>
      </c>
      <c r="G23" s="3">
        <f t="shared" si="0"/>
        <v>1.01260788</v>
      </c>
      <c r="I23" t="s">
        <v>42</v>
      </c>
      <c r="J23">
        <v>0.981571</v>
      </c>
      <c r="K23" s="5">
        <f t="shared" si="1"/>
        <v>1.67501484864569</v>
      </c>
      <c r="L23">
        <f t="shared" si="2"/>
        <v>1.65415940536202</v>
      </c>
      <c r="O23">
        <v>0.0007168</v>
      </c>
      <c r="P23" s="6">
        <f t="shared" si="3"/>
        <v>2.29373046875</v>
      </c>
      <c r="Q23" s="4">
        <f t="shared" si="4"/>
        <v>0.730257923267904</v>
      </c>
      <c r="T23">
        <v>1.84</v>
      </c>
      <c r="U23" s="7">
        <f t="shared" si="5"/>
        <v>0.893557608695652</v>
      </c>
      <c r="V23">
        <f t="shared" si="6"/>
        <v>1.87454600838859</v>
      </c>
      <c r="Y23">
        <v>0.004760784</v>
      </c>
      <c r="Z23" s="8">
        <v>0.207211165219846</v>
      </c>
      <c r="AA23">
        <f t="shared" si="7"/>
        <v>8.08361290217417</v>
      </c>
      <c r="AD23" s="9">
        <v>1.173375</v>
      </c>
      <c r="AE23">
        <f t="shared" si="8"/>
        <v>1.42751878013908</v>
      </c>
      <c r="AH23">
        <v>1.5886</v>
      </c>
      <c r="AI23" s="10">
        <f t="shared" si="9"/>
        <v>1.03496537832053</v>
      </c>
      <c r="AJ23">
        <f t="shared" si="10"/>
        <v>1.61842597224246</v>
      </c>
    </row>
    <row r="24" spans="1:36">
      <c r="A24" s="1" t="s">
        <v>44</v>
      </c>
      <c r="B24" s="1">
        <v>1698240</v>
      </c>
      <c r="C24" s="2">
        <v>0.000479846</v>
      </c>
      <c r="E24">
        <v>1.459753</v>
      </c>
      <c r="F24">
        <v>1163.374732</v>
      </c>
      <c r="G24" s="3">
        <f t="shared" si="0"/>
        <v>1.163374732</v>
      </c>
      <c r="I24" t="s">
        <v>44</v>
      </c>
      <c r="J24">
        <v>1.1143</v>
      </c>
      <c r="K24" s="5">
        <f t="shared" si="1"/>
        <v>1.52404199946155</v>
      </c>
      <c r="L24">
        <f t="shared" si="2"/>
        <v>1.31001813735589</v>
      </c>
      <c r="O24">
        <v>0.0014048</v>
      </c>
      <c r="P24" s="6">
        <f t="shared" si="3"/>
        <v>1.20888382687927</v>
      </c>
      <c r="Q24" s="4">
        <f t="shared" si="4"/>
        <v>1.26070178587454</v>
      </c>
      <c r="T24">
        <v>3.195</v>
      </c>
      <c r="U24" s="7">
        <f t="shared" si="5"/>
        <v>0.531530516431925</v>
      </c>
      <c r="V24">
        <f t="shared" si="6"/>
        <v>2.86727093242394</v>
      </c>
      <c r="Y24">
        <v>0.006459408</v>
      </c>
      <c r="Z24" s="8">
        <v>0.157745725304858</v>
      </c>
      <c r="AA24">
        <f t="shared" si="7"/>
        <v>9.66138382841243</v>
      </c>
      <c r="AD24" s="9">
        <v>0.758178</v>
      </c>
      <c r="AE24">
        <f t="shared" si="8"/>
        <v>2.01013746041371</v>
      </c>
      <c r="AH24">
        <v>1.7069</v>
      </c>
      <c r="AI24" s="10">
        <f t="shared" si="9"/>
        <v>0.99492647489601</v>
      </c>
      <c r="AJ24">
        <f t="shared" si="10"/>
        <v>1.53181369469622</v>
      </c>
    </row>
    <row r="25" spans="1:36">
      <c r="A25" s="1" t="s">
        <v>45</v>
      </c>
      <c r="B25" s="1">
        <v>1704556</v>
      </c>
      <c r="C25" s="2">
        <v>0.00913061</v>
      </c>
      <c r="E25">
        <v>1.204852</v>
      </c>
      <c r="F25">
        <v>1414.742956</v>
      </c>
      <c r="G25" s="3">
        <f t="shared" si="0"/>
        <v>1.414742956</v>
      </c>
      <c r="I25" t="s">
        <v>45</v>
      </c>
      <c r="J25">
        <v>0.60006</v>
      </c>
      <c r="K25" s="5">
        <f t="shared" si="1"/>
        <v>2.84064260240643</v>
      </c>
      <c r="L25">
        <f t="shared" si="2"/>
        <v>2.00788601940664</v>
      </c>
      <c r="O25">
        <v>0.0007456</v>
      </c>
      <c r="P25" s="6">
        <f t="shared" si="3"/>
        <v>2.28615343347639</v>
      </c>
      <c r="Q25" s="4">
        <f t="shared" si="4"/>
        <v>1.24254241242542</v>
      </c>
      <c r="T25">
        <v>1.651</v>
      </c>
      <c r="U25" s="7">
        <f t="shared" si="5"/>
        <v>1.03243852210781</v>
      </c>
      <c r="V25">
        <f t="shared" si="6"/>
        <v>2.75139152751391</v>
      </c>
      <c r="Y25">
        <v>0.002848356</v>
      </c>
      <c r="Z25" s="8">
        <v>0.359061016249373</v>
      </c>
      <c r="AA25">
        <f t="shared" si="7"/>
        <v>7.9113088691131</v>
      </c>
      <c r="AD25" s="9">
        <v>1.671906</v>
      </c>
      <c r="AE25">
        <f t="shared" si="8"/>
        <v>1.69904444532553</v>
      </c>
      <c r="AH25">
        <v>0.8917</v>
      </c>
      <c r="AI25" s="10">
        <f t="shared" si="9"/>
        <v>1.91158012784569</v>
      </c>
      <c r="AJ25">
        <f t="shared" si="10"/>
        <v>1.48601806486018</v>
      </c>
    </row>
    <row r="26" spans="1:36">
      <c r="A26" s="1" t="s">
        <v>46</v>
      </c>
      <c r="B26" s="1">
        <v>1807022</v>
      </c>
      <c r="C26" s="2">
        <v>0.0148248</v>
      </c>
      <c r="E26">
        <v>1.226945</v>
      </c>
      <c r="F26">
        <v>1472.781625</v>
      </c>
      <c r="G26" s="3">
        <f t="shared" si="0"/>
        <v>1.472781625</v>
      </c>
      <c r="I26" t="s">
        <v>46</v>
      </c>
      <c r="J26">
        <v>0.57279</v>
      </c>
      <c r="K26" s="5">
        <f t="shared" si="1"/>
        <v>3.15477225510222</v>
      </c>
      <c r="L26">
        <f t="shared" si="2"/>
        <v>2.14205025480422</v>
      </c>
      <c r="O26">
        <v>0.0007328</v>
      </c>
      <c r="P26" s="6">
        <f t="shared" si="3"/>
        <v>2.46591430131004</v>
      </c>
      <c r="Q26" s="4">
        <f t="shared" si="4"/>
        <v>1.27935194399344</v>
      </c>
      <c r="T26">
        <v>1.746</v>
      </c>
      <c r="U26" s="7">
        <f t="shared" si="5"/>
        <v>1.03494959908362</v>
      </c>
      <c r="V26">
        <f t="shared" si="6"/>
        <v>3.04823757397999</v>
      </c>
      <c r="Y26">
        <v>0.003121344</v>
      </c>
      <c r="Z26" s="8">
        <v>0.347354601094913</v>
      </c>
      <c r="AA26">
        <f t="shared" si="7"/>
        <v>9.08228146441104</v>
      </c>
      <c r="AD26" s="9">
        <v>1.738812</v>
      </c>
      <c r="AE26">
        <f t="shared" si="8"/>
        <v>1.81432624982012</v>
      </c>
      <c r="AH26">
        <v>0.9883</v>
      </c>
      <c r="AI26" s="10">
        <f t="shared" si="9"/>
        <v>1.82841444905393</v>
      </c>
      <c r="AJ26">
        <f t="shared" si="10"/>
        <v>1.72541420066691</v>
      </c>
    </row>
    <row r="27" spans="1:36">
      <c r="A27" s="1" t="s">
        <v>47</v>
      </c>
      <c r="B27" s="1">
        <v>1807160</v>
      </c>
      <c r="C27" s="2">
        <v>0.00144058</v>
      </c>
      <c r="E27">
        <v>1.476059</v>
      </c>
      <c r="F27">
        <v>1224.314017</v>
      </c>
      <c r="G27" s="3">
        <f t="shared" si="0"/>
        <v>1.224314017</v>
      </c>
      <c r="I27" t="s">
        <v>47</v>
      </c>
      <c r="J27">
        <v>1.05115</v>
      </c>
      <c r="K27" s="5">
        <f t="shared" si="1"/>
        <v>1.7192218046901</v>
      </c>
      <c r="L27">
        <f t="shared" si="2"/>
        <v>1.40423272201261</v>
      </c>
      <c r="O27">
        <v>0.0017024</v>
      </c>
      <c r="P27" s="6">
        <f t="shared" si="3"/>
        <v>1.06153665413534</v>
      </c>
      <c r="Q27" s="4">
        <f t="shared" si="4"/>
        <v>1.61955953003853</v>
      </c>
      <c r="T27">
        <v>3.547</v>
      </c>
      <c r="U27" s="7">
        <f t="shared" si="5"/>
        <v>0.509489709613758</v>
      </c>
      <c r="V27">
        <f t="shared" si="6"/>
        <v>3.37439946725015</v>
      </c>
      <c r="Y27">
        <v>0.005425128</v>
      </c>
      <c r="Z27" s="8">
        <v>0.199865514693847</v>
      </c>
      <c r="AA27">
        <f t="shared" si="7"/>
        <v>8.60189316462921</v>
      </c>
      <c r="AD27" s="9">
        <v>0.80544</v>
      </c>
      <c r="AE27">
        <f t="shared" si="8"/>
        <v>2.13451257038401</v>
      </c>
      <c r="AH27">
        <v>1.9692</v>
      </c>
      <c r="AI27" s="10">
        <f t="shared" si="9"/>
        <v>0.917712776762137</v>
      </c>
      <c r="AJ27">
        <f t="shared" si="10"/>
        <v>1.87337677781477</v>
      </c>
    </row>
    <row r="28" spans="1:36">
      <c r="A28" s="1" t="s">
        <v>48</v>
      </c>
      <c r="B28" s="1">
        <v>1817500</v>
      </c>
      <c r="C28" s="2">
        <v>0.0142065</v>
      </c>
      <c r="E28">
        <v>2.057114</v>
      </c>
      <c r="F28">
        <v>883.519394</v>
      </c>
      <c r="G28" s="3">
        <f t="shared" si="0"/>
        <v>0.883519394</v>
      </c>
      <c r="I28" t="s">
        <v>48</v>
      </c>
      <c r="J28">
        <v>1.70339</v>
      </c>
      <c r="K28" s="5">
        <f t="shared" si="1"/>
        <v>1.06698994358309</v>
      </c>
      <c r="L28">
        <f t="shared" si="2"/>
        <v>1.20765876881599</v>
      </c>
      <c r="O28">
        <v>0.0027616</v>
      </c>
      <c r="P28" s="6">
        <f t="shared" si="3"/>
        <v>0.658132966396292</v>
      </c>
      <c r="Q28" s="4">
        <f t="shared" si="4"/>
        <v>1.62123764962809</v>
      </c>
      <c r="T28">
        <v>3.509</v>
      </c>
      <c r="U28" s="7">
        <f t="shared" si="5"/>
        <v>0.517953833000855</v>
      </c>
      <c r="V28">
        <f t="shared" si="6"/>
        <v>2.06000974527266</v>
      </c>
      <c r="Y28">
        <v>0.005442444</v>
      </c>
      <c r="Z28" s="8">
        <v>0.200369539861136</v>
      </c>
      <c r="AA28">
        <f t="shared" si="7"/>
        <v>5.32511051491437</v>
      </c>
      <c r="AD28" s="9">
        <v>0.622251</v>
      </c>
      <c r="AE28">
        <f t="shared" si="8"/>
        <v>1.71472596039716</v>
      </c>
      <c r="AH28">
        <v>6.2762</v>
      </c>
      <c r="AI28" s="10">
        <f t="shared" si="9"/>
        <v>0.289586055256365</v>
      </c>
      <c r="AJ28">
        <f t="shared" si="10"/>
        <v>3.68453495676269</v>
      </c>
    </row>
    <row r="29" spans="1:36">
      <c r="A29" s="1" t="s">
        <v>49</v>
      </c>
      <c r="B29" s="1">
        <v>1853920</v>
      </c>
      <c r="C29" s="2">
        <v>0.0224707</v>
      </c>
      <c r="E29">
        <v>2.102111</v>
      </c>
      <c r="F29">
        <v>881.932671</v>
      </c>
      <c r="G29" s="3">
        <f t="shared" si="0"/>
        <v>0.881932671</v>
      </c>
      <c r="I29" t="s">
        <v>49</v>
      </c>
      <c r="J29">
        <v>1.75616</v>
      </c>
      <c r="K29" s="5">
        <f t="shared" si="1"/>
        <v>1.05566690962099</v>
      </c>
      <c r="L29">
        <f t="shared" si="2"/>
        <v>1.19699263258271</v>
      </c>
      <c r="O29">
        <v>0.0028528</v>
      </c>
      <c r="P29" s="6">
        <f t="shared" si="3"/>
        <v>0.649859786876052</v>
      </c>
      <c r="Q29" s="4">
        <f t="shared" si="4"/>
        <v>1.62445335276968</v>
      </c>
      <c r="T29">
        <v>3.611</v>
      </c>
      <c r="U29" s="7">
        <f t="shared" si="5"/>
        <v>0.513409027970091</v>
      </c>
      <c r="V29">
        <f t="shared" si="6"/>
        <v>2.05619077988338</v>
      </c>
      <c r="Y29">
        <v>0.005166828</v>
      </c>
      <c r="Z29" s="8">
        <v>0.215287212967027</v>
      </c>
      <c r="AA29">
        <f t="shared" si="7"/>
        <v>4.90352815233237</v>
      </c>
      <c r="AD29" s="9">
        <v>0.582051</v>
      </c>
      <c r="AE29">
        <f t="shared" si="8"/>
        <v>1.81370173682545</v>
      </c>
      <c r="AH29">
        <v>6.3809</v>
      </c>
      <c r="AI29" s="10">
        <f t="shared" si="9"/>
        <v>0.290542086539516</v>
      </c>
      <c r="AJ29">
        <f t="shared" si="10"/>
        <v>3.63343886661807</v>
      </c>
    </row>
    <row r="30" spans="1:36">
      <c r="A30" s="1" t="s">
        <v>50</v>
      </c>
      <c r="B30" s="1">
        <v>1883016</v>
      </c>
      <c r="C30" s="2">
        <v>0.0166799</v>
      </c>
      <c r="E30">
        <v>1.357548</v>
      </c>
      <c r="F30">
        <v>1387.071173</v>
      </c>
      <c r="G30" s="3">
        <f t="shared" si="0"/>
        <v>1.387071173</v>
      </c>
      <c r="I30" t="s">
        <v>50</v>
      </c>
      <c r="J30">
        <v>0.634657</v>
      </c>
      <c r="K30" s="5">
        <f t="shared" si="1"/>
        <v>2.96698216516953</v>
      </c>
      <c r="L30">
        <f t="shared" si="2"/>
        <v>2.13902662164945</v>
      </c>
      <c r="O30">
        <v>0.0007472</v>
      </c>
      <c r="P30" s="6">
        <f t="shared" si="3"/>
        <v>2.52009635974304</v>
      </c>
      <c r="Q30" s="4">
        <f t="shared" si="4"/>
        <v>1.17732885637439</v>
      </c>
      <c r="T30">
        <v>1.783</v>
      </c>
      <c r="U30" s="7">
        <f t="shared" si="5"/>
        <v>1.05609422321929</v>
      </c>
      <c r="V30">
        <f t="shared" si="6"/>
        <v>2.80939152959788</v>
      </c>
      <c r="Y30">
        <v>0.003321036</v>
      </c>
      <c r="Z30" s="8">
        <v>0.340197938233732</v>
      </c>
      <c r="AA30">
        <f t="shared" si="7"/>
        <v>8.72134081874146</v>
      </c>
      <c r="AD30" s="9">
        <v>1.700163</v>
      </c>
      <c r="AE30">
        <f t="shared" si="8"/>
        <v>1.74511630071324</v>
      </c>
      <c r="AH30">
        <v>0.9186</v>
      </c>
      <c r="AI30" s="10">
        <f t="shared" si="9"/>
        <v>2.04987589810581</v>
      </c>
      <c r="AJ30">
        <f t="shared" si="10"/>
        <v>1.44739599500202</v>
      </c>
    </row>
    <row r="31" spans="1:36">
      <c r="A31" s="1" t="s">
        <v>51</v>
      </c>
      <c r="B31" s="1">
        <v>1891702</v>
      </c>
      <c r="C31" s="2">
        <v>0.0175601</v>
      </c>
      <c r="E31">
        <v>2.941648</v>
      </c>
      <c r="F31">
        <v>643.075626</v>
      </c>
      <c r="G31" s="3">
        <f t="shared" si="0"/>
        <v>0.643075626</v>
      </c>
      <c r="I31" t="s">
        <v>51</v>
      </c>
      <c r="J31">
        <v>1.65765</v>
      </c>
      <c r="K31" s="5">
        <f t="shared" si="1"/>
        <v>1.14119506530329</v>
      </c>
      <c r="L31">
        <f t="shared" si="2"/>
        <v>1.77458920718493</v>
      </c>
      <c r="O31">
        <v>0.0016976</v>
      </c>
      <c r="P31" s="6">
        <f t="shared" si="3"/>
        <v>1.114339066918</v>
      </c>
      <c r="Q31" s="4">
        <f t="shared" si="4"/>
        <v>1.02410038307242</v>
      </c>
      <c r="T31">
        <v>420.907</v>
      </c>
      <c r="U31" s="7">
        <f t="shared" si="5"/>
        <v>0.00449434673217599</v>
      </c>
      <c r="V31">
        <f t="shared" si="6"/>
        <v>253.917895816367</v>
      </c>
      <c r="Y31">
        <v>0.00773244</v>
      </c>
      <c r="Z31" s="8">
        <v>0.146786939180905</v>
      </c>
      <c r="AA31">
        <f t="shared" si="7"/>
        <v>7.77450004524479</v>
      </c>
      <c r="AD31" s="9">
        <v>0.995415</v>
      </c>
      <c r="AE31">
        <f t="shared" si="8"/>
        <v>1.14645154564005</v>
      </c>
      <c r="AH31">
        <v>1.5865</v>
      </c>
      <c r="AI31" s="10">
        <f t="shared" si="9"/>
        <v>1.19237440907658</v>
      </c>
      <c r="AJ31">
        <f t="shared" si="10"/>
        <v>0.95707779084849</v>
      </c>
    </row>
    <row r="32" spans="1:36">
      <c r="A32" s="1" t="s">
        <v>52</v>
      </c>
      <c r="B32" s="1">
        <v>1914792</v>
      </c>
      <c r="C32" s="2">
        <v>0</v>
      </c>
      <c r="E32">
        <v>2.515258</v>
      </c>
      <c r="F32">
        <v>761.270701</v>
      </c>
      <c r="G32" s="3">
        <f t="shared" si="0"/>
        <v>0.761270701</v>
      </c>
      <c r="I32" t="s">
        <v>52</v>
      </c>
      <c r="J32">
        <v>2.75025</v>
      </c>
      <c r="K32" s="5">
        <f t="shared" si="1"/>
        <v>0.696224706844832</v>
      </c>
      <c r="L32">
        <f t="shared" si="2"/>
        <v>0.914556025774112</v>
      </c>
      <c r="O32">
        <v>0.0018848</v>
      </c>
      <c r="P32" s="6">
        <f t="shared" si="3"/>
        <v>1.01591256366723</v>
      </c>
      <c r="Q32" s="4">
        <f t="shared" si="4"/>
        <v>0.685319516407599</v>
      </c>
      <c r="T32">
        <v>3.309</v>
      </c>
      <c r="U32" s="7">
        <f t="shared" si="5"/>
        <v>0.578661831368994</v>
      </c>
      <c r="V32">
        <f t="shared" si="6"/>
        <v>1.20316334878647</v>
      </c>
      <c r="Y32">
        <v>0.006573348</v>
      </c>
      <c r="Z32" s="8">
        <v>0.174777784471475</v>
      </c>
      <c r="AA32">
        <f t="shared" si="7"/>
        <v>3.98348513771475</v>
      </c>
      <c r="AD32" s="9">
        <v>0.503097</v>
      </c>
      <c r="AE32">
        <f t="shared" si="8"/>
        <v>1.38387767536843</v>
      </c>
      <c r="AH32">
        <v>2.6843</v>
      </c>
      <c r="AI32" s="10">
        <f t="shared" si="9"/>
        <v>0.713330104682785</v>
      </c>
      <c r="AJ32">
        <f t="shared" si="10"/>
        <v>0.976020361785292</v>
      </c>
    </row>
    <row r="33" spans="1:36">
      <c r="A33" s="1" t="s">
        <v>53</v>
      </c>
      <c r="B33" s="1">
        <v>1950786</v>
      </c>
      <c r="C33" s="2">
        <v>0.0388297</v>
      </c>
      <c r="E33">
        <v>1.75843</v>
      </c>
      <c r="F33">
        <v>1109.390579</v>
      </c>
      <c r="G33" s="3">
        <f t="shared" si="0"/>
        <v>1.109390579</v>
      </c>
      <c r="I33" t="s">
        <v>53</v>
      </c>
      <c r="J33">
        <v>1.25441</v>
      </c>
      <c r="K33" s="5">
        <f t="shared" si="1"/>
        <v>1.55514225811338</v>
      </c>
      <c r="L33">
        <f t="shared" si="2"/>
        <v>1.40179868799244</v>
      </c>
      <c r="O33">
        <v>0.0023328</v>
      </c>
      <c r="P33" s="6">
        <f t="shared" si="3"/>
        <v>0.836242283950617</v>
      </c>
      <c r="Q33" s="4">
        <f t="shared" si="4"/>
        <v>1.85967905230347</v>
      </c>
      <c r="T33">
        <v>3.949</v>
      </c>
      <c r="U33" s="7">
        <f t="shared" si="5"/>
        <v>0.49399493542669</v>
      </c>
      <c r="V33">
        <f t="shared" si="6"/>
        <v>3.14809352604013</v>
      </c>
      <c r="Y33">
        <v>0.00437175</v>
      </c>
      <c r="Z33" s="8">
        <v>0.267735254760679</v>
      </c>
      <c r="AA33">
        <f t="shared" si="7"/>
        <v>5.80850758523928</v>
      </c>
      <c r="AD33" s="9">
        <v>0.775053</v>
      </c>
      <c r="AE33">
        <f t="shared" si="8"/>
        <v>2.00649795318949</v>
      </c>
      <c r="AH33">
        <v>2.2462</v>
      </c>
      <c r="AI33" s="10">
        <f t="shared" si="9"/>
        <v>0.868482770901968</v>
      </c>
      <c r="AJ33">
        <f t="shared" si="10"/>
        <v>1.79064261286182</v>
      </c>
    </row>
    <row r="34" spans="1:36">
      <c r="A34" s="1" t="s">
        <v>55</v>
      </c>
      <c r="B34" s="1">
        <v>1966544</v>
      </c>
      <c r="C34" s="2">
        <v>0.000742115</v>
      </c>
      <c r="E34">
        <v>0.97058</v>
      </c>
      <c r="F34">
        <v>2026.152928</v>
      </c>
      <c r="G34" s="3">
        <f t="shared" si="0"/>
        <v>2.026152928</v>
      </c>
      <c r="I34" t="s">
        <v>55</v>
      </c>
      <c r="J34">
        <v>0.672354</v>
      </c>
      <c r="K34" s="5">
        <f t="shared" si="1"/>
        <v>2.92486398534106</v>
      </c>
      <c r="L34">
        <f t="shared" si="2"/>
        <v>1.44355539254787</v>
      </c>
      <c r="O34">
        <v>0.0007552</v>
      </c>
      <c r="P34" s="6">
        <f t="shared" si="3"/>
        <v>2.60400423728814</v>
      </c>
      <c r="Q34" s="4">
        <f t="shared" si="4"/>
        <v>1.12321782870333</v>
      </c>
      <c r="T34">
        <v>1.731</v>
      </c>
      <c r="U34" s="7">
        <f t="shared" si="5"/>
        <v>1.13607394569613</v>
      </c>
      <c r="V34">
        <f t="shared" si="6"/>
        <v>2.57453662802631</v>
      </c>
      <c r="Y34">
        <v>0.00403344</v>
      </c>
      <c r="Z34" s="8">
        <v>0.292535999047959</v>
      </c>
      <c r="AA34">
        <f t="shared" si="7"/>
        <v>9.99830446461239</v>
      </c>
      <c r="AD34" s="9">
        <v>1.405965</v>
      </c>
      <c r="AE34">
        <f t="shared" si="8"/>
        <v>2.08032489097599</v>
      </c>
      <c r="AH34">
        <v>1.5877</v>
      </c>
      <c r="AI34" s="10">
        <f t="shared" si="9"/>
        <v>1.23861182843106</v>
      </c>
      <c r="AJ34">
        <f t="shared" si="10"/>
        <v>2.36140485518046</v>
      </c>
    </row>
    <row r="35" spans="1:36">
      <c r="A35" s="1" t="s">
        <v>54</v>
      </c>
      <c r="B35" s="1">
        <v>1966544</v>
      </c>
      <c r="C35" s="2">
        <v>0.000474327</v>
      </c>
      <c r="E35">
        <v>0.969619</v>
      </c>
      <c r="F35">
        <v>2028.160649</v>
      </c>
      <c r="G35" s="3">
        <f t="shared" si="0"/>
        <v>2.028160649</v>
      </c>
      <c r="I35" t="s">
        <v>54</v>
      </c>
      <c r="J35">
        <v>0.719464</v>
      </c>
      <c r="K35" s="5">
        <f t="shared" si="1"/>
        <v>2.7333459353074</v>
      </c>
      <c r="L35">
        <f t="shared" si="2"/>
        <v>1.34769695716909</v>
      </c>
      <c r="O35">
        <v>0.0007616</v>
      </c>
      <c r="P35" s="6">
        <f t="shared" si="3"/>
        <v>2.5821218487395</v>
      </c>
      <c r="Q35" s="4">
        <f t="shared" si="4"/>
        <v>1.05856582122247</v>
      </c>
      <c r="T35">
        <v>1.719</v>
      </c>
      <c r="U35" s="7">
        <f t="shared" si="5"/>
        <v>1.14400465386853</v>
      </c>
      <c r="V35">
        <f t="shared" si="6"/>
        <v>2.38927868524346</v>
      </c>
      <c r="Y35">
        <v>0.004107564</v>
      </c>
      <c r="Z35" s="8">
        <v>0.28725697274589</v>
      </c>
      <c r="AA35">
        <f t="shared" si="7"/>
        <v>9.5153336372633</v>
      </c>
      <c r="AD35" s="9">
        <v>1.390638</v>
      </c>
      <c r="AE35">
        <f t="shared" si="8"/>
        <v>1.96553375882681</v>
      </c>
      <c r="AH35">
        <v>1.5522</v>
      </c>
      <c r="AI35" s="10">
        <f t="shared" si="9"/>
        <v>1.26693982734184</v>
      </c>
      <c r="AJ35">
        <f t="shared" si="10"/>
        <v>2.15743942712908</v>
      </c>
    </row>
    <row r="36" spans="1:36">
      <c r="A36" s="1" t="s">
        <v>56</v>
      </c>
      <c r="B36" s="1">
        <v>1985616</v>
      </c>
      <c r="C36" s="2">
        <v>0</v>
      </c>
      <c r="E36">
        <v>1.02186</v>
      </c>
      <c r="F36">
        <v>1943.13977</v>
      </c>
      <c r="G36" s="3">
        <f t="shared" si="0"/>
        <v>1.94313977</v>
      </c>
      <c r="I36" t="s">
        <v>56</v>
      </c>
      <c r="J36">
        <v>0.663746</v>
      </c>
      <c r="K36" s="5">
        <f t="shared" si="1"/>
        <v>2.99152989245886</v>
      </c>
      <c r="L36">
        <f t="shared" si="2"/>
        <v>1.53953407708745</v>
      </c>
      <c r="O36">
        <v>0.0007408</v>
      </c>
      <c r="P36" s="6">
        <f t="shared" si="3"/>
        <v>2.68036717062635</v>
      </c>
      <c r="Q36" s="4">
        <f t="shared" si="4"/>
        <v>1.11608958848716</v>
      </c>
      <c r="T36">
        <v>1.699</v>
      </c>
      <c r="U36" s="7">
        <f t="shared" si="5"/>
        <v>1.16869688051795</v>
      </c>
      <c r="V36">
        <f t="shared" si="6"/>
        <v>2.55971410750498</v>
      </c>
      <c r="Y36">
        <v>0.00390105</v>
      </c>
      <c r="Z36" s="8">
        <v>0.305397162302457</v>
      </c>
      <c r="AA36">
        <f t="shared" si="7"/>
        <v>9.79553925748705</v>
      </c>
      <c r="AD36" s="9">
        <v>1.406067</v>
      </c>
      <c r="AE36">
        <f t="shared" si="8"/>
        <v>2.12758701573884</v>
      </c>
      <c r="AH36">
        <v>1.8726</v>
      </c>
      <c r="AI36" s="10">
        <f t="shared" si="9"/>
        <v>1.06035245113746</v>
      </c>
      <c r="AJ36">
        <f t="shared" si="10"/>
        <v>2.82125993979625</v>
      </c>
    </row>
    <row r="37" spans="1:36">
      <c r="A37" s="1" t="s">
        <v>57</v>
      </c>
      <c r="B37" s="1">
        <v>2034652</v>
      </c>
      <c r="C37" s="2">
        <v>0.000328839</v>
      </c>
      <c r="E37">
        <v>1.104128</v>
      </c>
      <c r="F37">
        <v>1842.76891</v>
      </c>
      <c r="G37" s="3">
        <f t="shared" si="0"/>
        <v>1.84276891</v>
      </c>
      <c r="I37" t="s">
        <v>57</v>
      </c>
      <c r="J37">
        <v>0.717454</v>
      </c>
      <c r="K37" s="5">
        <f t="shared" si="1"/>
        <v>2.83593373233685</v>
      </c>
      <c r="L37">
        <f t="shared" si="2"/>
        <v>1.53895245190394</v>
      </c>
      <c r="O37">
        <v>0.0037824</v>
      </c>
      <c r="P37" s="6">
        <f t="shared" si="3"/>
        <v>0.537926184433164</v>
      </c>
      <c r="Q37" s="4">
        <f t="shared" si="4"/>
        <v>5.27197562491811</v>
      </c>
      <c r="T37">
        <v>1.737</v>
      </c>
      <c r="U37" s="7">
        <f t="shared" si="5"/>
        <v>1.17135981577432</v>
      </c>
      <c r="V37">
        <f t="shared" si="6"/>
        <v>2.42106114120208</v>
      </c>
      <c r="Y37">
        <v>0.00324072</v>
      </c>
      <c r="Z37" s="8">
        <v>0.37670369547508</v>
      </c>
      <c r="AA37">
        <f t="shared" si="7"/>
        <v>7.5282875278415</v>
      </c>
      <c r="AD37" s="9">
        <v>1.417593</v>
      </c>
      <c r="AE37">
        <f t="shared" si="8"/>
        <v>2.00052746616049</v>
      </c>
      <c r="AH37">
        <v>1.757</v>
      </c>
      <c r="AI37" s="10">
        <f t="shared" si="9"/>
        <v>1.15802618099032</v>
      </c>
      <c r="AJ37">
        <f t="shared" si="10"/>
        <v>2.44893749285668</v>
      </c>
    </row>
    <row r="38" spans="1:36">
      <c r="A38" s="1" t="s">
        <v>58</v>
      </c>
      <c r="B38" s="1">
        <v>2075630</v>
      </c>
      <c r="C38" s="2">
        <v>0.0539195</v>
      </c>
      <c r="E38">
        <v>1.437174</v>
      </c>
      <c r="F38">
        <v>1444.244175</v>
      </c>
      <c r="G38" s="3">
        <f t="shared" si="0"/>
        <v>1.444244175</v>
      </c>
      <c r="I38" t="s">
        <v>58</v>
      </c>
      <c r="J38">
        <v>0.665254</v>
      </c>
      <c r="K38" s="5">
        <f t="shared" si="1"/>
        <v>3.12005639951056</v>
      </c>
      <c r="L38">
        <f t="shared" si="2"/>
        <v>2.1603385726036</v>
      </c>
      <c r="O38">
        <v>0.0011504</v>
      </c>
      <c r="P38" s="6">
        <f t="shared" si="3"/>
        <v>1.80426808066759</v>
      </c>
      <c r="Q38" s="4">
        <f t="shared" si="4"/>
        <v>1.72926431107517</v>
      </c>
      <c r="T38">
        <v>3.455</v>
      </c>
      <c r="U38" s="7">
        <f t="shared" si="5"/>
        <v>0.600761215629522</v>
      </c>
      <c r="V38">
        <f t="shared" si="6"/>
        <v>5.19350503717377</v>
      </c>
      <c r="Y38">
        <v>0.003175164</v>
      </c>
      <c r="Z38" s="8">
        <v>0.392224779570441</v>
      </c>
      <c r="AA38">
        <f t="shared" si="7"/>
        <v>7.95476614947073</v>
      </c>
      <c r="AD38" s="9">
        <v>1.091883</v>
      </c>
      <c r="AE38">
        <f t="shared" si="8"/>
        <v>2.85750066583193</v>
      </c>
      <c r="AH38">
        <v>1.3468</v>
      </c>
      <c r="AI38" s="10">
        <f t="shared" si="9"/>
        <v>1.54115681615682</v>
      </c>
      <c r="AJ38">
        <f t="shared" si="10"/>
        <v>2.02448989408557</v>
      </c>
    </row>
    <row r="39" spans="1:36">
      <c r="A39" s="1" t="s">
        <v>59</v>
      </c>
      <c r="B39" s="1">
        <v>2128552</v>
      </c>
      <c r="C39" s="2">
        <v>0.000712885</v>
      </c>
      <c r="E39">
        <v>1.690039</v>
      </c>
      <c r="F39">
        <v>1259.468906</v>
      </c>
      <c r="G39" s="3">
        <f t="shared" si="0"/>
        <v>1.259468906</v>
      </c>
      <c r="I39" t="s">
        <v>59</v>
      </c>
      <c r="J39">
        <v>1.21161</v>
      </c>
      <c r="K39" s="5">
        <f t="shared" si="1"/>
        <v>1.75679632885169</v>
      </c>
      <c r="L39">
        <f t="shared" si="2"/>
        <v>1.39487074312233</v>
      </c>
      <c r="O39">
        <v>0.0017024</v>
      </c>
      <c r="P39" s="6">
        <f t="shared" si="3"/>
        <v>1.2503242481203</v>
      </c>
      <c r="Q39" s="4">
        <f t="shared" si="4"/>
        <v>1.40507258936456</v>
      </c>
      <c r="T39">
        <v>3.989</v>
      </c>
      <c r="U39" s="7">
        <f t="shared" si="5"/>
        <v>0.53360541489095</v>
      </c>
      <c r="V39">
        <f t="shared" si="6"/>
        <v>3.29231353323264</v>
      </c>
      <c r="Y39">
        <v>0.005906466</v>
      </c>
      <c r="Z39" s="8">
        <v>0.216225946276504</v>
      </c>
      <c r="AA39">
        <f t="shared" si="7"/>
        <v>8.12481739173498</v>
      </c>
      <c r="AD39" s="9">
        <v>0.808521</v>
      </c>
      <c r="AE39">
        <f t="shared" si="8"/>
        <v>2.17285182308399</v>
      </c>
      <c r="AH39">
        <v>2.0648</v>
      </c>
      <c r="AI39" s="10">
        <f t="shared" si="9"/>
        <v>1.03087562960093</v>
      </c>
      <c r="AJ39">
        <f t="shared" si="10"/>
        <v>1.70417873738249</v>
      </c>
    </row>
    <row r="40" spans="1:36">
      <c r="A40" s="1" t="s">
        <v>61</v>
      </c>
      <c r="B40" s="1">
        <v>2166306</v>
      </c>
      <c r="C40" s="2">
        <v>0.497081</v>
      </c>
      <c r="E40">
        <v>0.98097</v>
      </c>
      <c r="F40">
        <v>2208.33109</v>
      </c>
      <c r="G40" s="3">
        <f t="shared" si="0"/>
        <v>2.20833109</v>
      </c>
      <c r="I40" t="s">
        <v>61</v>
      </c>
      <c r="J40">
        <v>0.378173</v>
      </c>
      <c r="K40" s="5">
        <f t="shared" si="1"/>
        <v>5.72834655038831</v>
      </c>
      <c r="L40">
        <f t="shared" si="2"/>
        <v>2.59397088431532</v>
      </c>
      <c r="O40">
        <v>0.0007264</v>
      </c>
      <c r="P40" s="6">
        <f t="shared" si="3"/>
        <v>2.98224944933921</v>
      </c>
      <c r="Q40" s="4">
        <f t="shared" si="4"/>
        <v>1.92081401898073</v>
      </c>
      <c r="T40">
        <v>2.654</v>
      </c>
      <c r="U40" s="7">
        <f t="shared" si="5"/>
        <v>0.816241899020347</v>
      </c>
      <c r="V40">
        <f t="shared" si="6"/>
        <v>7.01795210128698</v>
      </c>
      <c r="Y40">
        <v>0.002667402</v>
      </c>
      <c r="Z40" s="8">
        <v>0.48728448130428</v>
      </c>
      <c r="AA40">
        <f t="shared" si="7"/>
        <v>11.7556515139896</v>
      </c>
      <c r="AD40" s="9">
        <v>1.919073</v>
      </c>
      <c r="AE40">
        <f t="shared" si="8"/>
        <v>2.98495500191411</v>
      </c>
      <c r="AH40">
        <v>0.8375</v>
      </c>
      <c r="AI40" s="10">
        <f t="shared" si="9"/>
        <v>2.58663402985075</v>
      </c>
      <c r="AJ40">
        <f t="shared" si="10"/>
        <v>2.21459490762164</v>
      </c>
    </row>
    <row r="41" spans="1:36">
      <c r="A41" s="1" t="s">
        <v>60</v>
      </c>
      <c r="B41" s="1">
        <v>2166306</v>
      </c>
      <c r="C41" s="2">
        <v>0.450936</v>
      </c>
      <c r="E41">
        <v>0.966425</v>
      </c>
      <c r="F41">
        <v>2241.567284</v>
      </c>
      <c r="G41" s="3">
        <f t="shared" si="0"/>
        <v>2.241567284</v>
      </c>
      <c r="I41" t="s">
        <v>60</v>
      </c>
      <c r="J41">
        <v>0.385537</v>
      </c>
      <c r="K41" s="5">
        <f t="shared" si="1"/>
        <v>5.61893151630064</v>
      </c>
      <c r="L41">
        <f t="shared" si="2"/>
        <v>2.50669768264723</v>
      </c>
      <c r="O41">
        <v>0.0006992</v>
      </c>
      <c r="P41" s="6">
        <f t="shared" si="3"/>
        <v>3.09826372997712</v>
      </c>
      <c r="Q41" s="4">
        <f t="shared" si="4"/>
        <v>1.81357431323064</v>
      </c>
      <c r="T41">
        <v>2.722</v>
      </c>
      <c r="U41" s="7">
        <f t="shared" si="5"/>
        <v>0.795850844966936</v>
      </c>
      <c r="V41">
        <f t="shared" si="6"/>
        <v>7.0602821519076</v>
      </c>
      <c r="Y41">
        <v>0.00268506</v>
      </c>
      <c r="Z41" s="8">
        <v>0.484079908828853</v>
      </c>
      <c r="AA41">
        <f t="shared" si="7"/>
        <v>11.6074462373261</v>
      </c>
      <c r="AD41" s="9">
        <v>1.929429</v>
      </c>
      <c r="AE41">
        <f t="shared" si="8"/>
        <v>2.91222507607206</v>
      </c>
      <c r="AH41">
        <v>0.8532</v>
      </c>
      <c r="AI41" s="10">
        <f t="shared" si="9"/>
        <v>2.53903656821378</v>
      </c>
      <c r="AJ41">
        <f t="shared" si="10"/>
        <v>2.21301716826141</v>
      </c>
    </row>
    <row r="42" spans="1:36">
      <c r="A42" s="1" t="s">
        <v>62</v>
      </c>
      <c r="B42" s="1">
        <v>2174000</v>
      </c>
      <c r="C42" s="2">
        <v>0</v>
      </c>
      <c r="E42">
        <v>1.940646</v>
      </c>
      <c r="F42">
        <v>1120.245298</v>
      </c>
      <c r="G42" s="3">
        <f t="shared" si="0"/>
        <v>1.120245298</v>
      </c>
      <c r="I42" t="s">
        <v>62</v>
      </c>
      <c r="J42">
        <v>1.97778</v>
      </c>
      <c r="K42" s="5">
        <f t="shared" si="1"/>
        <v>1.09921224807613</v>
      </c>
      <c r="L42">
        <f t="shared" si="2"/>
        <v>0.981224603253033</v>
      </c>
      <c r="O42">
        <v>0.0011264</v>
      </c>
      <c r="P42" s="6">
        <f t="shared" si="3"/>
        <v>1.93004261363636</v>
      </c>
      <c r="Q42" s="4">
        <f t="shared" si="4"/>
        <v>0.569527449969157</v>
      </c>
      <c r="T42">
        <v>4.156</v>
      </c>
      <c r="U42" s="7">
        <f t="shared" si="5"/>
        <v>0.523099133782483</v>
      </c>
      <c r="V42">
        <f t="shared" si="6"/>
        <v>2.10134595354387</v>
      </c>
      <c r="Y42">
        <v>0.005239602</v>
      </c>
      <c r="Z42" s="8">
        <v>0.24895020652332</v>
      </c>
      <c r="AA42">
        <f t="shared" si="7"/>
        <v>4.41538998270788</v>
      </c>
      <c r="AD42" s="9">
        <v>1.075302</v>
      </c>
      <c r="AE42">
        <f t="shared" si="8"/>
        <v>1.02223584451264</v>
      </c>
      <c r="AH42">
        <v>1.7596</v>
      </c>
      <c r="AI42" s="10">
        <f t="shared" si="9"/>
        <v>1.23550807001591</v>
      </c>
      <c r="AJ42">
        <f t="shared" si="10"/>
        <v>0.889684393613041</v>
      </c>
    </row>
    <row r="43" spans="1:36">
      <c r="A43" s="1" t="s">
        <v>63</v>
      </c>
      <c r="B43" s="1">
        <v>2245280</v>
      </c>
      <c r="C43" s="2">
        <v>0</v>
      </c>
      <c r="E43">
        <v>1.071451</v>
      </c>
      <c r="F43">
        <v>2095.550711</v>
      </c>
      <c r="G43" s="3">
        <f t="shared" si="0"/>
        <v>2.095550711</v>
      </c>
      <c r="I43" t="s">
        <v>63</v>
      </c>
      <c r="J43">
        <v>0.511085</v>
      </c>
      <c r="K43" s="5">
        <f t="shared" si="1"/>
        <v>4.39316356379076</v>
      </c>
      <c r="L43">
        <f t="shared" si="2"/>
        <v>2.09642436268905</v>
      </c>
      <c r="O43">
        <v>0.0009696</v>
      </c>
      <c r="P43" s="6">
        <f t="shared" si="3"/>
        <v>2.31567656765677</v>
      </c>
      <c r="Q43" s="4">
        <f t="shared" si="4"/>
        <v>1.89714039738987</v>
      </c>
      <c r="T43">
        <v>3.809</v>
      </c>
      <c r="U43" s="7">
        <f t="shared" si="5"/>
        <v>0.589467051719611</v>
      </c>
      <c r="V43">
        <f t="shared" si="6"/>
        <v>7.45277204378919</v>
      </c>
      <c r="Y43">
        <v>0.005948334</v>
      </c>
      <c r="Z43" s="8">
        <v>0.226478203813034</v>
      </c>
      <c r="AA43">
        <f t="shared" si="7"/>
        <v>19.3977322754532</v>
      </c>
      <c r="AD43" s="9">
        <v>1.375371</v>
      </c>
      <c r="AE43">
        <f t="shared" si="8"/>
        <v>3.19416620227616</v>
      </c>
      <c r="AH43">
        <v>1.2599</v>
      </c>
      <c r="AI43" s="10">
        <f t="shared" si="9"/>
        <v>1.78210969124534</v>
      </c>
      <c r="AJ43">
        <f t="shared" si="10"/>
        <v>2.46514767602258</v>
      </c>
    </row>
    <row r="44" spans="1:36">
      <c r="A44" s="1" t="s">
        <v>64</v>
      </c>
      <c r="B44" s="1">
        <v>2329272</v>
      </c>
      <c r="C44" s="2">
        <v>0.0106727</v>
      </c>
      <c r="E44">
        <v>1.676757</v>
      </c>
      <c r="F44">
        <v>1389.152889</v>
      </c>
      <c r="G44" s="3">
        <f t="shared" si="0"/>
        <v>1.389152889</v>
      </c>
      <c r="I44" t="s">
        <v>64</v>
      </c>
      <c r="J44">
        <v>1.02513</v>
      </c>
      <c r="K44" s="5">
        <f t="shared" si="1"/>
        <v>2.27217230985338</v>
      </c>
      <c r="L44">
        <f t="shared" si="2"/>
        <v>1.63565315801131</v>
      </c>
      <c r="O44">
        <v>0.0007792</v>
      </c>
      <c r="P44" s="6">
        <f t="shared" si="3"/>
        <v>2.98931211498973</v>
      </c>
      <c r="Q44" s="4">
        <f t="shared" si="4"/>
        <v>0.760098719186835</v>
      </c>
      <c r="T44">
        <v>1.997</v>
      </c>
      <c r="U44" s="7">
        <f t="shared" si="5"/>
        <v>1.16638557836755</v>
      </c>
      <c r="V44">
        <f t="shared" si="6"/>
        <v>1.94804561372704</v>
      </c>
      <c r="Y44">
        <v>0.001332378</v>
      </c>
      <c r="Z44" s="8">
        <v>1.04892395401305</v>
      </c>
      <c r="AA44">
        <f t="shared" si="7"/>
        <v>2.16619355593925</v>
      </c>
      <c r="AD44" s="9">
        <v>1.525221</v>
      </c>
      <c r="AE44">
        <f t="shared" si="8"/>
        <v>1.48973316644171</v>
      </c>
      <c r="AH44">
        <v>2.164</v>
      </c>
      <c r="AI44" s="10">
        <f t="shared" si="9"/>
        <v>1.07637338262477</v>
      </c>
      <c r="AJ44">
        <f t="shared" si="10"/>
        <v>2.11095178172524</v>
      </c>
    </row>
    <row r="45" spans="1:36">
      <c r="A45" s="1" t="s">
        <v>65</v>
      </c>
      <c r="B45" s="1">
        <v>2329410</v>
      </c>
      <c r="C45" s="2">
        <v>0.17308</v>
      </c>
      <c r="E45">
        <v>1.507153</v>
      </c>
      <c r="F45">
        <v>1545.5698</v>
      </c>
      <c r="G45" s="3">
        <f t="shared" si="0"/>
        <v>1.5455698</v>
      </c>
      <c r="I45" t="s">
        <v>65</v>
      </c>
      <c r="J45">
        <v>1.06698</v>
      </c>
      <c r="K45" s="5">
        <f t="shared" si="1"/>
        <v>2.18318056570882</v>
      </c>
      <c r="L45">
        <f t="shared" si="2"/>
        <v>1.41254090608449</v>
      </c>
      <c r="O45">
        <v>0.000912</v>
      </c>
      <c r="P45" s="6">
        <f t="shared" si="3"/>
        <v>2.55417763157895</v>
      </c>
      <c r="Q45" s="4">
        <f t="shared" si="4"/>
        <v>0.854748917505483</v>
      </c>
      <c r="T45">
        <v>28.229</v>
      </c>
      <c r="U45" s="7">
        <f t="shared" si="5"/>
        <v>0.0825183322115555</v>
      </c>
      <c r="V45">
        <f t="shared" si="6"/>
        <v>26.4569157809893</v>
      </c>
      <c r="Y45">
        <v>0.006512616</v>
      </c>
      <c r="Z45" s="8">
        <v>0.214605927940477</v>
      </c>
      <c r="AA45">
        <f t="shared" si="7"/>
        <v>10.172974188832</v>
      </c>
      <c r="AD45" s="9">
        <v>1.267317</v>
      </c>
      <c r="AE45">
        <f t="shared" si="8"/>
        <v>1.72267914476711</v>
      </c>
      <c r="AH45">
        <v>1.7055</v>
      </c>
      <c r="AI45" s="10">
        <f t="shared" si="9"/>
        <v>1.36582233948989</v>
      </c>
      <c r="AJ45">
        <f t="shared" si="10"/>
        <v>1.59843670921667</v>
      </c>
    </row>
    <row r="46" spans="1:36">
      <c r="A46" s="1" t="s">
        <v>66</v>
      </c>
      <c r="B46" s="1">
        <v>2329410</v>
      </c>
      <c r="C46" s="2">
        <v>0.17308</v>
      </c>
      <c r="E46">
        <v>1.374192</v>
      </c>
      <c r="F46">
        <v>1695.111956</v>
      </c>
      <c r="G46" s="3">
        <f t="shared" si="0"/>
        <v>1.695111956</v>
      </c>
      <c r="I46" t="s">
        <v>66</v>
      </c>
      <c r="J46">
        <v>1.04706</v>
      </c>
      <c r="K46" s="5">
        <f t="shared" si="1"/>
        <v>2.22471491605066</v>
      </c>
      <c r="L46">
        <f t="shared" si="2"/>
        <v>1.31242948772562</v>
      </c>
      <c r="O46">
        <v>0.0009024</v>
      </c>
      <c r="P46" s="6">
        <f t="shared" si="3"/>
        <v>2.58134973404255</v>
      </c>
      <c r="Q46" s="4">
        <f t="shared" si="4"/>
        <v>0.861841728267721</v>
      </c>
      <c r="T46">
        <v>28.008</v>
      </c>
      <c r="U46" s="7">
        <f t="shared" si="5"/>
        <v>0.0831694515852614</v>
      </c>
      <c r="V46">
        <f t="shared" si="6"/>
        <v>26.7491834278838</v>
      </c>
      <c r="Y46">
        <v>0.006561342</v>
      </c>
      <c r="Z46" s="8">
        <v>0.213012216098475</v>
      </c>
      <c r="AA46">
        <f t="shared" si="7"/>
        <v>10.4440719729528</v>
      </c>
      <c r="AD46" s="9">
        <v>1.253205</v>
      </c>
      <c r="AE46">
        <f t="shared" si="8"/>
        <v>1.77522026807319</v>
      </c>
      <c r="AH46">
        <v>1.7543</v>
      </c>
      <c r="AI46" s="10">
        <f t="shared" si="9"/>
        <v>1.32782876360942</v>
      </c>
      <c r="AJ46">
        <f t="shared" si="10"/>
        <v>1.67545317364812</v>
      </c>
    </row>
    <row r="47" spans="1:36">
      <c r="A47" s="1" t="s">
        <v>67</v>
      </c>
      <c r="B47" s="1">
        <v>2339364</v>
      </c>
      <c r="C47" s="2">
        <v>0.0702167</v>
      </c>
      <c r="E47">
        <v>1.688458</v>
      </c>
      <c r="F47">
        <v>1385.503144</v>
      </c>
      <c r="G47" s="3">
        <f t="shared" si="0"/>
        <v>1.385503144</v>
      </c>
      <c r="I47" t="s">
        <v>67</v>
      </c>
      <c r="J47">
        <v>1.24474</v>
      </c>
      <c r="K47" s="5">
        <f t="shared" si="1"/>
        <v>1.8793997139965</v>
      </c>
      <c r="L47">
        <f t="shared" si="2"/>
        <v>1.35647452128517</v>
      </c>
      <c r="O47">
        <v>0.0012288</v>
      </c>
      <c r="P47" s="6">
        <f t="shared" si="3"/>
        <v>1.903779296875</v>
      </c>
      <c r="Q47" s="4">
        <f t="shared" si="4"/>
        <v>0.987194112826775</v>
      </c>
      <c r="T47">
        <v>7.062</v>
      </c>
      <c r="U47" s="7">
        <f t="shared" si="5"/>
        <v>0.331260832625319</v>
      </c>
      <c r="V47">
        <f t="shared" si="6"/>
        <v>5.67347397850153</v>
      </c>
      <c r="Y47">
        <v>0.00625392</v>
      </c>
      <c r="Z47" s="8">
        <v>0.224438176375777</v>
      </c>
      <c r="AA47">
        <f t="shared" si="7"/>
        <v>8.37379693751306</v>
      </c>
      <c r="AD47" s="9">
        <v>1.154352</v>
      </c>
      <c r="AE47">
        <f t="shared" si="8"/>
        <v>1.6280993267188</v>
      </c>
      <c r="AH47">
        <v>1.7025</v>
      </c>
      <c r="AI47" s="10">
        <f t="shared" si="9"/>
        <v>1.37407577092511</v>
      </c>
      <c r="AJ47">
        <f t="shared" si="10"/>
        <v>1.367755515208</v>
      </c>
    </row>
    <row r="48" spans="1:36">
      <c r="A48" s="1" t="s">
        <v>68</v>
      </c>
      <c r="B48" s="1">
        <v>2339364</v>
      </c>
      <c r="C48" s="2">
        <v>0.0702167</v>
      </c>
      <c r="E48">
        <v>1.674639</v>
      </c>
      <c r="F48">
        <v>1396.936225</v>
      </c>
      <c r="G48" s="3">
        <f t="shared" si="0"/>
        <v>1.396936225</v>
      </c>
      <c r="I48" t="s">
        <v>68</v>
      </c>
      <c r="J48">
        <v>1.27545</v>
      </c>
      <c r="K48" s="5">
        <f t="shared" si="1"/>
        <v>1.83414794778314</v>
      </c>
      <c r="L48">
        <f t="shared" si="2"/>
        <v>1.31297901433055</v>
      </c>
      <c r="O48">
        <v>0.001248</v>
      </c>
      <c r="P48" s="6">
        <f t="shared" si="3"/>
        <v>1.87449038461538</v>
      </c>
      <c r="Q48" s="4">
        <f t="shared" si="4"/>
        <v>0.978478184170293</v>
      </c>
      <c r="T48">
        <v>7.114</v>
      </c>
      <c r="U48" s="7">
        <f t="shared" si="5"/>
        <v>0.328839471464717</v>
      </c>
      <c r="V48">
        <f t="shared" si="6"/>
        <v>5.57763926457329</v>
      </c>
      <c r="Y48">
        <v>0.006340932</v>
      </c>
      <c r="Z48" s="8">
        <v>0.221358374447163</v>
      </c>
      <c r="AA48">
        <f t="shared" si="7"/>
        <v>8.28587557332707</v>
      </c>
      <c r="AD48" s="9">
        <v>1.153713</v>
      </c>
      <c r="AE48">
        <f t="shared" si="8"/>
        <v>1.58977834850013</v>
      </c>
      <c r="AH48">
        <v>1.7891</v>
      </c>
      <c r="AI48" s="10">
        <f t="shared" si="9"/>
        <v>1.30756469733386</v>
      </c>
      <c r="AJ48">
        <f t="shared" si="10"/>
        <v>1.40272060841272</v>
      </c>
    </row>
    <row r="49" spans="1:36">
      <c r="A49" s="1" t="s">
        <v>69</v>
      </c>
      <c r="B49" s="1">
        <v>2355242</v>
      </c>
      <c r="C49" s="2">
        <v>0</v>
      </c>
      <c r="E49">
        <v>1.431079</v>
      </c>
      <c r="F49">
        <v>1645.780348</v>
      </c>
      <c r="G49" s="3">
        <f t="shared" si="0"/>
        <v>1.645780348</v>
      </c>
      <c r="I49" t="s">
        <v>69</v>
      </c>
      <c r="J49">
        <v>0.840191</v>
      </c>
      <c r="K49" s="5">
        <f t="shared" si="1"/>
        <v>2.80322212449312</v>
      </c>
      <c r="L49">
        <f t="shared" si="2"/>
        <v>1.7032784040104</v>
      </c>
      <c r="O49">
        <v>0.0009024</v>
      </c>
      <c r="P49" s="6">
        <f t="shared" si="3"/>
        <v>2.60997562056738</v>
      </c>
      <c r="Q49" s="4">
        <f t="shared" si="4"/>
        <v>1.07404149770707</v>
      </c>
      <c r="T49">
        <v>3.802</v>
      </c>
      <c r="U49" s="7">
        <f t="shared" si="5"/>
        <v>0.619474487112046</v>
      </c>
      <c r="V49">
        <f t="shared" si="6"/>
        <v>4.52516154064968</v>
      </c>
      <c r="Y49">
        <v>0.00306036</v>
      </c>
      <c r="Z49" s="8">
        <v>0.461757832411873</v>
      </c>
      <c r="AA49">
        <f t="shared" si="7"/>
        <v>6.07076248138816</v>
      </c>
      <c r="AD49" s="9">
        <v>1.578651</v>
      </c>
      <c r="AE49">
        <f t="shared" si="8"/>
        <v>1.77570731244152</v>
      </c>
      <c r="AH49">
        <v>1.264</v>
      </c>
      <c r="AI49" s="10">
        <f t="shared" si="9"/>
        <v>1.86332436708861</v>
      </c>
      <c r="AJ49">
        <f t="shared" si="10"/>
        <v>1.50441982834855</v>
      </c>
    </row>
    <row r="50" spans="1:36">
      <c r="A50" s="1" t="s">
        <v>70</v>
      </c>
      <c r="B50" s="1">
        <v>2397676</v>
      </c>
      <c r="C50" s="2">
        <v>0.00795848</v>
      </c>
      <c r="E50">
        <v>1.397559</v>
      </c>
      <c r="F50">
        <v>1715.616901</v>
      </c>
      <c r="G50" s="3">
        <f t="shared" si="0"/>
        <v>1.715616901</v>
      </c>
      <c r="I50" t="s">
        <v>70</v>
      </c>
      <c r="J50">
        <v>0.859172</v>
      </c>
      <c r="K50" s="5">
        <f t="shared" si="1"/>
        <v>2.79068219169154</v>
      </c>
      <c r="L50">
        <f t="shared" si="2"/>
        <v>1.62663482159968</v>
      </c>
      <c r="O50">
        <v>0.0009488</v>
      </c>
      <c r="P50" s="6">
        <f t="shared" si="3"/>
        <v>2.52706155143339</v>
      </c>
      <c r="Q50" s="4">
        <f t="shared" si="4"/>
        <v>1.10431904205444</v>
      </c>
      <c r="T50">
        <v>3.582</v>
      </c>
      <c r="U50" s="7">
        <f t="shared" si="5"/>
        <v>0.669367950865438</v>
      </c>
      <c r="V50">
        <f t="shared" si="6"/>
        <v>4.1691302789197</v>
      </c>
      <c r="Y50">
        <v>0.004422474</v>
      </c>
      <c r="Z50" s="8">
        <v>0.32529430359568</v>
      </c>
      <c r="AA50">
        <f t="shared" si="7"/>
        <v>8.57894577570032</v>
      </c>
      <c r="AD50" s="9">
        <v>1.573131</v>
      </c>
      <c r="AE50">
        <f t="shared" si="8"/>
        <v>1.77396681629917</v>
      </c>
      <c r="AH50">
        <v>1.5212</v>
      </c>
      <c r="AI50" s="10">
        <f t="shared" si="9"/>
        <v>1.57617407310018</v>
      </c>
      <c r="AJ50">
        <f t="shared" si="10"/>
        <v>1.77054187054513</v>
      </c>
    </row>
    <row r="51" spans="1:36">
      <c r="A51" s="1" t="s">
        <v>71</v>
      </c>
      <c r="B51" s="1">
        <v>2418468</v>
      </c>
      <c r="C51" s="2">
        <v>0</v>
      </c>
      <c r="E51">
        <v>1.933771</v>
      </c>
      <c r="F51">
        <v>1250.648558</v>
      </c>
      <c r="G51" s="3">
        <f t="shared" si="0"/>
        <v>1.250648558</v>
      </c>
      <c r="I51" t="s">
        <v>71</v>
      </c>
      <c r="J51">
        <v>1.05418</v>
      </c>
      <c r="K51" s="5">
        <f t="shared" si="1"/>
        <v>2.29416987611224</v>
      </c>
      <c r="L51">
        <f t="shared" si="2"/>
        <v>1.83438413728394</v>
      </c>
      <c r="O51">
        <v>0.0007648</v>
      </c>
      <c r="P51" s="6">
        <f t="shared" si="3"/>
        <v>3.16222280334728</v>
      </c>
      <c r="Q51" s="4">
        <f t="shared" si="4"/>
        <v>0.725492800091066</v>
      </c>
      <c r="T51">
        <v>1.921</v>
      </c>
      <c r="U51" s="7">
        <f t="shared" si="5"/>
        <v>1.25896304008329</v>
      </c>
      <c r="V51">
        <f t="shared" si="6"/>
        <v>1.82226944165133</v>
      </c>
      <c r="Y51">
        <v>0.007831764</v>
      </c>
      <c r="Z51" s="8">
        <v>0.185281476816717</v>
      </c>
      <c r="AA51">
        <f t="shared" si="7"/>
        <v>12.3820789618471</v>
      </c>
      <c r="AD51" s="9">
        <v>1.583352</v>
      </c>
      <c r="AE51">
        <f t="shared" si="8"/>
        <v>1.44893231328993</v>
      </c>
      <c r="AH51">
        <v>2.204</v>
      </c>
      <c r="AI51" s="10">
        <f t="shared" si="9"/>
        <v>1.09730852994555</v>
      </c>
      <c r="AJ51">
        <f t="shared" si="10"/>
        <v>2.09072454419549</v>
      </c>
    </row>
    <row r="52" spans="1:36">
      <c r="A52" s="1" t="s">
        <v>72</v>
      </c>
      <c r="B52" s="1">
        <v>2418880</v>
      </c>
      <c r="C52" s="2">
        <v>0</v>
      </c>
      <c r="E52">
        <v>1.823616</v>
      </c>
      <c r="F52">
        <v>1326.419949</v>
      </c>
      <c r="G52" s="3">
        <f t="shared" si="0"/>
        <v>1.326419949</v>
      </c>
      <c r="I52" t="s">
        <v>72</v>
      </c>
      <c r="J52">
        <v>1.02235</v>
      </c>
      <c r="K52" s="5">
        <f t="shared" si="1"/>
        <v>2.36599990218614</v>
      </c>
      <c r="L52">
        <f t="shared" si="2"/>
        <v>1.78374873204364</v>
      </c>
      <c r="O52">
        <v>0.0007776</v>
      </c>
      <c r="P52" s="6">
        <f t="shared" si="3"/>
        <v>3.11069958847737</v>
      </c>
      <c r="Q52" s="4">
        <f t="shared" si="4"/>
        <v>0.760600577101775</v>
      </c>
      <c r="T52">
        <v>2.086</v>
      </c>
      <c r="U52" s="7">
        <f t="shared" si="5"/>
        <v>1.15957813998082</v>
      </c>
      <c r="V52">
        <f t="shared" si="6"/>
        <v>2.04039712427251</v>
      </c>
      <c r="Y52">
        <v>0.004390686</v>
      </c>
      <c r="Z52" s="8">
        <v>0.330546980585722</v>
      </c>
      <c r="AA52">
        <f t="shared" si="7"/>
        <v>7.15783244485743</v>
      </c>
      <c r="AD52" s="9">
        <v>1.555284</v>
      </c>
      <c r="AE52">
        <f t="shared" si="8"/>
        <v>1.52126550661239</v>
      </c>
      <c r="AH52">
        <v>2.4907</v>
      </c>
      <c r="AI52" s="10">
        <f t="shared" si="9"/>
        <v>0.971164732806038</v>
      </c>
      <c r="AJ52">
        <f t="shared" si="10"/>
        <v>2.43624981659901</v>
      </c>
    </row>
    <row r="53" spans="1:36">
      <c r="A53" s="1" t="s">
        <v>73</v>
      </c>
      <c r="B53" s="1">
        <v>2459588</v>
      </c>
      <c r="C53" s="2">
        <v>0.0295508</v>
      </c>
      <c r="E53">
        <v>1.131806</v>
      </c>
      <c r="F53">
        <v>2173.153151</v>
      </c>
      <c r="G53" s="3">
        <f t="shared" si="0"/>
        <v>2.173153151</v>
      </c>
      <c r="I53" t="s">
        <v>73</v>
      </c>
      <c r="J53">
        <v>0.810876</v>
      </c>
      <c r="K53" s="5">
        <f t="shared" si="1"/>
        <v>3.03324799352799</v>
      </c>
      <c r="L53">
        <f t="shared" si="2"/>
        <v>1.39578197336539</v>
      </c>
      <c r="O53">
        <v>0.0013808</v>
      </c>
      <c r="P53" s="6">
        <f t="shared" si="3"/>
        <v>1.7812775202781</v>
      </c>
      <c r="Q53" s="4">
        <f t="shared" si="4"/>
        <v>1.70284975754616</v>
      </c>
      <c r="T53">
        <v>7.247</v>
      </c>
      <c r="U53" s="7">
        <f t="shared" si="5"/>
        <v>0.339393956119774</v>
      </c>
      <c r="V53">
        <f t="shared" si="6"/>
        <v>8.93724811191847</v>
      </c>
      <c r="Y53">
        <v>0.005424552</v>
      </c>
      <c r="Z53" s="8">
        <v>0.272050632015326</v>
      </c>
      <c r="AA53">
        <f t="shared" si="7"/>
        <v>11.1495715744454</v>
      </c>
      <c r="AD53" s="9">
        <v>1.508313</v>
      </c>
      <c r="AE53">
        <f t="shared" si="8"/>
        <v>2.01102025476674</v>
      </c>
      <c r="AH53">
        <v>1.4651</v>
      </c>
      <c r="AI53" s="10">
        <f t="shared" si="9"/>
        <v>1.67878506586581</v>
      </c>
      <c r="AJ53">
        <f t="shared" si="10"/>
        <v>1.80681139903018</v>
      </c>
    </row>
    <row r="54" spans="1:36">
      <c r="A54" s="1" t="s">
        <v>74</v>
      </c>
      <c r="B54" s="1">
        <v>2478256</v>
      </c>
      <c r="C54" s="2">
        <v>0.000196117</v>
      </c>
      <c r="E54">
        <v>1.966489</v>
      </c>
      <c r="F54">
        <v>1260.243921</v>
      </c>
      <c r="G54" s="3">
        <f t="shared" si="0"/>
        <v>1.260243921</v>
      </c>
      <c r="I54" t="s">
        <v>74</v>
      </c>
      <c r="J54">
        <v>1.47139</v>
      </c>
      <c r="K54" s="5">
        <f t="shared" si="1"/>
        <v>1.68429580192879</v>
      </c>
      <c r="L54">
        <f t="shared" si="2"/>
        <v>1.33648397255692</v>
      </c>
      <c r="O54">
        <v>0.0018816</v>
      </c>
      <c r="P54" s="6">
        <f t="shared" si="3"/>
        <v>1.31710034013605</v>
      </c>
      <c r="Q54" s="4">
        <f t="shared" si="4"/>
        <v>1.27879080325407</v>
      </c>
      <c r="T54">
        <v>4.58</v>
      </c>
      <c r="U54" s="7">
        <f t="shared" si="5"/>
        <v>0.541103930131004</v>
      </c>
      <c r="V54">
        <f t="shared" si="6"/>
        <v>3.11270295434929</v>
      </c>
      <c r="Y54">
        <v>0.005878566</v>
      </c>
      <c r="Z54" s="8">
        <v>0.252944952901779</v>
      </c>
      <c r="AA54">
        <f t="shared" si="7"/>
        <v>6.65874445252449</v>
      </c>
      <c r="AD54" s="9">
        <v>0.889269</v>
      </c>
      <c r="AE54">
        <f t="shared" si="8"/>
        <v>1.89402284565052</v>
      </c>
      <c r="AH54">
        <v>1.9362</v>
      </c>
      <c r="AI54" s="10">
        <f t="shared" si="9"/>
        <v>1.27995868195434</v>
      </c>
      <c r="AJ54">
        <f t="shared" si="10"/>
        <v>1.31589857209849</v>
      </c>
    </row>
    <row r="55" spans="1:36">
      <c r="A55" s="1" t="s">
        <v>75</v>
      </c>
      <c r="B55" s="1">
        <v>2511780</v>
      </c>
      <c r="C55" s="2">
        <v>0</v>
      </c>
      <c r="E55">
        <v>1.707096</v>
      </c>
      <c r="F55">
        <v>1471.375829</v>
      </c>
      <c r="G55" s="3">
        <f t="shared" si="0"/>
        <v>1.471375829</v>
      </c>
      <c r="I55" t="s">
        <v>75</v>
      </c>
      <c r="J55">
        <v>1.05939</v>
      </c>
      <c r="K55" s="5">
        <f t="shared" si="1"/>
        <v>2.37096819868037</v>
      </c>
      <c r="L55">
        <f t="shared" si="2"/>
        <v>1.6113953702038</v>
      </c>
      <c r="O55">
        <v>0.0012848</v>
      </c>
      <c r="P55" s="6">
        <f t="shared" si="3"/>
        <v>1.95499688667497</v>
      </c>
      <c r="Q55" s="4">
        <f t="shared" si="4"/>
        <v>1.2127733884594</v>
      </c>
      <c r="T55">
        <v>3.527</v>
      </c>
      <c r="U55" s="7">
        <f t="shared" si="5"/>
        <v>0.712157641054721</v>
      </c>
      <c r="V55">
        <f t="shared" si="6"/>
        <v>3.3292743937549</v>
      </c>
      <c r="Y55">
        <v>0.005917608</v>
      </c>
      <c r="Z55" s="8">
        <v>0.254675199844261</v>
      </c>
      <c r="AA55">
        <f t="shared" si="7"/>
        <v>9.30977260498968</v>
      </c>
      <c r="AD55" s="9">
        <v>0.990741</v>
      </c>
      <c r="AE55">
        <f t="shared" si="8"/>
        <v>2.39312615373783</v>
      </c>
      <c r="AH55">
        <v>2.5093</v>
      </c>
      <c r="AI55" s="10">
        <f t="shared" si="9"/>
        <v>1.00098832343682</v>
      </c>
      <c r="AJ55">
        <f t="shared" si="10"/>
        <v>2.368627228877</v>
      </c>
    </row>
    <row r="56" spans="1:36">
      <c r="A56" s="1" t="s">
        <v>76</v>
      </c>
      <c r="B56" s="1">
        <v>2621440</v>
      </c>
      <c r="C56" s="2">
        <v>0.41883</v>
      </c>
      <c r="E56">
        <v>2.100623</v>
      </c>
      <c r="F56">
        <v>1247.93436</v>
      </c>
      <c r="G56" s="3">
        <f t="shared" si="0"/>
        <v>1.24793436</v>
      </c>
      <c r="I56" t="s">
        <v>76</v>
      </c>
      <c r="J56">
        <v>1.50535</v>
      </c>
      <c r="K56" s="5">
        <f t="shared" si="1"/>
        <v>1.74141561763045</v>
      </c>
      <c r="L56">
        <f t="shared" si="2"/>
        <v>1.39543847292613</v>
      </c>
      <c r="O56">
        <v>0.0016848</v>
      </c>
      <c r="P56" s="6">
        <f t="shared" si="3"/>
        <v>1.55593542260209</v>
      </c>
      <c r="Q56" s="4">
        <f t="shared" si="4"/>
        <v>1.11920815757133</v>
      </c>
      <c r="T56">
        <v>7.351</v>
      </c>
      <c r="U56" s="7">
        <f t="shared" si="5"/>
        <v>0.35660998503605</v>
      </c>
      <c r="V56">
        <f t="shared" si="6"/>
        <v>4.88324974258478</v>
      </c>
      <c r="Y56">
        <v>0.0051075</v>
      </c>
      <c r="Z56" s="8">
        <v>0.307951835535977</v>
      </c>
      <c r="AA56">
        <f t="shared" si="7"/>
        <v>5.65483110240143</v>
      </c>
      <c r="AD56" s="9">
        <v>1.050408</v>
      </c>
      <c r="AE56">
        <f t="shared" si="8"/>
        <v>1.65784687248236</v>
      </c>
      <c r="AH56">
        <v>1.9</v>
      </c>
      <c r="AI56" s="10">
        <f t="shared" si="9"/>
        <v>1.37970526315789</v>
      </c>
      <c r="AJ56">
        <f t="shared" si="10"/>
        <v>1.2621649450294</v>
      </c>
    </row>
    <row r="57" spans="1:36">
      <c r="A57" s="1" t="s">
        <v>77</v>
      </c>
      <c r="B57" s="1">
        <v>2621440</v>
      </c>
      <c r="C57" s="2">
        <v>0.452705</v>
      </c>
      <c r="E57">
        <v>2.079114</v>
      </c>
      <c r="F57">
        <v>1260.84491</v>
      </c>
      <c r="G57" s="3">
        <f t="shared" si="0"/>
        <v>1.26084491</v>
      </c>
      <c r="I57" t="s">
        <v>77</v>
      </c>
      <c r="J57">
        <v>1.91752</v>
      </c>
      <c r="K57" s="5">
        <f t="shared" si="1"/>
        <v>1.36709916976094</v>
      </c>
      <c r="L57">
        <f t="shared" si="2"/>
        <v>1.08427226768195</v>
      </c>
      <c r="O57">
        <v>0.0017072</v>
      </c>
      <c r="P57" s="6">
        <f t="shared" si="3"/>
        <v>1.53552014995314</v>
      </c>
      <c r="Q57" s="4">
        <f t="shared" si="4"/>
        <v>0.890316659017898</v>
      </c>
      <c r="T57">
        <v>3.334</v>
      </c>
      <c r="U57" s="7">
        <f t="shared" si="5"/>
        <v>0.78627474505099</v>
      </c>
      <c r="V57">
        <f t="shared" si="6"/>
        <v>1.73870415953941</v>
      </c>
      <c r="Y57">
        <v>0.005139954</v>
      </c>
      <c r="Z57" s="8">
        <v>0.306007407848397</v>
      </c>
      <c r="AA57">
        <f t="shared" si="7"/>
        <v>4.46753619258209</v>
      </c>
      <c r="AD57" s="9">
        <v>1.053132</v>
      </c>
      <c r="AE57">
        <f t="shared" si="8"/>
        <v>1.29812708165827</v>
      </c>
      <c r="AH57">
        <v>2.0863</v>
      </c>
      <c r="AI57" s="10">
        <f t="shared" si="9"/>
        <v>1.25650194123568</v>
      </c>
      <c r="AJ57">
        <f t="shared" si="10"/>
        <v>1.08801994242563</v>
      </c>
    </row>
    <row r="58" spans="1:36">
      <c r="A58" s="1" t="s">
        <v>78</v>
      </c>
      <c r="B58" s="1">
        <v>2630446</v>
      </c>
      <c r="C58" s="2">
        <v>0</v>
      </c>
      <c r="E58">
        <v>1.692395</v>
      </c>
      <c r="F58">
        <v>1554.274627</v>
      </c>
      <c r="G58" s="3">
        <f t="shared" si="0"/>
        <v>1.554274627</v>
      </c>
      <c r="I58" t="s">
        <v>78</v>
      </c>
      <c r="J58">
        <v>1.63321</v>
      </c>
      <c r="K58" s="5">
        <f t="shared" si="1"/>
        <v>1.61059875949817</v>
      </c>
      <c r="L58">
        <f t="shared" si="2"/>
        <v>1.03623821139439</v>
      </c>
      <c r="O58">
        <v>0.0022672</v>
      </c>
      <c r="P58" s="6">
        <f t="shared" si="3"/>
        <v>1.16021788990826</v>
      </c>
      <c r="Q58" s="4">
        <f t="shared" si="4"/>
        <v>1.38818645489557</v>
      </c>
      <c r="T58">
        <v>22.473</v>
      </c>
      <c r="U58" s="7">
        <f t="shared" si="5"/>
        <v>0.117049170115249</v>
      </c>
      <c r="V58">
        <f t="shared" si="6"/>
        <v>13.7600186136504</v>
      </c>
      <c r="Y58">
        <v>0.007608672</v>
      </c>
      <c r="Z58" s="8">
        <v>0.207430100811285</v>
      </c>
      <c r="AA58">
        <f t="shared" si="7"/>
        <v>7.76453732220596</v>
      </c>
      <c r="AD58" s="9">
        <v>0.991413</v>
      </c>
      <c r="AE58">
        <f t="shared" si="8"/>
        <v>1.62454875969769</v>
      </c>
      <c r="AH58">
        <v>4.211</v>
      </c>
      <c r="AI58" s="10">
        <f t="shared" si="9"/>
        <v>0.624660650676799</v>
      </c>
      <c r="AJ58">
        <f t="shared" si="10"/>
        <v>2.5783579576417</v>
      </c>
    </row>
    <row r="59" spans="1:36">
      <c r="A59" s="1" t="s">
        <v>79</v>
      </c>
      <c r="B59" s="1">
        <v>2662888</v>
      </c>
      <c r="C59" s="2">
        <v>0</v>
      </c>
      <c r="E59">
        <v>3.8407</v>
      </c>
      <c r="F59">
        <v>693.334069</v>
      </c>
      <c r="G59" s="3">
        <f t="shared" si="0"/>
        <v>0.693334069</v>
      </c>
      <c r="I59" t="s">
        <v>79</v>
      </c>
      <c r="J59">
        <v>3.0434</v>
      </c>
      <c r="K59" s="5">
        <f t="shared" si="1"/>
        <v>0.874971413550634</v>
      </c>
      <c r="L59">
        <f t="shared" si="2"/>
        <v>1.26197666128337</v>
      </c>
      <c r="O59">
        <v>0.0022864</v>
      </c>
      <c r="P59" s="6">
        <f t="shared" si="3"/>
        <v>1.16466410076977</v>
      </c>
      <c r="Q59" s="4">
        <f t="shared" si="4"/>
        <v>0.751265032529408</v>
      </c>
      <c r="T59">
        <v>5.039</v>
      </c>
      <c r="U59" s="7">
        <f t="shared" si="5"/>
        <v>0.5284556459615</v>
      </c>
      <c r="V59">
        <f t="shared" si="6"/>
        <v>1.65571400407439</v>
      </c>
      <c r="Y59">
        <v>0.006448788</v>
      </c>
      <c r="Z59" s="8">
        <v>0.247757066909317</v>
      </c>
      <c r="AA59">
        <f t="shared" si="7"/>
        <v>3.53156995465598</v>
      </c>
      <c r="AD59" s="9">
        <v>0.617076</v>
      </c>
      <c r="AE59">
        <f t="shared" si="8"/>
        <v>1.41793136266948</v>
      </c>
      <c r="AH59">
        <v>2.5009</v>
      </c>
      <c r="AI59" s="10">
        <f t="shared" si="9"/>
        <v>1.06477188212244</v>
      </c>
      <c r="AJ59">
        <f t="shared" si="10"/>
        <v>0.821745416310705</v>
      </c>
    </row>
    <row r="60" spans="1:36">
      <c r="A60" s="1" t="s">
        <v>80</v>
      </c>
      <c r="B60" s="1">
        <v>2763978</v>
      </c>
      <c r="C60" s="2">
        <v>0.000350345</v>
      </c>
      <c r="E60">
        <v>1.589278</v>
      </c>
      <c r="F60">
        <v>1739.140191</v>
      </c>
      <c r="G60" s="3">
        <f t="shared" si="0"/>
        <v>1.739140191</v>
      </c>
      <c r="I60" t="s">
        <v>80</v>
      </c>
      <c r="J60">
        <v>1.09748</v>
      </c>
      <c r="K60" s="5">
        <f t="shared" si="1"/>
        <v>2.51847687429384</v>
      </c>
      <c r="L60">
        <f t="shared" si="2"/>
        <v>1.44811607904117</v>
      </c>
      <c r="O60">
        <v>0.0014848</v>
      </c>
      <c r="P60" s="6">
        <f t="shared" si="3"/>
        <v>1.86151535560345</v>
      </c>
      <c r="Q60" s="4">
        <f t="shared" si="4"/>
        <v>1.35291759303131</v>
      </c>
      <c r="T60">
        <v>9.951</v>
      </c>
      <c r="U60" s="7">
        <f t="shared" si="5"/>
        <v>0.277758818209225</v>
      </c>
      <c r="V60">
        <f t="shared" si="6"/>
        <v>9.0671356197835</v>
      </c>
      <c r="Y60">
        <v>0.006971094</v>
      </c>
      <c r="Z60" s="8">
        <v>0.237894769457993</v>
      </c>
      <c r="AA60">
        <f t="shared" si="7"/>
        <v>10.5865163829865</v>
      </c>
      <c r="AD60" s="9">
        <v>0.973863</v>
      </c>
      <c r="AE60">
        <f t="shared" si="8"/>
        <v>2.5860689586665</v>
      </c>
      <c r="AH60">
        <v>2.6121</v>
      </c>
      <c r="AI60" s="10">
        <f t="shared" si="9"/>
        <v>1.05814402205122</v>
      </c>
      <c r="AJ60">
        <f t="shared" si="10"/>
        <v>2.38008893100558</v>
      </c>
    </row>
    <row r="61" spans="1:36">
      <c r="A61" s="1" t="s">
        <v>81</v>
      </c>
      <c r="B61" s="1">
        <v>2999964</v>
      </c>
      <c r="C61" s="2">
        <v>0</v>
      </c>
      <c r="E61">
        <v>1.783511</v>
      </c>
      <c r="F61">
        <v>1682.054857</v>
      </c>
      <c r="G61" s="3">
        <f t="shared" si="0"/>
        <v>1.682054857</v>
      </c>
      <c r="I61" t="s">
        <v>81</v>
      </c>
      <c r="J61">
        <v>0.658041</v>
      </c>
      <c r="K61" s="5">
        <f t="shared" si="1"/>
        <v>4.55893173829594</v>
      </c>
      <c r="L61">
        <f t="shared" si="2"/>
        <v>2.71033475473383</v>
      </c>
      <c r="O61">
        <v>0.001184</v>
      </c>
      <c r="P61" s="6">
        <f t="shared" si="3"/>
        <v>2.53375337837838</v>
      </c>
      <c r="Q61" s="4">
        <f t="shared" si="4"/>
        <v>1.79927998407394</v>
      </c>
      <c r="T61">
        <v>2.713</v>
      </c>
      <c r="U61" s="7">
        <f t="shared" si="5"/>
        <v>1.10577368227055</v>
      </c>
      <c r="V61">
        <f t="shared" si="6"/>
        <v>4.12284340945321</v>
      </c>
      <c r="Y61">
        <v>0.003783816</v>
      </c>
      <c r="Z61" s="8">
        <v>0.4757045268586</v>
      </c>
      <c r="AA61">
        <f t="shared" si="7"/>
        <v>9.58353658814572</v>
      </c>
      <c r="AD61" s="9">
        <v>1.45335</v>
      </c>
      <c r="AE61">
        <f t="shared" si="8"/>
        <v>3.13684366346437</v>
      </c>
      <c r="AH61">
        <v>2.4661</v>
      </c>
      <c r="AI61" s="10">
        <f t="shared" si="9"/>
        <v>1.21648108349215</v>
      </c>
      <c r="AJ61">
        <f t="shared" si="10"/>
        <v>3.74763882493644</v>
      </c>
    </row>
    <row r="62" spans="1:36">
      <c r="A62" s="1" t="s">
        <v>82</v>
      </c>
      <c r="B62" s="1">
        <v>3076540</v>
      </c>
      <c r="C62" s="2">
        <v>0.0564748</v>
      </c>
      <c r="E62">
        <v>2.088995</v>
      </c>
      <c r="F62">
        <v>1472.736924</v>
      </c>
      <c r="G62" s="3">
        <f t="shared" si="0"/>
        <v>1.472736924</v>
      </c>
      <c r="I62" t="s">
        <v>82</v>
      </c>
      <c r="J62">
        <v>0.782586</v>
      </c>
      <c r="K62" s="5">
        <f t="shared" si="1"/>
        <v>3.93124845064951</v>
      </c>
      <c r="L62">
        <f t="shared" si="2"/>
        <v>2.66934873879044</v>
      </c>
      <c r="O62">
        <v>0.0009088</v>
      </c>
      <c r="P62" s="6">
        <f t="shared" si="3"/>
        <v>3.38527728873239</v>
      </c>
      <c r="Q62" s="4">
        <f t="shared" si="4"/>
        <v>1.16127812150997</v>
      </c>
      <c r="T62">
        <v>6.176</v>
      </c>
      <c r="U62" s="7">
        <f t="shared" si="5"/>
        <v>0.498144430051813</v>
      </c>
      <c r="V62">
        <f t="shared" si="6"/>
        <v>7.89178441730366</v>
      </c>
      <c r="Y62">
        <v>0.006946938</v>
      </c>
      <c r="Z62" s="8">
        <v>0.26571764423405</v>
      </c>
      <c r="AA62">
        <f t="shared" si="7"/>
        <v>14.7948340501874</v>
      </c>
      <c r="AD62" s="9">
        <v>1.726704</v>
      </c>
      <c r="AE62">
        <f t="shared" si="8"/>
        <v>2.27673559026302</v>
      </c>
      <c r="AH62">
        <v>1.4326</v>
      </c>
      <c r="AI62" s="10">
        <f t="shared" si="9"/>
        <v>2.14752198799386</v>
      </c>
      <c r="AJ62">
        <f t="shared" si="10"/>
        <v>1.83059753177287</v>
      </c>
    </row>
    <row r="63" spans="1:36">
      <c r="A63" s="1" t="s">
        <v>83</v>
      </c>
      <c r="B63" s="1">
        <v>3076540</v>
      </c>
      <c r="C63" s="2">
        <v>0.0564748</v>
      </c>
      <c r="E63">
        <v>1.704258</v>
      </c>
      <c r="F63">
        <v>1805.207422</v>
      </c>
      <c r="G63" s="3">
        <f t="shared" si="0"/>
        <v>1.805207422</v>
      </c>
      <c r="I63" t="s">
        <v>83</v>
      </c>
      <c r="J63">
        <v>0.775406</v>
      </c>
      <c r="K63" s="5">
        <f t="shared" si="1"/>
        <v>3.9676504953534</v>
      </c>
      <c r="L63">
        <f t="shared" si="2"/>
        <v>2.19789174750767</v>
      </c>
      <c r="O63">
        <v>0.0009088</v>
      </c>
      <c r="P63" s="6">
        <f t="shared" si="3"/>
        <v>3.38527728873239</v>
      </c>
      <c r="Q63" s="4">
        <f t="shared" si="4"/>
        <v>1.17203116818802</v>
      </c>
      <c r="T63">
        <v>16.333</v>
      </c>
      <c r="U63" s="7">
        <f t="shared" si="5"/>
        <v>0.18836343598849</v>
      </c>
      <c r="V63">
        <f t="shared" si="6"/>
        <v>21.0638039942946</v>
      </c>
      <c r="Y63">
        <v>0.007134804</v>
      </c>
      <c r="Z63" s="8">
        <v>0.258721052463389</v>
      </c>
      <c r="AA63">
        <f t="shared" si="7"/>
        <v>15.3356306244729</v>
      </c>
      <c r="AD63" s="9">
        <v>1.619106</v>
      </c>
      <c r="AE63">
        <f t="shared" si="8"/>
        <v>2.4505192960519</v>
      </c>
      <c r="AH63">
        <v>1.4498</v>
      </c>
      <c r="AI63" s="10">
        <f t="shared" si="9"/>
        <v>2.12204441991999</v>
      </c>
      <c r="AJ63">
        <f t="shared" si="10"/>
        <v>1.86973018006051</v>
      </c>
    </row>
    <row r="64" spans="1:36">
      <c r="A64" s="1" t="s">
        <v>84</v>
      </c>
      <c r="B64" s="1">
        <v>3082948</v>
      </c>
      <c r="C64" s="2">
        <v>0.00216259</v>
      </c>
      <c r="E64">
        <v>1.941428</v>
      </c>
      <c r="F64">
        <v>1587.979335</v>
      </c>
      <c r="G64" s="3">
        <f t="shared" si="0"/>
        <v>1.587979335</v>
      </c>
      <c r="I64" t="s">
        <v>84</v>
      </c>
      <c r="J64">
        <v>1.72542</v>
      </c>
      <c r="K64" s="5">
        <f t="shared" si="1"/>
        <v>1.78678118950748</v>
      </c>
      <c r="L64">
        <f t="shared" si="2"/>
        <v>1.12519171385028</v>
      </c>
      <c r="O64">
        <v>0.0014352</v>
      </c>
      <c r="P64" s="6">
        <f t="shared" si="3"/>
        <v>2.14809643255295</v>
      </c>
      <c r="Q64" s="4">
        <f t="shared" si="4"/>
        <v>0.831797475397295</v>
      </c>
      <c r="T64">
        <v>3.302</v>
      </c>
      <c r="U64" s="7">
        <f t="shared" si="5"/>
        <v>0.933660811629316</v>
      </c>
      <c r="V64">
        <f t="shared" si="6"/>
        <v>1.91373694520754</v>
      </c>
      <c r="Y64">
        <v>0.007069284</v>
      </c>
      <c r="Z64" s="8">
        <v>0.261662821864279</v>
      </c>
      <c r="AA64">
        <f t="shared" si="7"/>
        <v>6.82856348019613</v>
      </c>
      <c r="AD64" s="9">
        <v>1.293903</v>
      </c>
      <c r="AE64">
        <f t="shared" si="8"/>
        <v>1.38092360053843</v>
      </c>
      <c r="AH64">
        <v>2.7825</v>
      </c>
      <c r="AI64" s="10">
        <f t="shared" si="9"/>
        <v>1.1079777178796</v>
      </c>
      <c r="AJ64">
        <f t="shared" si="10"/>
        <v>1.6126508328407</v>
      </c>
    </row>
    <row r="65" spans="1:36">
      <c r="A65" s="1" t="s">
        <v>86</v>
      </c>
      <c r="B65" s="1">
        <v>3127604</v>
      </c>
      <c r="C65" s="2">
        <v>0.0848134</v>
      </c>
      <c r="E65">
        <v>2.113758</v>
      </c>
      <c r="F65">
        <v>1479.641633</v>
      </c>
      <c r="G65" s="3">
        <f t="shared" si="0"/>
        <v>1.479641633</v>
      </c>
      <c r="I65" t="s">
        <v>86</v>
      </c>
      <c r="J65">
        <v>1.72151</v>
      </c>
      <c r="K65" s="5">
        <f t="shared" si="1"/>
        <v>1.81677945524569</v>
      </c>
      <c r="L65">
        <f t="shared" si="2"/>
        <v>1.22785099765146</v>
      </c>
      <c r="O65">
        <v>0.0016016</v>
      </c>
      <c r="P65" s="6">
        <f t="shared" si="3"/>
        <v>1.9527997002997</v>
      </c>
      <c r="Q65" s="4">
        <f t="shared" si="4"/>
        <v>0.930346033424145</v>
      </c>
      <c r="T65">
        <v>9.391</v>
      </c>
      <c r="U65" s="7">
        <f t="shared" si="5"/>
        <v>0.333042700457885</v>
      </c>
      <c r="V65">
        <f t="shared" si="6"/>
        <v>5.45509465527357</v>
      </c>
      <c r="Y65">
        <v>0.006681618</v>
      </c>
      <c r="Z65" s="8">
        <v>0.280854487640569</v>
      </c>
      <c r="AA65">
        <f t="shared" si="7"/>
        <v>6.46875707954062</v>
      </c>
      <c r="AD65" s="9">
        <v>1.103202</v>
      </c>
      <c r="AE65">
        <f t="shared" si="8"/>
        <v>1.64682393183269</v>
      </c>
      <c r="AH65">
        <v>2.2489</v>
      </c>
      <c r="AI65" s="10">
        <f t="shared" si="9"/>
        <v>1.39072613277602</v>
      </c>
      <c r="AJ65">
        <f t="shared" si="10"/>
        <v>1.30635314346126</v>
      </c>
    </row>
    <row r="66" spans="1:36">
      <c r="A66" s="1" t="s">
        <v>85</v>
      </c>
      <c r="B66" s="1">
        <v>3127604</v>
      </c>
      <c r="C66" s="2">
        <v>0.0848134</v>
      </c>
      <c r="E66">
        <v>2.147109</v>
      </c>
      <c r="F66">
        <v>1456.657906</v>
      </c>
      <c r="G66" s="3">
        <f t="shared" ref="G66:G129" si="11">F66/1000</f>
        <v>1.456657906</v>
      </c>
      <c r="I66" t="s">
        <v>85</v>
      </c>
      <c r="J66">
        <v>1.67735</v>
      </c>
      <c r="K66" s="5">
        <f t="shared" ref="K66:K129" si="12">B66/J66/1000000</f>
        <v>1.86461024830834</v>
      </c>
      <c r="L66">
        <f t="shared" ref="L66:L129" si="13">K66/G66</f>
        <v>1.28006050056639</v>
      </c>
      <c r="O66">
        <v>0.0016176</v>
      </c>
      <c r="P66" s="6">
        <f t="shared" ref="P66:P129" si="14">B66/O66/1000000000</f>
        <v>1.93348417408506</v>
      </c>
      <c r="Q66" s="4">
        <f t="shared" ref="Q66:Q129" si="15">K66/P66</f>
        <v>0.964378334873461</v>
      </c>
      <c r="T66">
        <v>9.441</v>
      </c>
      <c r="U66" s="7">
        <f t="shared" ref="U66:U129" si="16">B66/T66/1000000</f>
        <v>0.331278889948099</v>
      </c>
      <c r="V66">
        <f t="shared" ref="V66:V129" si="17">K66/U66</f>
        <v>5.62852117924107</v>
      </c>
      <c r="Y66">
        <v>0.006715476</v>
      </c>
      <c r="Z66" s="8">
        <v>0.279438479118978</v>
      </c>
      <c r="AA66">
        <f t="shared" ref="AA66:AA129" si="18">K66/Z66</f>
        <v>6.6727039675679</v>
      </c>
      <c r="AD66" s="9">
        <v>1.094448</v>
      </c>
      <c r="AE66">
        <f t="shared" ref="AE66:AE129" si="19">K66/AD66</f>
        <v>1.7036992605481</v>
      </c>
      <c r="AH66">
        <v>2.2658</v>
      </c>
      <c r="AI66" s="10">
        <f t="shared" ref="AI66:AI129" si="20">B66/AH66/1000000</f>
        <v>1.38035307617618</v>
      </c>
      <c r="AJ66">
        <f t="shared" ref="AJ66:AJ129" si="21">K66/AI66</f>
        <v>1.35082123587802</v>
      </c>
    </row>
    <row r="67" spans="1:36">
      <c r="A67" s="1" t="s">
        <v>87</v>
      </c>
      <c r="B67" s="1">
        <v>3193930</v>
      </c>
      <c r="C67" s="2">
        <v>0.181876</v>
      </c>
      <c r="E67">
        <v>1.741235</v>
      </c>
      <c r="F67">
        <v>1834.290147</v>
      </c>
      <c r="G67" s="3">
        <f t="shared" si="11"/>
        <v>1.834290147</v>
      </c>
      <c r="I67" t="s">
        <v>87</v>
      </c>
      <c r="J67">
        <v>1.51317</v>
      </c>
      <c r="K67" s="5">
        <f t="shared" si="12"/>
        <v>2.11075424440083</v>
      </c>
      <c r="L67">
        <f t="shared" si="13"/>
        <v>1.15071993809321</v>
      </c>
      <c r="O67">
        <v>0.0013264</v>
      </c>
      <c r="P67" s="6">
        <f t="shared" si="14"/>
        <v>2.4079689384801</v>
      </c>
      <c r="Q67" s="4">
        <f t="shared" si="15"/>
        <v>0.876570378741318</v>
      </c>
      <c r="T67">
        <v>35.35</v>
      </c>
      <c r="U67" s="7">
        <f t="shared" si="16"/>
        <v>0.0903516265912306</v>
      </c>
      <c r="V67">
        <f t="shared" si="17"/>
        <v>23.3615522380169</v>
      </c>
      <c r="Y67">
        <v>0.007026102</v>
      </c>
      <c r="Z67" s="8">
        <v>0.272748388793672</v>
      </c>
      <c r="AA67">
        <f t="shared" si="18"/>
        <v>7.73883304585739</v>
      </c>
      <c r="AD67" s="9">
        <v>1.306425</v>
      </c>
      <c r="AE67">
        <f t="shared" si="19"/>
        <v>1.61567196310605</v>
      </c>
      <c r="AH67">
        <v>1.8166</v>
      </c>
      <c r="AI67" s="10">
        <f t="shared" si="20"/>
        <v>1.75819112627986</v>
      </c>
      <c r="AJ67">
        <f t="shared" si="21"/>
        <v>1.20052604796553</v>
      </c>
    </row>
    <row r="68" spans="1:36">
      <c r="A68" s="1" t="s">
        <v>88</v>
      </c>
      <c r="B68" s="1">
        <v>3193930</v>
      </c>
      <c r="C68" s="2">
        <v>0.185133</v>
      </c>
      <c r="E68">
        <v>1.728655</v>
      </c>
      <c r="F68">
        <v>1847.638794</v>
      </c>
      <c r="G68" s="3">
        <f t="shared" si="11"/>
        <v>1.847638794</v>
      </c>
      <c r="I68" t="s">
        <v>88</v>
      </c>
      <c r="J68">
        <v>2.19659</v>
      </c>
      <c r="K68" s="5">
        <f t="shared" si="12"/>
        <v>1.4540401258314</v>
      </c>
      <c r="L68">
        <f t="shared" si="13"/>
        <v>0.786972069732047</v>
      </c>
      <c r="O68">
        <v>0.0012</v>
      </c>
      <c r="P68" s="6">
        <f t="shared" si="14"/>
        <v>2.66160833333333</v>
      </c>
      <c r="Q68" s="4">
        <f t="shared" si="15"/>
        <v>0.546301312488903</v>
      </c>
      <c r="T68">
        <v>35.216</v>
      </c>
      <c r="U68" s="7">
        <f t="shared" si="16"/>
        <v>0.0906954225352113</v>
      </c>
      <c r="V68">
        <f t="shared" si="17"/>
        <v>16.0321225171743</v>
      </c>
      <c r="Y68">
        <v>0.007194654</v>
      </c>
      <c r="Z68" s="8">
        <v>0.266358604597247</v>
      </c>
      <c r="AA68">
        <f t="shared" si="18"/>
        <v>5.4589568376438</v>
      </c>
      <c r="AD68" s="9">
        <v>1.31865</v>
      </c>
      <c r="AE68">
        <f t="shared" si="19"/>
        <v>1.10267328391264</v>
      </c>
      <c r="AH68">
        <v>1.8258</v>
      </c>
      <c r="AI68" s="10">
        <f t="shared" si="20"/>
        <v>1.74933179975901</v>
      </c>
      <c r="AJ68">
        <f t="shared" si="21"/>
        <v>0.831197446951866</v>
      </c>
    </row>
    <row r="69" spans="1:36">
      <c r="A69" s="1" t="s">
        <v>89</v>
      </c>
      <c r="B69" s="1">
        <v>3236648</v>
      </c>
      <c r="C69" s="2">
        <v>0.88936</v>
      </c>
      <c r="E69">
        <v>1.431539</v>
      </c>
      <c r="F69">
        <v>2260.956211</v>
      </c>
      <c r="G69" s="3">
        <f t="shared" si="11"/>
        <v>2.260956211</v>
      </c>
      <c r="I69" t="s">
        <v>89</v>
      </c>
      <c r="J69">
        <v>0.768524</v>
      </c>
      <c r="K69" s="5">
        <f t="shared" si="12"/>
        <v>4.21151193716787</v>
      </c>
      <c r="L69">
        <f t="shared" si="13"/>
        <v>1.86271273927289</v>
      </c>
      <c r="O69">
        <v>0.0010272</v>
      </c>
      <c r="P69" s="6">
        <f t="shared" si="14"/>
        <v>3.15094236760125</v>
      </c>
      <c r="Q69" s="4">
        <f t="shared" si="15"/>
        <v>1.33658805710687</v>
      </c>
      <c r="T69">
        <v>5.347</v>
      </c>
      <c r="U69" s="7">
        <f t="shared" si="16"/>
        <v>0.605320366560688</v>
      </c>
      <c r="V69">
        <f t="shared" si="17"/>
        <v>6.95749254414957</v>
      </c>
      <c r="Y69">
        <v>0.005213196</v>
      </c>
      <c r="Z69" s="8">
        <v>0.372514058554484</v>
      </c>
      <c r="AA69">
        <f t="shared" si="18"/>
        <v>11.3056456272023</v>
      </c>
      <c r="AD69" s="9">
        <v>1.810158</v>
      </c>
      <c r="AE69">
        <f t="shared" si="19"/>
        <v>2.32659907984158</v>
      </c>
      <c r="AH69">
        <v>1.154</v>
      </c>
      <c r="AI69" s="10">
        <f t="shared" si="20"/>
        <v>2.80472097053726</v>
      </c>
      <c r="AJ69">
        <f t="shared" si="21"/>
        <v>1.50157965138369</v>
      </c>
    </row>
    <row r="70" spans="1:36">
      <c r="A70" s="1" t="s">
        <v>90</v>
      </c>
      <c r="B70" s="1">
        <v>3272244</v>
      </c>
      <c r="C70" s="2">
        <v>0</v>
      </c>
      <c r="E70">
        <v>2.08886</v>
      </c>
      <c r="F70">
        <v>1566.521624</v>
      </c>
      <c r="G70" s="3">
        <f t="shared" si="11"/>
        <v>1.566521624</v>
      </c>
      <c r="I70" t="s">
        <v>90</v>
      </c>
      <c r="J70">
        <v>1.30366</v>
      </c>
      <c r="K70" s="5">
        <f t="shared" si="12"/>
        <v>2.51004402988509</v>
      </c>
      <c r="L70">
        <f t="shared" si="13"/>
        <v>1.60230410575238</v>
      </c>
      <c r="O70">
        <v>0.0009472</v>
      </c>
      <c r="P70" s="6">
        <f t="shared" si="14"/>
        <v>3.45464949324324</v>
      </c>
      <c r="Q70" s="4">
        <f t="shared" si="15"/>
        <v>0.726569811147078</v>
      </c>
      <c r="T70">
        <v>4.243</v>
      </c>
      <c r="U70" s="7">
        <f t="shared" si="16"/>
        <v>0.771209992929531</v>
      </c>
      <c r="V70">
        <f t="shared" si="17"/>
        <v>3.25468296948591</v>
      </c>
      <c r="Y70">
        <v>0.003199284</v>
      </c>
      <c r="Z70" s="8">
        <v>0.61368306158503</v>
      </c>
      <c r="AA70">
        <f t="shared" si="18"/>
        <v>4.09013086234141</v>
      </c>
      <c r="AD70" s="9">
        <v>2.015358</v>
      </c>
      <c r="AE70">
        <f t="shared" si="19"/>
        <v>1.24545814187112</v>
      </c>
      <c r="AH70">
        <v>1.4712</v>
      </c>
      <c r="AI70" s="10">
        <f t="shared" si="20"/>
        <v>2.22420065252855</v>
      </c>
      <c r="AJ70">
        <f t="shared" si="21"/>
        <v>1.12851510363131</v>
      </c>
    </row>
    <row r="71" spans="1:36">
      <c r="A71" s="1" t="s">
        <v>91</v>
      </c>
      <c r="B71" s="1">
        <v>3272244</v>
      </c>
      <c r="C71" s="2">
        <v>0</v>
      </c>
      <c r="E71">
        <v>2.109578</v>
      </c>
      <c r="F71">
        <v>1551.136873</v>
      </c>
      <c r="G71" s="3">
        <f t="shared" si="11"/>
        <v>1.551136873</v>
      </c>
      <c r="I71" t="s">
        <v>91</v>
      </c>
      <c r="J71">
        <v>1.30275</v>
      </c>
      <c r="K71" s="5">
        <f t="shared" si="12"/>
        <v>2.5117973517559</v>
      </c>
      <c r="L71">
        <f t="shared" si="13"/>
        <v>1.61932669868</v>
      </c>
      <c r="O71">
        <v>0.0009376</v>
      </c>
      <c r="P71" s="6">
        <f t="shared" si="14"/>
        <v>3.49002133105802</v>
      </c>
      <c r="Q71" s="4">
        <f t="shared" si="15"/>
        <v>0.719708309345615</v>
      </c>
      <c r="T71">
        <v>4.32</v>
      </c>
      <c r="U71" s="7">
        <f t="shared" si="16"/>
        <v>0.757463888888889</v>
      </c>
      <c r="V71">
        <f t="shared" si="17"/>
        <v>3.3160621761658</v>
      </c>
      <c r="Y71">
        <v>0.003303486</v>
      </c>
      <c r="Z71" s="8">
        <v>0.594325630561171</v>
      </c>
      <c r="AA71">
        <f t="shared" si="18"/>
        <v>4.22629821531376</v>
      </c>
      <c r="AD71" s="9">
        <v>2.06481</v>
      </c>
      <c r="AE71">
        <f t="shared" si="19"/>
        <v>1.21647868411907</v>
      </c>
      <c r="AH71">
        <v>1.3252</v>
      </c>
      <c r="AI71" s="10">
        <f t="shared" si="20"/>
        <v>2.46924539692122</v>
      </c>
      <c r="AJ71">
        <f t="shared" si="21"/>
        <v>1.01723277681827</v>
      </c>
    </row>
    <row r="72" spans="1:36">
      <c r="A72" s="1" t="s">
        <v>92</v>
      </c>
      <c r="B72" s="1">
        <v>3299664</v>
      </c>
      <c r="C72" s="2">
        <v>0</v>
      </c>
      <c r="E72">
        <v>2.391745</v>
      </c>
      <c r="F72">
        <v>1379.605221</v>
      </c>
      <c r="G72" s="3">
        <f t="shared" si="11"/>
        <v>1.379605221</v>
      </c>
      <c r="I72" t="s">
        <v>92</v>
      </c>
      <c r="J72">
        <v>2.65047</v>
      </c>
      <c r="K72" s="5">
        <f t="shared" si="12"/>
        <v>1.24493542654699</v>
      </c>
      <c r="L72">
        <f t="shared" si="13"/>
        <v>0.902385267609095</v>
      </c>
      <c r="O72">
        <v>0.0025888</v>
      </c>
      <c r="P72" s="6">
        <f t="shared" si="14"/>
        <v>1.27459208899876</v>
      </c>
      <c r="Q72" s="4">
        <f t="shared" si="15"/>
        <v>0.976732428588137</v>
      </c>
      <c r="T72">
        <v>6.131</v>
      </c>
      <c r="U72" s="7">
        <f t="shared" si="16"/>
        <v>0.538193443157723</v>
      </c>
      <c r="V72">
        <f t="shared" si="17"/>
        <v>2.31317464449701</v>
      </c>
      <c r="Y72">
        <v>0.006024834</v>
      </c>
      <c r="Z72" s="8">
        <v>0.328606298530383</v>
      </c>
      <c r="AA72">
        <f t="shared" si="18"/>
        <v>3.78853184529536</v>
      </c>
      <c r="AD72" s="9">
        <v>0.771558</v>
      </c>
      <c r="AE72">
        <f t="shared" si="19"/>
        <v>1.61353446733362</v>
      </c>
      <c r="AH72">
        <v>3.0859</v>
      </c>
      <c r="AI72" s="10">
        <f t="shared" si="20"/>
        <v>1.06927120127029</v>
      </c>
      <c r="AJ72">
        <f t="shared" si="21"/>
        <v>1.16428407037242</v>
      </c>
    </row>
    <row r="73" spans="1:36">
      <c r="A73" s="1" t="s">
        <v>93</v>
      </c>
      <c r="B73" s="1">
        <v>3312964</v>
      </c>
      <c r="C73" s="2">
        <v>0.382998</v>
      </c>
      <c r="E73">
        <v>3.565643</v>
      </c>
      <c r="F73">
        <v>929.135104</v>
      </c>
      <c r="G73" s="3">
        <f t="shared" si="11"/>
        <v>0.929135104</v>
      </c>
      <c r="I73" t="s">
        <v>93</v>
      </c>
      <c r="J73">
        <v>4.3022</v>
      </c>
      <c r="K73" s="5">
        <f t="shared" si="12"/>
        <v>0.770062758588629</v>
      </c>
      <c r="L73">
        <f t="shared" si="13"/>
        <v>0.828795247616249</v>
      </c>
      <c r="O73">
        <v>0.0022496</v>
      </c>
      <c r="P73" s="6">
        <f t="shared" si="14"/>
        <v>1.47269025604552</v>
      </c>
      <c r="Q73" s="4">
        <f t="shared" si="15"/>
        <v>0.522895262888755</v>
      </c>
      <c r="T73">
        <v>7.728</v>
      </c>
      <c r="U73" s="7">
        <f t="shared" si="16"/>
        <v>0.428696169772257</v>
      </c>
      <c r="V73">
        <f t="shared" si="17"/>
        <v>1.79629027009437</v>
      </c>
      <c r="Y73">
        <v>0.006496362</v>
      </c>
      <c r="Z73" s="8">
        <v>0.305983318047855</v>
      </c>
      <c r="AA73">
        <f t="shared" si="18"/>
        <v>2.51668216261448</v>
      </c>
      <c r="AD73" s="9">
        <v>0.819387</v>
      </c>
      <c r="AE73">
        <f t="shared" si="19"/>
        <v>0.9398034855186</v>
      </c>
      <c r="AH73">
        <v>4.1789</v>
      </c>
      <c r="AI73" s="10">
        <f t="shared" si="20"/>
        <v>0.792783746919046</v>
      </c>
      <c r="AJ73">
        <f t="shared" si="21"/>
        <v>0.971340244526056</v>
      </c>
    </row>
    <row r="74" spans="1:36">
      <c r="A74" s="1" t="s">
        <v>94</v>
      </c>
      <c r="B74" s="1">
        <v>3539034</v>
      </c>
      <c r="C74" s="2">
        <v>1</v>
      </c>
      <c r="E74">
        <v>0.765277</v>
      </c>
      <c r="F74">
        <v>4624.515972</v>
      </c>
      <c r="G74" s="3">
        <f t="shared" si="11"/>
        <v>4.624515972</v>
      </c>
      <c r="I74" t="s">
        <v>94</v>
      </c>
      <c r="J74">
        <v>0.270541</v>
      </c>
      <c r="K74" s="5">
        <f t="shared" si="12"/>
        <v>13.0813222395127</v>
      </c>
      <c r="L74">
        <f t="shared" si="13"/>
        <v>2.82869003344696</v>
      </c>
      <c r="O74">
        <v>0.00076</v>
      </c>
      <c r="P74" s="6">
        <f t="shared" si="14"/>
        <v>4.65662368421053</v>
      </c>
      <c r="Q74" s="4">
        <f t="shared" si="15"/>
        <v>2.80918603834539</v>
      </c>
      <c r="T74">
        <v>2.418</v>
      </c>
      <c r="U74" s="7">
        <f t="shared" si="16"/>
        <v>1.46362034739454</v>
      </c>
      <c r="V74">
        <f t="shared" si="17"/>
        <v>8.93764715884099</v>
      </c>
      <c r="Y74">
        <v>0.002354094</v>
      </c>
      <c r="Z74" s="8">
        <v>0.902011729353203</v>
      </c>
      <c r="AA74">
        <f t="shared" si="18"/>
        <v>14.5023859599839</v>
      </c>
      <c r="AD74" s="9">
        <v>2.200899</v>
      </c>
      <c r="AE74">
        <f t="shared" si="19"/>
        <v>5.9436267813801</v>
      </c>
      <c r="AH74">
        <v>0.8021</v>
      </c>
      <c r="AI74" s="10">
        <f t="shared" si="20"/>
        <v>4.41221044757511</v>
      </c>
      <c r="AJ74">
        <f t="shared" si="21"/>
        <v>2.96480015968005</v>
      </c>
    </row>
    <row r="75" spans="1:36">
      <c r="A75" s="1" t="s">
        <v>95</v>
      </c>
      <c r="B75" s="1">
        <v>3608342</v>
      </c>
      <c r="C75" s="2">
        <v>0</v>
      </c>
      <c r="E75">
        <v>2.457071</v>
      </c>
      <c r="F75">
        <v>1468.554015</v>
      </c>
      <c r="G75" s="3">
        <f t="shared" si="11"/>
        <v>1.468554015</v>
      </c>
      <c r="I75" t="s">
        <v>95</v>
      </c>
      <c r="J75">
        <v>1.93687</v>
      </c>
      <c r="K75" s="5">
        <f t="shared" si="12"/>
        <v>1.86297583214155</v>
      </c>
      <c r="L75">
        <f t="shared" si="13"/>
        <v>1.26857835197948</v>
      </c>
      <c r="O75">
        <v>0.0020912</v>
      </c>
      <c r="P75" s="6">
        <f t="shared" si="14"/>
        <v>1.72548871461362</v>
      </c>
      <c r="Q75" s="4">
        <f t="shared" si="15"/>
        <v>1.07968010243331</v>
      </c>
      <c r="T75">
        <v>7.151</v>
      </c>
      <c r="U75" s="7">
        <f t="shared" si="16"/>
        <v>0.504592644385401</v>
      </c>
      <c r="V75">
        <f t="shared" si="17"/>
        <v>3.69203921791344</v>
      </c>
      <c r="Y75">
        <v>0.009332316</v>
      </c>
      <c r="Z75" s="8">
        <v>0.231990129781289</v>
      </c>
      <c r="AA75">
        <f t="shared" si="18"/>
        <v>8.03040988811846</v>
      </c>
      <c r="AD75" s="9">
        <v>0.871989</v>
      </c>
      <c r="AE75">
        <f t="shared" si="19"/>
        <v>2.13646712532102</v>
      </c>
      <c r="AH75">
        <v>2.7286</v>
      </c>
      <c r="AI75" s="10">
        <f t="shared" si="20"/>
        <v>1.32241515795646</v>
      </c>
      <c r="AJ75">
        <f t="shared" si="21"/>
        <v>1.40876775416006</v>
      </c>
    </row>
    <row r="76" spans="1:36">
      <c r="A76" s="1" t="s">
        <v>96</v>
      </c>
      <c r="B76" s="1">
        <v>3645632</v>
      </c>
      <c r="C76" s="2">
        <v>0</v>
      </c>
      <c r="E76">
        <v>3.949763</v>
      </c>
      <c r="F76">
        <v>923.000093</v>
      </c>
      <c r="G76" s="3">
        <f t="shared" si="11"/>
        <v>0.923000093</v>
      </c>
      <c r="I76" t="s">
        <v>96</v>
      </c>
      <c r="J76">
        <v>1.44591</v>
      </c>
      <c r="K76" s="5">
        <f t="shared" si="12"/>
        <v>2.52134088567062</v>
      </c>
      <c r="L76">
        <f t="shared" si="13"/>
        <v>2.73167999092565</v>
      </c>
      <c r="O76">
        <v>0.0020416</v>
      </c>
      <c r="P76" s="6">
        <f t="shared" si="14"/>
        <v>1.78567398119122</v>
      </c>
      <c r="Q76" s="4">
        <f t="shared" si="15"/>
        <v>1.41198276517902</v>
      </c>
      <c r="T76">
        <v>6.82</v>
      </c>
      <c r="U76" s="7">
        <f t="shared" si="16"/>
        <v>0.534550146627566</v>
      </c>
      <c r="V76">
        <f t="shared" si="17"/>
        <v>4.71675277161096</v>
      </c>
      <c r="Y76">
        <v>0.00680571</v>
      </c>
      <c r="Z76" s="8">
        <v>0.321403527332196</v>
      </c>
      <c r="AA76">
        <f t="shared" si="18"/>
        <v>7.84478287030313</v>
      </c>
      <c r="AD76" s="9">
        <v>1.162749</v>
      </c>
      <c r="AE76">
        <f t="shared" si="19"/>
        <v>2.16843092160958</v>
      </c>
      <c r="AH76">
        <v>1.9899</v>
      </c>
      <c r="AI76" s="10">
        <f t="shared" si="20"/>
        <v>1.83206794311272</v>
      </c>
      <c r="AJ76">
        <f t="shared" si="21"/>
        <v>1.37622673610391</v>
      </c>
    </row>
    <row r="77" spans="1:36">
      <c r="A77" s="1" t="s">
        <v>97</v>
      </c>
      <c r="B77" s="1">
        <v>3646748</v>
      </c>
      <c r="C77" s="2">
        <v>0.0151286</v>
      </c>
      <c r="E77">
        <v>1.800269</v>
      </c>
      <c r="F77">
        <v>2025.668407</v>
      </c>
      <c r="G77" s="3">
        <f t="shared" si="11"/>
        <v>2.025668407</v>
      </c>
      <c r="I77" t="s">
        <v>97</v>
      </c>
      <c r="J77">
        <v>1.07175</v>
      </c>
      <c r="K77" s="5">
        <f t="shared" si="12"/>
        <v>3.40261068346163</v>
      </c>
      <c r="L77">
        <f t="shared" si="13"/>
        <v>1.67974712529622</v>
      </c>
      <c r="O77">
        <v>0.0018016</v>
      </c>
      <c r="P77" s="6">
        <f t="shared" si="14"/>
        <v>2.02417184724689</v>
      </c>
      <c r="Q77" s="4">
        <f t="shared" si="15"/>
        <v>1.68098903662235</v>
      </c>
      <c r="T77">
        <v>6.278</v>
      </c>
      <c r="U77" s="7">
        <f t="shared" si="16"/>
        <v>0.580877349474355</v>
      </c>
      <c r="V77">
        <f t="shared" si="17"/>
        <v>5.85770935386051</v>
      </c>
      <c r="Y77">
        <v>0.007461216</v>
      </c>
      <c r="Z77" s="8">
        <v>0.293256327118797</v>
      </c>
      <c r="AA77">
        <f t="shared" si="18"/>
        <v>11.602855143457</v>
      </c>
      <c r="AD77" s="9">
        <v>1.244349</v>
      </c>
      <c r="AE77">
        <f t="shared" si="19"/>
        <v>2.73445045036531</v>
      </c>
      <c r="AH77">
        <v>1.8834</v>
      </c>
      <c r="AI77" s="10">
        <f t="shared" si="20"/>
        <v>1.93625783158118</v>
      </c>
      <c r="AJ77">
        <f t="shared" si="21"/>
        <v>1.75731280615815</v>
      </c>
    </row>
    <row r="78" spans="1:36">
      <c r="A78" s="1" t="s">
        <v>98</v>
      </c>
      <c r="B78" s="1">
        <v>3915844</v>
      </c>
      <c r="C78" s="2">
        <v>0.0610972</v>
      </c>
      <c r="E78">
        <v>2.563555</v>
      </c>
      <c r="F78">
        <v>1527.505634</v>
      </c>
      <c r="G78" s="3">
        <f t="shared" si="11"/>
        <v>1.527505634</v>
      </c>
      <c r="I78" t="s">
        <v>98</v>
      </c>
      <c r="J78">
        <v>2.26172</v>
      </c>
      <c r="K78" s="5">
        <f t="shared" si="12"/>
        <v>1.73135666660771</v>
      </c>
      <c r="L78">
        <f t="shared" si="13"/>
        <v>1.13345353893976</v>
      </c>
      <c r="O78">
        <v>0.001992</v>
      </c>
      <c r="P78" s="6">
        <f t="shared" si="14"/>
        <v>1.96578514056225</v>
      </c>
      <c r="Q78" s="4">
        <f t="shared" si="15"/>
        <v>0.88074562722176</v>
      </c>
      <c r="T78">
        <v>11.696</v>
      </c>
      <c r="U78" s="7">
        <f t="shared" si="16"/>
        <v>0.334801983584131</v>
      </c>
      <c r="V78">
        <f t="shared" si="17"/>
        <v>5.17128557027395</v>
      </c>
      <c r="Y78">
        <v>0.007246656</v>
      </c>
      <c r="Z78" s="8">
        <v>0.324219391675277</v>
      </c>
      <c r="AA78">
        <f t="shared" si="18"/>
        <v>5.34007746316963</v>
      </c>
      <c r="AD78" s="9">
        <v>1.101897</v>
      </c>
      <c r="AE78">
        <f t="shared" si="19"/>
        <v>1.5712509123881</v>
      </c>
      <c r="AH78">
        <v>2.7761</v>
      </c>
      <c r="AI78" s="10">
        <f t="shared" si="20"/>
        <v>1.41055581571269</v>
      </c>
      <c r="AJ78">
        <f t="shared" si="21"/>
        <v>1.22742868259555</v>
      </c>
    </row>
    <row r="79" spans="1:36">
      <c r="A79" s="1" t="s">
        <v>99</v>
      </c>
      <c r="B79" s="1">
        <v>3915844</v>
      </c>
      <c r="C79" s="2">
        <v>0.0610972</v>
      </c>
      <c r="E79">
        <v>2.562644</v>
      </c>
      <c r="F79">
        <v>1528.048121</v>
      </c>
      <c r="G79" s="3">
        <f t="shared" si="11"/>
        <v>1.528048121</v>
      </c>
      <c r="I79" t="s">
        <v>99</v>
      </c>
      <c r="J79">
        <v>2.28725</v>
      </c>
      <c r="K79" s="5">
        <f t="shared" si="12"/>
        <v>1.71203147885015</v>
      </c>
      <c r="L79">
        <f t="shared" si="13"/>
        <v>1.1204041648438</v>
      </c>
      <c r="O79">
        <v>0.0019936</v>
      </c>
      <c r="P79" s="6">
        <f t="shared" si="14"/>
        <v>1.96420746388443</v>
      </c>
      <c r="Q79" s="4">
        <f t="shared" si="15"/>
        <v>0.871614384085692</v>
      </c>
      <c r="T79">
        <v>11.711</v>
      </c>
      <c r="U79" s="7">
        <f t="shared" si="16"/>
        <v>0.334373153445479</v>
      </c>
      <c r="V79">
        <f t="shared" si="17"/>
        <v>5.12012241775057</v>
      </c>
      <c r="Y79">
        <v>0.007272432</v>
      </c>
      <c r="Z79" s="8">
        <v>0.323070246652014</v>
      </c>
      <c r="AA79">
        <f t="shared" si="18"/>
        <v>5.29925456334026</v>
      </c>
      <c r="AD79" s="9">
        <v>1.109193</v>
      </c>
      <c r="AE79">
        <f t="shared" si="19"/>
        <v>1.543492862694</v>
      </c>
      <c r="AH79">
        <v>2.8305</v>
      </c>
      <c r="AI79" s="10">
        <f t="shared" si="20"/>
        <v>1.38344603426956</v>
      </c>
      <c r="AJ79">
        <f t="shared" si="21"/>
        <v>1.23751229642584</v>
      </c>
    </row>
    <row r="80" spans="1:36">
      <c r="A80" s="1" t="s">
        <v>101</v>
      </c>
      <c r="B80" s="1">
        <v>4058450</v>
      </c>
      <c r="C80" s="2">
        <v>0.195903</v>
      </c>
      <c r="E80">
        <v>1.968449</v>
      </c>
      <c r="F80">
        <v>2061.749622</v>
      </c>
      <c r="G80" s="3">
        <f t="shared" si="11"/>
        <v>2.061749622</v>
      </c>
      <c r="I80" t="s">
        <v>101</v>
      </c>
      <c r="J80">
        <v>2.10924</v>
      </c>
      <c r="K80" s="5">
        <f t="shared" si="12"/>
        <v>1.92412907018642</v>
      </c>
      <c r="L80">
        <f t="shared" si="13"/>
        <v>0.933250599226456</v>
      </c>
      <c r="O80">
        <v>0.001488</v>
      </c>
      <c r="P80" s="6">
        <f t="shared" si="14"/>
        <v>2.72745295698925</v>
      </c>
      <c r="Q80" s="4">
        <f t="shared" si="15"/>
        <v>0.705467372134039</v>
      </c>
      <c r="T80">
        <v>40.624</v>
      </c>
      <c r="U80" s="7">
        <f t="shared" si="16"/>
        <v>0.0999027668373375</v>
      </c>
      <c r="V80">
        <f t="shared" si="17"/>
        <v>19.2600178263261</v>
      </c>
      <c r="Y80">
        <v>0.007900812</v>
      </c>
      <c r="Z80" s="8">
        <v>0.308205030065264</v>
      </c>
      <c r="AA80">
        <f t="shared" si="18"/>
        <v>6.24301644194118</v>
      </c>
      <c r="AD80" s="9">
        <v>1.262589</v>
      </c>
      <c r="AE80">
        <f t="shared" si="19"/>
        <v>1.52395519855346</v>
      </c>
      <c r="AH80">
        <v>2.6838</v>
      </c>
      <c r="AI80" s="10">
        <f t="shared" si="20"/>
        <v>1.51220284670989</v>
      </c>
      <c r="AJ80">
        <f t="shared" si="21"/>
        <v>1.27240143369176</v>
      </c>
    </row>
    <row r="81" spans="1:36">
      <c r="A81" s="1" t="s">
        <v>100</v>
      </c>
      <c r="B81" s="1">
        <v>4058450</v>
      </c>
      <c r="C81" s="2">
        <v>0.195903</v>
      </c>
      <c r="E81">
        <v>1.956024</v>
      </c>
      <c r="F81">
        <v>2074.846831</v>
      </c>
      <c r="G81" s="3">
        <f t="shared" si="11"/>
        <v>2.074846831</v>
      </c>
      <c r="I81" t="s">
        <v>100</v>
      </c>
      <c r="J81">
        <v>1.96327</v>
      </c>
      <c r="K81" s="5">
        <f t="shared" si="12"/>
        <v>2.06718892460028</v>
      </c>
      <c r="L81">
        <f t="shared" si="13"/>
        <v>0.996309170255221</v>
      </c>
      <c r="O81">
        <v>0.0016352</v>
      </c>
      <c r="P81" s="6">
        <f t="shared" si="14"/>
        <v>2.48192881604697</v>
      </c>
      <c r="Q81" s="4">
        <f t="shared" si="15"/>
        <v>0.832896137566407</v>
      </c>
      <c r="T81">
        <v>40.866</v>
      </c>
      <c r="U81" s="7">
        <f t="shared" si="16"/>
        <v>0.0993111633142466</v>
      </c>
      <c r="V81">
        <f t="shared" si="17"/>
        <v>20.8152724790783</v>
      </c>
      <c r="Y81">
        <v>0.008025264</v>
      </c>
      <c r="Z81" s="8">
        <v>0.303425532169409</v>
      </c>
      <c r="AA81">
        <f t="shared" si="18"/>
        <v>6.81283776556459</v>
      </c>
      <c r="AD81" s="9">
        <v>1.276353</v>
      </c>
      <c r="AE81">
        <f t="shared" si="19"/>
        <v>1.61960595900999</v>
      </c>
      <c r="AH81">
        <v>2.5817</v>
      </c>
      <c r="AI81" s="10">
        <f t="shared" si="20"/>
        <v>1.57200681721346</v>
      </c>
      <c r="AJ81">
        <f t="shared" si="21"/>
        <v>1.31499997453229</v>
      </c>
    </row>
    <row r="82" spans="1:36">
      <c r="A82" s="1" t="s">
        <v>102</v>
      </c>
      <c r="B82" s="1">
        <v>4092266</v>
      </c>
      <c r="C82" s="2">
        <v>0.308342</v>
      </c>
      <c r="E82">
        <v>1.345278</v>
      </c>
      <c r="F82">
        <v>3041.948583</v>
      </c>
      <c r="G82" s="3">
        <f t="shared" si="11"/>
        <v>3.041948583</v>
      </c>
      <c r="I82" t="s">
        <v>102</v>
      </c>
      <c r="J82">
        <v>0.556155</v>
      </c>
      <c r="K82" s="5">
        <f t="shared" si="12"/>
        <v>7.35813936762234</v>
      </c>
      <c r="L82">
        <f t="shared" si="13"/>
        <v>2.41889011824311</v>
      </c>
      <c r="O82">
        <v>0.0008864</v>
      </c>
      <c r="P82" s="6">
        <f t="shared" si="14"/>
        <v>4.61672608303249</v>
      </c>
      <c r="Q82" s="4">
        <f t="shared" si="15"/>
        <v>1.59380028948764</v>
      </c>
      <c r="T82">
        <v>3.445</v>
      </c>
      <c r="U82" s="7">
        <f t="shared" si="16"/>
        <v>1.18788563134978</v>
      </c>
      <c r="V82">
        <f t="shared" si="17"/>
        <v>6.19431633267704</v>
      </c>
      <c r="Y82">
        <v>0.00251361</v>
      </c>
      <c r="Z82" s="8">
        <v>0.976825999260028</v>
      </c>
      <c r="AA82">
        <f t="shared" si="18"/>
        <v>7.53270221431076</v>
      </c>
      <c r="AD82" s="9">
        <v>2.50428</v>
      </c>
      <c r="AE82">
        <f t="shared" si="19"/>
        <v>2.9382255049844</v>
      </c>
      <c r="AH82">
        <v>1.0649</v>
      </c>
      <c r="AI82" s="10">
        <f t="shared" si="20"/>
        <v>3.84286411869659</v>
      </c>
      <c r="AJ82">
        <f t="shared" si="21"/>
        <v>1.91475398045509</v>
      </c>
    </row>
    <row r="83" spans="1:36">
      <c r="A83" s="1" t="s">
        <v>103</v>
      </c>
      <c r="B83" s="1">
        <v>4123318</v>
      </c>
      <c r="C83" s="2">
        <v>0.0130902</v>
      </c>
      <c r="E83">
        <v>3.424334</v>
      </c>
      <c r="F83">
        <v>1204.122705</v>
      </c>
      <c r="G83" s="3">
        <f t="shared" si="11"/>
        <v>1.204122705</v>
      </c>
      <c r="I83" t="s">
        <v>103</v>
      </c>
      <c r="J83">
        <v>2.77971</v>
      </c>
      <c r="K83" s="5">
        <f t="shared" si="12"/>
        <v>1.48336265293862</v>
      </c>
      <c r="L83">
        <f t="shared" si="13"/>
        <v>1.23190323276781</v>
      </c>
      <c r="O83">
        <v>0.0044912</v>
      </c>
      <c r="P83" s="6">
        <f t="shared" si="14"/>
        <v>0.918088261489134</v>
      </c>
      <c r="Q83" s="4">
        <f t="shared" si="15"/>
        <v>1.61570811343629</v>
      </c>
      <c r="T83">
        <v>6.387</v>
      </c>
      <c r="U83" s="7">
        <f t="shared" si="16"/>
        <v>0.645579771410678</v>
      </c>
      <c r="V83">
        <f t="shared" si="17"/>
        <v>2.29772170478215</v>
      </c>
      <c r="Y83">
        <v>0.005220324</v>
      </c>
      <c r="Z83" s="8">
        <v>0.473915182276043</v>
      </c>
      <c r="AA83">
        <f t="shared" si="18"/>
        <v>3.13001716006346</v>
      </c>
      <c r="AD83" s="9">
        <v>0.935511</v>
      </c>
      <c r="AE83">
        <f t="shared" si="19"/>
        <v>1.58561754264634</v>
      </c>
      <c r="AH83">
        <v>5.5223</v>
      </c>
      <c r="AI83" s="10">
        <f t="shared" si="20"/>
        <v>0.746666787389312</v>
      </c>
      <c r="AJ83">
        <f t="shared" si="21"/>
        <v>1.98664608898051</v>
      </c>
    </row>
    <row r="84" spans="1:36">
      <c r="A84" s="1" t="s">
        <v>104</v>
      </c>
      <c r="B84" s="1">
        <v>4158036</v>
      </c>
      <c r="C84" s="2">
        <v>0.036194</v>
      </c>
      <c r="E84">
        <v>1.919122</v>
      </c>
      <c r="F84">
        <v>2166.634331</v>
      </c>
      <c r="G84" s="3">
        <f t="shared" si="11"/>
        <v>2.166634331</v>
      </c>
      <c r="I84" t="s">
        <v>104</v>
      </c>
      <c r="J84">
        <v>0.969445</v>
      </c>
      <c r="K84" s="5">
        <f t="shared" si="12"/>
        <v>4.28908911800051</v>
      </c>
      <c r="L84">
        <f t="shared" si="13"/>
        <v>1.97960913691462</v>
      </c>
      <c r="O84">
        <v>0.0010832</v>
      </c>
      <c r="P84" s="6">
        <f t="shared" si="14"/>
        <v>3.83865952732644</v>
      </c>
      <c r="Q84" s="4">
        <f t="shared" si="15"/>
        <v>1.11734033390239</v>
      </c>
      <c r="T84">
        <v>5.785</v>
      </c>
      <c r="U84" s="7">
        <f t="shared" si="16"/>
        <v>0.718761624891962</v>
      </c>
      <c r="V84">
        <f t="shared" si="17"/>
        <v>5.96733182387861</v>
      </c>
      <c r="Y84">
        <v>0.004790934</v>
      </c>
      <c r="Z84" s="8">
        <v>0.520738043980568</v>
      </c>
      <c r="AA84">
        <f t="shared" si="18"/>
        <v>8.23655803062577</v>
      </c>
      <c r="AD84" s="9">
        <v>1.726833</v>
      </c>
      <c r="AE84">
        <f t="shared" si="19"/>
        <v>2.48378917822424</v>
      </c>
      <c r="AH84">
        <v>1.6935</v>
      </c>
      <c r="AI84" s="10">
        <f t="shared" si="20"/>
        <v>2.45529140832595</v>
      </c>
      <c r="AJ84">
        <f t="shared" si="21"/>
        <v>1.74687578975599</v>
      </c>
    </row>
    <row r="85" spans="1:36">
      <c r="A85" s="1" t="s">
        <v>105</v>
      </c>
      <c r="B85" s="1">
        <v>4190266</v>
      </c>
      <c r="C85" s="2">
        <v>0</v>
      </c>
      <c r="E85">
        <v>0.991391</v>
      </c>
      <c r="F85">
        <v>4226.653181</v>
      </c>
      <c r="G85" s="3">
        <f t="shared" si="11"/>
        <v>4.226653181</v>
      </c>
      <c r="I85" t="s">
        <v>105</v>
      </c>
      <c r="J85">
        <v>0.613412</v>
      </c>
      <c r="K85" s="5">
        <f t="shared" si="12"/>
        <v>6.83107927461478</v>
      </c>
      <c r="L85">
        <f t="shared" si="13"/>
        <v>1.61619110489652</v>
      </c>
      <c r="O85">
        <v>0.0011488</v>
      </c>
      <c r="P85" s="6">
        <f t="shared" si="14"/>
        <v>3.64751566852368</v>
      </c>
      <c r="Q85" s="4">
        <f t="shared" si="15"/>
        <v>1.87280327088482</v>
      </c>
      <c r="T85">
        <v>4.833</v>
      </c>
      <c r="U85" s="7">
        <f t="shared" si="16"/>
        <v>0.867011380095179</v>
      </c>
      <c r="V85">
        <f t="shared" si="17"/>
        <v>7.87888075225134</v>
      </c>
      <c r="Y85">
        <v>0.00358164</v>
      </c>
      <c r="Z85" s="8">
        <v>0.701957650685161</v>
      </c>
      <c r="AA85">
        <f t="shared" si="18"/>
        <v>9.73146922459945</v>
      </c>
      <c r="AD85" s="9">
        <v>1.917198</v>
      </c>
      <c r="AE85">
        <f t="shared" si="19"/>
        <v>3.5630536202389</v>
      </c>
      <c r="AH85">
        <v>2.6709</v>
      </c>
      <c r="AI85" s="10">
        <f t="shared" si="20"/>
        <v>1.56885918604216</v>
      </c>
      <c r="AJ85">
        <f t="shared" si="21"/>
        <v>4.3541697912659</v>
      </c>
    </row>
    <row r="86" spans="1:36">
      <c r="A86" s="1" t="s">
        <v>106</v>
      </c>
      <c r="B86" s="1">
        <v>4204944</v>
      </c>
      <c r="C86" s="2">
        <v>0.0241357</v>
      </c>
      <c r="E86">
        <v>1.686992</v>
      </c>
      <c r="F86">
        <v>2492.568667</v>
      </c>
      <c r="G86" s="3">
        <f t="shared" si="11"/>
        <v>2.492568667</v>
      </c>
      <c r="I86" t="s">
        <v>106</v>
      </c>
      <c r="J86">
        <v>1.4712</v>
      </c>
      <c r="K86" s="5">
        <f t="shared" si="12"/>
        <v>2.85817292006525</v>
      </c>
      <c r="L86">
        <f t="shared" si="13"/>
        <v>1.14667770557562</v>
      </c>
      <c r="O86">
        <v>0.0021568</v>
      </c>
      <c r="P86" s="6">
        <f t="shared" si="14"/>
        <v>1.94962166172107</v>
      </c>
      <c r="Q86" s="4">
        <f t="shared" si="15"/>
        <v>1.46601413811854</v>
      </c>
      <c r="T86">
        <v>4.64</v>
      </c>
      <c r="U86" s="7">
        <f t="shared" si="16"/>
        <v>0.906237931034483</v>
      </c>
      <c r="V86">
        <f t="shared" si="17"/>
        <v>3.15388798259924</v>
      </c>
      <c r="Y86">
        <v>0.004618134</v>
      </c>
      <c r="Z86" s="8">
        <v>0.546317278797021</v>
      </c>
      <c r="AA86">
        <f t="shared" si="18"/>
        <v>5.2317088091354</v>
      </c>
      <c r="AD86" s="9">
        <v>1.240719</v>
      </c>
      <c r="AE86">
        <f t="shared" si="19"/>
        <v>2.3036424202944</v>
      </c>
      <c r="AH86">
        <v>3.6221</v>
      </c>
      <c r="AI86" s="10">
        <f t="shared" si="20"/>
        <v>1.16091328235002</v>
      </c>
      <c r="AJ86">
        <f t="shared" si="21"/>
        <v>2.46200380641653</v>
      </c>
    </row>
    <row r="87" spans="1:36">
      <c r="A87" s="1" t="s">
        <v>107</v>
      </c>
      <c r="B87" s="1">
        <v>4344174</v>
      </c>
      <c r="C87" s="2">
        <v>0.00292969</v>
      </c>
      <c r="E87">
        <v>3.000045</v>
      </c>
      <c r="F87">
        <v>1448.03632</v>
      </c>
      <c r="G87" s="3">
        <f t="shared" si="11"/>
        <v>1.44803632</v>
      </c>
      <c r="I87" t="s">
        <v>107</v>
      </c>
      <c r="J87">
        <v>2.62646</v>
      </c>
      <c r="K87" s="5">
        <f t="shared" si="12"/>
        <v>1.65400348758405</v>
      </c>
      <c r="L87">
        <f t="shared" si="13"/>
        <v>1.14223895128822</v>
      </c>
      <c r="O87">
        <v>0.0016976</v>
      </c>
      <c r="P87" s="6">
        <f t="shared" si="14"/>
        <v>2.55900918944392</v>
      </c>
      <c r="Q87" s="4">
        <f t="shared" si="15"/>
        <v>0.646345270820801</v>
      </c>
      <c r="T87">
        <v>8.272</v>
      </c>
      <c r="U87" s="7">
        <f t="shared" si="16"/>
        <v>0.525166102514507</v>
      </c>
      <c r="V87">
        <f t="shared" si="17"/>
        <v>3.14948638090814</v>
      </c>
      <c r="Y87">
        <v>0.008058906</v>
      </c>
      <c r="Z87" s="8">
        <v>0.323431542693264</v>
      </c>
      <c r="AA87">
        <f t="shared" si="18"/>
        <v>5.1139213999071</v>
      </c>
      <c r="AD87" s="9">
        <v>1.561518</v>
      </c>
      <c r="AE87">
        <f t="shared" si="19"/>
        <v>1.05922793562677</v>
      </c>
      <c r="AH87">
        <v>2.0406</v>
      </c>
      <c r="AI87" s="10">
        <f t="shared" si="20"/>
        <v>2.12887092031755</v>
      </c>
      <c r="AJ87">
        <f t="shared" si="21"/>
        <v>0.776939302330894</v>
      </c>
    </row>
    <row r="88" spans="1:36">
      <c r="A88" s="1" t="s">
        <v>108</v>
      </c>
      <c r="B88" s="1">
        <v>4347284</v>
      </c>
      <c r="C88" s="2">
        <v>0</v>
      </c>
      <c r="E88">
        <v>2.731984</v>
      </c>
      <c r="F88">
        <v>1591.255297</v>
      </c>
      <c r="G88" s="3">
        <f t="shared" si="11"/>
        <v>1.591255297</v>
      </c>
      <c r="I88" t="s">
        <v>108</v>
      </c>
      <c r="J88">
        <v>1.50544</v>
      </c>
      <c r="K88" s="5">
        <f t="shared" si="12"/>
        <v>2.88771654798597</v>
      </c>
      <c r="L88">
        <f t="shared" si="13"/>
        <v>1.8147412005039</v>
      </c>
      <c r="O88">
        <v>0.0023568</v>
      </c>
      <c r="P88" s="6">
        <f t="shared" si="14"/>
        <v>1.8445706042091</v>
      </c>
      <c r="Q88" s="4">
        <f t="shared" si="15"/>
        <v>1.56552237219683</v>
      </c>
      <c r="T88">
        <v>6.961</v>
      </c>
      <c r="U88" s="7">
        <f t="shared" si="16"/>
        <v>0.624520040224106</v>
      </c>
      <c r="V88">
        <f t="shared" si="17"/>
        <v>4.62389733234138</v>
      </c>
      <c r="Y88">
        <v>0.006961248</v>
      </c>
      <c r="Z88" s="8">
        <v>0.374698674720395</v>
      </c>
      <c r="AA88">
        <f t="shared" si="18"/>
        <v>7.70677011372091</v>
      </c>
      <c r="AD88" s="9">
        <v>1.028079</v>
      </c>
      <c r="AE88">
        <f t="shared" si="19"/>
        <v>2.80884693490089</v>
      </c>
      <c r="AH88">
        <v>2.3697</v>
      </c>
      <c r="AI88" s="10">
        <f t="shared" si="20"/>
        <v>1.83452926530784</v>
      </c>
      <c r="AJ88">
        <f t="shared" si="21"/>
        <v>1.57409129556807</v>
      </c>
    </row>
    <row r="89" spans="1:36">
      <c r="A89" s="1" t="s">
        <v>109</v>
      </c>
      <c r="B89" s="1">
        <v>4449732</v>
      </c>
      <c r="C89" s="2">
        <v>0.00349528</v>
      </c>
      <c r="E89">
        <v>2.282899</v>
      </c>
      <c r="F89">
        <v>1949.158453</v>
      </c>
      <c r="G89" s="3">
        <f t="shared" si="11"/>
        <v>1.949158453</v>
      </c>
      <c r="I89" t="s">
        <v>109</v>
      </c>
      <c r="J89">
        <v>1.80263</v>
      </c>
      <c r="K89" s="5">
        <f t="shared" si="12"/>
        <v>2.46846662931384</v>
      </c>
      <c r="L89">
        <f t="shared" si="13"/>
        <v>1.26642686515022</v>
      </c>
      <c r="O89">
        <v>0.0021984</v>
      </c>
      <c r="P89" s="6">
        <f t="shared" si="14"/>
        <v>2.02407751091703</v>
      </c>
      <c r="Q89" s="4">
        <f t="shared" si="15"/>
        <v>1.21955143318374</v>
      </c>
      <c r="T89">
        <v>10.181</v>
      </c>
      <c r="U89" s="7">
        <f t="shared" si="16"/>
        <v>0.437062371083391</v>
      </c>
      <c r="V89">
        <f t="shared" si="17"/>
        <v>5.64785896162829</v>
      </c>
      <c r="Y89">
        <v>0.004212738</v>
      </c>
      <c r="Z89" s="8">
        <v>0.633753914912344</v>
      </c>
      <c r="AA89">
        <f t="shared" si="18"/>
        <v>3.89499231678159</v>
      </c>
      <c r="AD89" s="9">
        <v>1.342269</v>
      </c>
      <c r="AE89">
        <f t="shared" si="19"/>
        <v>1.83902528428641</v>
      </c>
      <c r="AH89">
        <v>2.3858</v>
      </c>
      <c r="AI89" s="10">
        <f t="shared" si="20"/>
        <v>1.86509011652276</v>
      </c>
      <c r="AJ89">
        <f t="shared" si="21"/>
        <v>1.3235106483305</v>
      </c>
    </row>
    <row r="90" spans="1:36">
      <c r="A90" s="1" t="s">
        <v>110</v>
      </c>
      <c r="B90" s="1">
        <v>4489996</v>
      </c>
      <c r="C90" s="2">
        <v>0</v>
      </c>
      <c r="E90">
        <v>3.269788</v>
      </c>
      <c r="F90">
        <v>1373.176499</v>
      </c>
      <c r="G90" s="3">
        <f t="shared" si="11"/>
        <v>1.373176499</v>
      </c>
      <c r="I90" t="s">
        <v>110</v>
      </c>
      <c r="J90">
        <v>2.78605</v>
      </c>
      <c r="K90" s="5">
        <f t="shared" si="12"/>
        <v>1.6115992175302</v>
      </c>
      <c r="L90">
        <f t="shared" si="13"/>
        <v>1.17362860397321</v>
      </c>
      <c r="O90">
        <v>0.00608</v>
      </c>
      <c r="P90" s="6">
        <f t="shared" si="14"/>
        <v>0.738486184210526</v>
      </c>
      <c r="Q90" s="4">
        <f t="shared" si="15"/>
        <v>2.18230110730245</v>
      </c>
      <c r="T90">
        <v>8.615</v>
      </c>
      <c r="U90" s="7">
        <f t="shared" si="16"/>
        <v>0.5211835171213</v>
      </c>
      <c r="V90">
        <f t="shared" si="17"/>
        <v>3.09219145385043</v>
      </c>
      <c r="Y90">
        <v>0.006330276</v>
      </c>
      <c r="Z90" s="8">
        <v>0.425573482104098</v>
      </c>
      <c r="AA90">
        <f t="shared" si="18"/>
        <v>3.78688824680102</v>
      </c>
      <c r="AD90" s="9">
        <v>0.710346</v>
      </c>
      <c r="AE90">
        <f t="shared" si="19"/>
        <v>2.26875243547538</v>
      </c>
      <c r="AH90">
        <v>4.7241</v>
      </c>
      <c r="AI90" s="10">
        <f t="shared" si="20"/>
        <v>0.950444740797189</v>
      </c>
      <c r="AJ90">
        <f t="shared" si="21"/>
        <v>1.69562642450782</v>
      </c>
    </row>
    <row r="91" spans="1:36">
      <c r="A91" s="1" t="s">
        <v>111</v>
      </c>
      <c r="B91" s="1">
        <v>4527402</v>
      </c>
      <c r="C91" s="2">
        <v>0.0437615</v>
      </c>
      <c r="E91">
        <v>3.766104</v>
      </c>
      <c r="F91">
        <v>1202.144614</v>
      </c>
      <c r="G91" s="3">
        <f t="shared" si="11"/>
        <v>1.202144614</v>
      </c>
      <c r="I91" t="s">
        <v>111</v>
      </c>
      <c r="J91">
        <v>3.45876</v>
      </c>
      <c r="K91" s="5">
        <f t="shared" si="12"/>
        <v>1.30896679734934</v>
      </c>
      <c r="L91">
        <f t="shared" si="13"/>
        <v>1.08885967803316</v>
      </c>
      <c r="O91">
        <v>0.0044128</v>
      </c>
      <c r="P91" s="6">
        <f t="shared" si="14"/>
        <v>1.02597035895577</v>
      </c>
      <c r="Q91" s="4">
        <f t="shared" si="15"/>
        <v>1.27583295747609</v>
      </c>
      <c r="T91">
        <v>8.096</v>
      </c>
      <c r="U91" s="7">
        <f t="shared" si="16"/>
        <v>0.559214673913043</v>
      </c>
      <c r="V91">
        <f t="shared" si="17"/>
        <v>2.34072326498514</v>
      </c>
      <c r="Y91">
        <v>0.005439204</v>
      </c>
      <c r="Z91" s="8">
        <v>0.499418885557519</v>
      </c>
      <c r="AA91">
        <f t="shared" si="18"/>
        <v>2.62097977309787</v>
      </c>
      <c r="AD91" s="9">
        <v>0.942534</v>
      </c>
      <c r="AE91">
        <f t="shared" si="19"/>
        <v>1.38877408915683</v>
      </c>
      <c r="AH91">
        <v>5.144</v>
      </c>
      <c r="AI91" s="10">
        <f t="shared" si="20"/>
        <v>0.880132581648522</v>
      </c>
      <c r="AJ91">
        <f t="shared" si="21"/>
        <v>1.48723820097376</v>
      </c>
    </row>
    <row r="92" spans="1:36">
      <c r="A92" s="1" t="s">
        <v>112</v>
      </c>
      <c r="B92" s="1">
        <v>4572198</v>
      </c>
      <c r="C92" s="2">
        <v>1</v>
      </c>
      <c r="E92">
        <v>0.746463</v>
      </c>
      <c r="F92">
        <v>6125.151876</v>
      </c>
      <c r="G92" s="3">
        <f t="shared" si="11"/>
        <v>6.125151876</v>
      </c>
      <c r="I92" t="s">
        <v>112</v>
      </c>
      <c r="J92">
        <v>0.3396</v>
      </c>
      <c r="K92" s="5">
        <f t="shared" si="12"/>
        <v>13.463480565371</v>
      </c>
      <c r="L92">
        <f t="shared" si="13"/>
        <v>2.19806477258541</v>
      </c>
      <c r="O92">
        <v>0.0006304</v>
      </c>
      <c r="P92" s="6">
        <f t="shared" si="14"/>
        <v>7.25285215736041</v>
      </c>
      <c r="Q92" s="4">
        <f t="shared" si="15"/>
        <v>1.85630153121319</v>
      </c>
      <c r="T92">
        <v>1.881</v>
      </c>
      <c r="U92" s="7">
        <f t="shared" si="16"/>
        <v>2.43072727272727</v>
      </c>
      <c r="V92">
        <f t="shared" si="17"/>
        <v>5.53886925795053</v>
      </c>
      <c r="Y92">
        <v>0.004045788</v>
      </c>
      <c r="Z92" s="8">
        <v>0.678067857238194</v>
      </c>
      <c r="AA92">
        <f t="shared" si="18"/>
        <v>19.8556537102474</v>
      </c>
      <c r="AD92" s="9">
        <v>3.0633</v>
      </c>
      <c r="AE92">
        <f t="shared" si="19"/>
        <v>4.39509044669834</v>
      </c>
      <c r="AH92">
        <v>0.7102</v>
      </c>
      <c r="AI92" s="10">
        <f t="shared" si="20"/>
        <v>6.43790199943678</v>
      </c>
      <c r="AJ92">
        <f t="shared" si="21"/>
        <v>2.09128386336867</v>
      </c>
    </row>
    <row r="93" spans="1:36">
      <c r="A93" s="1" t="s">
        <v>113</v>
      </c>
      <c r="B93" s="1">
        <v>4595084</v>
      </c>
      <c r="C93" s="2">
        <v>0</v>
      </c>
      <c r="E93">
        <v>2.991633</v>
      </c>
      <c r="F93">
        <v>1535.978582</v>
      </c>
      <c r="G93" s="3">
        <f t="shared" si="11"/>
        <v>1.535978582</v>
      </c>
      <c r="I93" t="s">
        <v>113</v>
      </c>
      <c r="J93">
        <v>2.68775</v>
      </c>
      <c r="K93" s="5">
        <f t="shared" si="12"/>
        <v>1.70963966142684</v>
      </c>
      <c r="L93">
        <f t="shared" si="13"/>
        <v>1.11306217512533</v>
      </c>
      <c r="O93">
        <v>0.0027888</v>
      </c>
      <c r="P93" s="6">
        <f t="shared" si="14"/>
        <v>1.64769219736087</v>
      </c>
      <c r="Q93" s="4">
        <f t="shared" si="15"/>
        <v>1.03759650265092</v>
      </c>
      <c r="T93">
        <v>9.046</v>
      </c>
      <c r="U93" s="7">
        <f t="shared" si="16"/>
        <v>0.507968604908247</v>
      </c>
      <c r="V93">
        <f t="shared" si="17"/>
        <v>3.36564040554367</v>
      </c>
      <c r="Y93">
        <v>0.007181154</v>
      </c>
      <c r="Z93" s="8">
        <v>0.383928599776582</v>
      </c>
      <c r="AA93">
        <f t="shared" si="18"/>
        <v>4.45301460329272</v>
      </c>
      <c r="AD93" s="9">
        <v>0.935652</v>
      </c>
      <c r="AE93">
        <f t="shared" si="19"/>
        <v>1.82721744989253</v>
      </c>
      <c r="AH93">
        <v>3.4979</v>
      </c>
      <c r="AI93" s="10">
        <f t="shared" si="20"/>
        <v>1.31366934446382</v>
      </c>
      <c r="AJ93">
        <f t="shared" si="21"/>
        <v>1.30142312343038</v>
      </c>
    </row>
    <row r="94" spans="1:36">
      <c r="A94" s="1" t="s">
        <v>115</v>
      </c>
      <c r="B94" s="1">
        <v>4704084</v>
      </c>
      <c r="C94" s="2">
        <v>0.0563232</v>
      </c>
      <c r="E94">
        <v>3.933684</v>
      </c>
      <c r="F94">
        <v>1195.846913</v>
      </c>
      <c r="G94" s="3">
        <f t="shared" si="11"/>
        <v>1.195846913</v>
      </c>
      <c r="I94" t="s">
        <v>115</v>
      </c>
      <c r="J94">
        <v>3.084</v>
      </c>
      <c r="K94" s="5">
        <f t="shared" si="12"/>
        <v>1.52531906614786</v>
      </c>
      <c r="L94">
        <f t="shared" si="13"/>
        <v>1.27551365443702</v>
      </c>
      <c r="O94">
        <v>0.002296</v>
      </c>
      <c r="P94" s="6">
        <f t="shared" si="14"/>
        <v>2.04881707317073</v>
      </c>
      <c r="Q94" s="4">
        <f t="shared" si="15"/>
        <v>0.744487678339818</v>
      </c>
      <c r="T94">
        <v>16.852</v>
      </c>
      <c r="U94" s="7">
        <f t="shared" si="16"/>
        <v>0.279140992167102</v>
      </c>
      <c r="V94">
        <f t="shared" si="17"/>
        <v>5.46433203631647</v>
      </c>
      <c r="Y94">
        <v>0.008415576</v>
      </c>
      <c r="Z94" s="8">
        <v>0.335384102050769</v>
      </c>
      <c r="AA94">
        <f t="shared" si="18"/>
        <v>4.54797665369649</v>
      </c>
      <c r="AD94" s="9">
        <v>1.064781</v>
      </c>
      <c r="AE94">
        <f t="shared" si="19"/>
        <v>1.43251904959598</v>
      </c>
      <c r="AH94">
        <v>3.3552</v>
      </c>
      <c r="AI94" s="10">
        <f t="shared" si="20"/>
        <v>1.40202789699571</v>
      </c>
      <c r="AJ94">
        <f t="shared" si="21"/>
        <v>1.08793774319066</v>
      </c>
    </row>
    <row r="95" spans="1:36">
      <c r="A95" s="1" t="s">
        <v>114</v>
      </c>
      <c r="B95" s="1">
        <v>4704084</v>
      </c>
      <c r="C95" s="2">
        <v>0.0603407</v>
      </c>
      <c r="E95">
        <v>3.935408</v>
      </c>
      <c r="F95">
        <v>1195.323088</v>
      </c>
      <c r="G95" s="3">
        <f t="shared" si="11"/>
        <v>1.195323088</v>
      </c>
      <c r="I95" t="s">
        <v>114</v>
      </c>
      <c r="J95">
        <v>2.82645</v>
      </c>
      <c r="K95" s="5">
        <f t="shared" si="12"/>
        <v>1.66430823117338</v>
      </c>
      <c r="L95">
        <f t="shared" si="13"/>
        <v>1.39235010841971</v>
      </c>
      <c r="O95">
        <v>0.0023888</v>
      </c>
      <c r="P95" s="6">
        <f t="shared" si="14"/>
        <v>1.96922471533825</v>
      </c>
      <c r="Q95" s="4">
        <f t="shared" si="15"/>
        <v>0.845159121866653</v>
      </c>
      <c r="T95">
        <v>14.425</v>
      </c>
      <c r="U95" s="7">
        <f t="shared" si="16"/>
        <v>0.326106343154246</v>
      </c>
      <c r="V95">
        <f t="shared" si="17"/>
        <v>5.10357515611456</v>
      </c>
      <c r="Y95">
        <v>0.008431668</v>
      </c>
      <c r="Z95" s="8">
        <v>0.334744015063212</v>
      </c>
      <c r="AA95">
        <f t="shared" si="18"/>
        <v>4.97188345804808</v>
      </c>
      <c r="AD95" s="9">
        <v>1.097775</v>
      </c>
      <c r="AE95">
        <f t="shared" si="19"/>
        <v>1.51607408728873</v>
      </c>
      <c r="AH95">
        <v>3.3158</v>
      </c>
      <c r="AI95" s="10">
        <f t="shared" si="20"/>
        <v>1.41868749623017</v>
      </c>
      <c r="AJ95">
        <f t="shared" si="21"/>
        <v>1.17313237453343</v>
      </c>
    </row>
    <row r="96" spans="1:36">
      <c r="A96" s="1" t="s">
        <v>116</v>
      </c>
      <c r="B96" s="1">
        <v>4726912</v>
      </c>
      <c r="C96" s="2">
        <v>0.000166016</v>
      </c>
      <c r="E96">
        <v>3.250079</v>
      </c>
      <c r="F96">
        <v>1454.399318</v>
      </c>
      <c r="G96" s="3">
        <f t="shared" si="11"/>
        <v>1.454399318</v>
      </c>
      <c r="I96" t="s">
        <v>116</v>
      </c>
      <c r="J96">
        <v>3.10737</v>
      </c>
      <c r="K96" s="5">
        <f t="shared" si="12"/>
        <v>1.52119380698147</v>
      </c>
      <c r="L96">
        <f t="shared" si="13"/>
        <v>1.04592582529076</v>
      </c>
      <c r="O96">
        <v>0.005664</v>
      </c>
      <c r="P96" s="6">
        <f t="shared" si="14"/>
        <v>0.834553672316384</v>
      </c>
      <c r="Q96" s="4">
        <f t="shared" si="15"/>
        <v>1.82276330144141</v>
      </c>
      <c r="T96">
        <v>27.492</v>
      </c>
      <c r="U96" s="7">
        <f t="shared" si="16"/>
        <v>0.171937727338862</v>
      </c>
      <c r="V96">
        <f t="shared" si="17"/>
        <v>8.84735322797092</v>
      </c>
      <c r="Y96">
        <v>0.0064953</v>
      </c>
      <c r="Z96" s="8">
        <v>0.436646067156251</v>
      </c>
      <c r="AA96">
        <f t="shared" si="18"/>
        <v>3.48381428667974</v>
      </c>
      <c r="AD96" s="9">
        <v>0.760038</v>
      </c>
      <c r="AE96">
        <f t="shared" si="19"/>
        <v>2.00147072512357</v>
      </c>
      <c r="AH96">
        <v>4.7894</v>
      </c>
      <c r="AI96" s="10">
        <f t="shared" si="20"/>
        <v>0.986952854219735</v>
      </c>
      <c r="AJ96">
        <f t="shared" si="21"/>
        <v>1.54130341735937</v>
      </c>
    </row>
    <row r="97" spans="1:36">
      <c r="A97" s="1" t="s">
        <v>117</v>
      </c>
      <c r="B97" s="1">
        <v>4782408</v>
      </c>
      <c r="C97" s="2">
        <v>0.000944485</v>
      </c>
      <c r="E97">
        <v>2.811162</v>
      </c>
      <c r="F97">
        <v>1701.221181</v>
      </c>
      <c r="G97" s="3">
        <f t="shared" si="11"/>
        <v>1.701221181</v>
      </c>
      <c r="I97" t="s">
        <v>117</v>
      </c>
      <c r="J97">
        <v>2.29379</v>
      </c>
      <c r="K97" s="5">
        <f t="shared" si="12"/>
        <v>2.08493715640926</v>
      </c>
      <c r="L97">
        <f t="shared" si="13"/>
        <v>1.22555325532904</v>
      </c>
      <c r="O97">
        <v>0.0046032</v>
      </c>
      <c r="P97" s="6">
        <f t="shared" si="14"/>
        <v>1.03893117831074</v>
      </c>
      <c r="Q97" s="4">
        <f t="shared" si="15"/>
        <v>2.00680969051221</v>
      </c>
      <c r="T97">
        <v>8.578</v>
      </c>
      <c r="U97" s="7">
        <f t="shared" si="16"/>
        <v>0.557520167871299</v>
      </c>
      <c r="V97">
        <f t="shared" si="17"/>
        <v>3.73966230561647</v>
      </c>
      <c r="Y97">
        <v>0.008867574</v>
      </c>
      <c r="Z97" s="8">
        <v>0.323588480908082</v>
      </c>
      <c r="AA97">
        <f t="shared" si="18"/>
        <v>6.44317483291844</v>
      </c>
      <c r="AD97" s="9">
        <v>0.897951</v>
      </c>
      <c r="AE97">
        <f t="shared" si="19"/>
        <v>2.32188299407124</v>
      </c>
      <c r="AH97">
        <v>3.9182</v>
      </c>
      <c r="AI97" s="10">
        <f t="shared" si="20"/>
        <v>1.22056250319024</v>
      </c>
      <c r="AJ97">
        <f t="shared" si="21"/>
        <v>1.70817729609075</v>
      </c>
    </row>
    <row r="98" spans="1:36">
      <c r="A98" s="1" t="s">
        <v>118</v>
      </c>
      <c r="B98" s="1">
        <v>4831050</v>
      </c>
      <c r="C98" s="2">
        <v>0.248252</v>
      </c>
      <c r="E98">
        <v>1.134989</v>
      </c>
      <c r="F98">
        <v>4256.473788</v>
      </c>
      <c r="G98" s="3">
        <f t="shared" si="11"/>
        <v>4.256473788</v>
      </c>
      <c r="I98" t="s">
        <v>118</v>
      </c>
      <c r="J98">
        <v>0.649388</v>
      </c>
      <c r="K98" s="5">
        <f t="shared" si="12"/>
        <v>7.43938908633975</v>
      </c>
      <c r="L98">
        <f t="shared" si="13"/>
        <v>1.74778219175533</v>
      </c>
      <c r="O98">
        <v>0.0009584</v>
      </c>
      <c r="P98" s="6">
        <f t="shared" si="14"/>
        <v>5.04074499165275</v>
      </c>
      <c r="Q98" s="4">
        <f t="shared" si="15"/>
        <v>1.47585110904421</v>
      </c>
      <c r="T98">
        <v>3.619</v>
      </c>
      <c r="U98" s="7">
        <f t="shared" si="16"/>
        <v>1.33491295938104</v>
      </c>
      <c r="V98">
        <f t="shared" si="17"/>
        <v>5.57293944452315</v>
      </c>
      <c r="Y98">
        <v>0.003057588</v>
      </c>
      <c r="Z98" s="8">
        <v>0.948011962370339</v>
      </c>
      <c r="AA98">
        <f t="shared" si="18"/>
        <v>7.8473578199782</v>
      </c>
      <c r="AD98" s="9">
        <v>2.59521</v>
      </c>
      <c r="AE98">
        <f t="shared" si="19"/>
        <v>2.86658462565255</v>
      </c>
      <c r="AH98">
        <v>0.9973</v>
      </c>
      <c r="AI98" s="10">
        <f t="shared" si="20"/>
        <v>4.84412914870149</v>
      </c>
      <c r="AJ98">
        <f t="shared" si="21"/>
        <v>1.53575366344928</v>
      </c>
    </row>
    <row r="99" spans="1:36">
      <c r="A99" s="1" t="s">
        <v>119</v>
      </c>
      <c r="B99" s="1">
        <v>4844058</v>
      </c>
      <c r="C99" s="2">
        <v>0</v>
      </c>
      <c r="E99">
        <v>3.374875</v>
      </c>
      <c r="F99">
        <v>1435.329561</v>
      </c>
      <c r="G99" s="3">
        <f t="shared" si="11"/>
        <v>1.435329561</v>
      </c>
      <c r="I99" t="s">
        <v>119</v>
      </c>
      <c r="J99">
        <v>2.87893</v>
      </c>
      <c r="K99" s="5">
        <f t="shared" si="12"/>
        <v>1.68258971215</v>
      </c>
      <c r="L99">
        <f t="shared" si="13"/>
        <v>1.17226716279551</v>
      </c>
      <c r="O99">
        <v>0.002072</v>
      </c>
      <c r="P99" s="6">
        <f t="shared" si="14"/>
        <v>2.33786583011583</v>
      </c>
      <c r="Q99" s="4">
        <f t="shared" si="15"/>
        <v>0.719711837384028</v>
      </c>
      <c r="T99">
        <v>4.475</v>
      </c>
      <c r="U99" s="7">
        <f t="shared" si="16"/>
        <v>1.08247106145251</v>
      </c>
      <c r="V99">
        <f t="shared" si="17"/>
        <v>1.55439694608761</v>
      </c>
      <c r="Y99">
        <v>0.004109022</v>
      </c>
      <c r="Z99" s="8">
        <v>0.707330065402424</v>
      </c>
      <c r="AA99">
        <f t="shared" si="18"/>
        <v>2.37879003657609</v>
      </c>
      <c r="AD99" s="9">
        <v>1.336065</v>
      </c>
      <c r="AE99">
        <f t="shared" si="19"/>
        <v>1.25936216587516</v>
      </c>
      <c r="AH99">
        <v>4.0915</v>
      </c>
      <c r="AI99" s="10">
        <f t="shared" si="20"/>
        <v>1.18393205425883</v>
      </c>
      <c r="AJ99">
        <f t="shared" si="21"/>
        <v>1.42118773294245</v>
      </c>
    </row>
    <row r="100" spans="1:36">
      <c r="A100" s="1" t="s">
        <v>120</v>
      </c>
      <c r="B100" s="1">
        <v>4855132</v>
      </c>
      <c r="C100" s="2">
        <v>0.00197726</v>
      </c>
      <c r="E100">
        <v>4.541167</v>
      </c>
      <c r="F100">
        <v>1069.137561</v>
      </c>
      <c r="G100" s="3">
        <f t="shared" si="11"/>
        <v>1.069137561</v>
      </c>
      <c r="I100" t="s">
        <v>120</v>
      </c>
      <c r="J100">
        <v>3.07119</v>
      </c>
      <c r="K100" s="5">
        <f t="shared" si="12"/>
        <v>1.58086344381168</v>
      </c>
      <c r="L100">
        <f t="shared" si="13"/>
        <v>1.47863427633489</v>
      </c>
      <c r="O100">
        <v>0.0055856</v>
      </c>
      <c r="P100" s="6">
        <f t="shared" si="14"/>
        <v>0.869223002005156</v>
      </c>
      <c r="Q100" s="4">
        <f t="shared" si="15"/>
        <v>1.81870870900205</v>
      </c>
      <c r="T100">
        <v>9.033</v>
      </c>
      <c r="U100" s="7">
        <f t="shared" si="16"/>
        <v>0.537488320602236</v>
      </c>
      <c r="V100">
        <f t="shared" si="17"/>
        <v>2.94120520059</v>
      </c>
      <c r="Y100">
        <v>0.006399306</v>
      </c>
      <c r="Z100" s="8">
        <v>0.455217987700541</v>
      </c>
      <c r="AA100">
        <f t="shared" si="18"/>
        <v>3.47276137262755</v>
      </c>
      <c r="AD100" s="9">
        <v>0.763383</v>
      </c>
      <c r="AE100">
        <f t="shared" si="19"/>
        <v>2.07086540283407</v>
      </c>
      <c r="AH100">
        <v>9.1775</v>
      </c>
      <c r="AI100" s="10">
        <f t="shared" si="20"/>
        <v>0.529025551620812</v>
      </c>
      <c r="AJ100">
        <f t="shared" si="21"/>
        <v>2.98825536681221</v>
      </c>
    </row>
    <row r="101" spans="1:36">
      <c r="A101" s="1" t="s">
        <v>121</v>
      </c>
      <c r="B101" s="1">
        <v>4922970</v>
      </c>
      <c r="C101" s="2">
        <v>0.143479</v>
      </c>
      <c r="E101">
        <v>2.220288</v>
      </c>
      <c r="F101">
        <v>2217.266001</v>
      </c>
      <c r="G101" s="3">
        <f t="shared" si="11"/>
        <v>2.217266001</v>
      </c>
      <c r="I101" t="s">
        <v>121</v>
      </c>
      <c r="J101">
        <v>1.89109</v>
      </c>
      <c r="K101" s="5">
        <f t="shared" si="12"/>
        <v>2.60324468957057</v>
      </c>
      <c r="L101">
        <f t="shared" si="13"/>
        <v>1.17407865740804</v>
      </c>
      <c r="O101">
        <v>0.0017264</v>
      </c>
      <c r="P101" s="6">
        <f t="shared" si="14"/>
        <v>2.8515813253012</v>
      </c>
      <c r="Q101" s="4">
        <f t="shared" si="15"/>
        <v>0.912912658836967</v>
      </c>
      <c r="T101">
        <v>53.382</v>
      </c>
      <c r="U101" s="7">
        <f t="shared" si="16"/>
        <v>0.092221535348994</v>
      </c>
      <c r="V101">
        <f t="shared" si="17"/>
        <v>28.2281647092418</v>
      </c>
      <c r="Y101">
        <v>0.008489754</v>
      </c>
      <c r="Z101" s="8">
        <v>0.34792315537058</v>
      </c>
      <c r="AA101">
        <f t="shared" si="18"/>
        <v>7.48224040103855</v>
      </c>
      <c r="AD101" s="9">
        <v>1.279161</v>
      </c>
      <c r="AE101">
        <f t="shared" si="19"/>
        <v>2.03511887054918</v>
      </c>
      <c r="AH101">
        <v>3.1836</v>
      </c>
      <c r="AI101" s="10">
        <f t="shared" si="20"/>
        <v>1.5463531850735</v>
      </c>
      <c r="AJ101">
        <f t="shared" si="21"/>
        <v>1.68347355228995</v>
      </c>
    </row>
    <row r="102" spans="1:36">
      <c r="A102" s="1" t="s">
        <v>122</v>
      </c>
      <c r="B102" s="1">
        <v>4922970</v>
      </c>
      <c r="C102" s="2">
        <v>0.143479</v>
      </c>
      <c r="E102">
        <v>2.980716</v>
      </c>
      <c r="F102">
        <v>1651.606635</v>
      </c>
      <c r="G102" s="3">
        <f t="shared" si="11"/>
        <v>1.651606635</v>
      </c>
      <c r="I102" t="s">
        <v>122</v>
      </c>
      <c r="J102">
        <v>1.92017</v>
      </c>
      <c r="K102" s="5">
        <f t="shared" si="12"/>
        <v>2.56381987011567</v>
      </c>
      <c r="L102">
        <f t="shared" si="13"/>
        <v>1.55231870336708</v>
      </c>
      <c r="O102">
        <v>0.00172</v>
      </c>
      <c r="P102" s="6">
        <f t="shared" si="14"/>
        <v>2.86219186046512</v>
      </c>
      <c r="Q102" s="4">
        <f t="shared" si="15"/>
        <v>0.895754021779322</v>
      </c>
      <c r="T102">
        <v>56.381</v>
      </c>
      <c r="U102" s="7">
        <f t="shared" si="16"/>
        <v>0.0873161171316578</v>
      </c>
      <c r="V102">
        <f t="shared" si="17"/>
        <v>29.362504361593</v>
      </c>
      <c r="Y102">
        <v>0.008574696</v>
      </c>
      <c r="Z102" s="8">
        <v>0.344476585525598</v>
      </c>
      <c r="AA102">
        <f t="shared" si="18"/>
        <v>7.44265351505335</v>
      </c>
      <c r="AD102" s="9">
        <v>1.257588</v>
      </c>
      <c r="AE102">
        <f t="shared" si="19"/>
        <v>2.03868029125251</v>
      </c>
      <c r="AH102">
        <v>3.1397</v>
      </c>
      <c r="AI102" s="10">
        <f t="shared" si="20"/>
        <v>1.56797464725929</v>
      </c>
      <c r="AJ102">
        <f t="shared" si="21"/>
        <v>1.63511564080264</v>
      </c>
    </row>
    <row r="103" spans="1:36">
      <c r="A103" s="1" t="s">
        <v>123</v>
      </c>
      <c r="B103" s="1">
        <v>4957020</v>
      </c>
      <c r="C103" s="2">
        <v>0.0004995</v>
      </c>
      <c r="E103">
        <v>3.455918</v>
      </c>
      <c r="F103">
        <v>1434.356861</v>
      </c>
      <c r="G103" s="3">
        <f t="shared" si="11"/>
        <v>1.434356861</v>
      </c>
      <c r="I103" t="s">
        <v>123</v>
      </c>
      <c r="J103">
        <v>2.34919</v>
      </c>
      <c r="K103" s="5">
        <f t="shared" si="12"/>
        <v>2.110097522976</v>
      </c>
      <c r="L103">
        <f t="shared" si="13"/>
        <v>1.4711105585711</v>
      </c>
      <c r="O103">
        <v>0.0046608</v>
      </c>
      <c r="P103" s="6">
        <f t="shared" si="14"/>
        <v>1.06355561277034</v>
      </c>
      <c r="Q103" s="4">
        <f t="shared" si="15"/>
        <v>1.98400299677761</v>
      </c>
      <c r="T103">
        <v>8.812</v>
      </c>
      <c r="U103" s="7">
        <f t="shared" si="16"/>
        <v>0.562530640036314</v>
      </c>
      <c r="V103">
        <f t="shared" si="17"/>
        <v>3.75108015954435</v>
      </c>
      <c r="Y103">
        <v>0.00627408</v>
      </c>
      <c r="Z103" s="8">
        <v>0.474047509754418</v>
      </c>
      <c r="AA103">
        <f t="shared" si="18"/>
        <v>4.45123638360456</v>
      </c>
      <c r="AD103" s="9">
        <v>0.868473</v>
      </c>
      <c r="AE103">
        <f t="shared" si="19"/>
        <v>2.42966393080269</v>
      </c>
      <c r="AH103">
        <v>4.2566</v>
      </c>
      <c r="AI103" s="10">
        <f t="shared" si="20"/>
        <v>1.16454917069962</v>
      </c>
      <c r="AJ103">
        <f t="shared" si="21"/>
        <v>1.81194369122974</v>
      </c>
    </row>
    <row r="104" spans="1:36">
      <c r="A104" s="1" t="s">
        <v>124</v>
      </c>
      <c r="B104" s="1">
        <v>4960296</v>
      </c>
      <c r="C104" s="2">
        <v>0</v>
      </c>
      <c r="E104">
        <v>2.219891</v>
      </c>
      <c r="F104">
        <v>2234.47757</v>
      </c>
      <c r="G104" s="3">
        <f t="shared" si="11"/>
        <v>2.23447757</v>
      </c>
      <c r="I104" t="s">
        <v>124</v>
      </c>
      <c r="J104">
        <v>1.76</v>
      </c>
      <c r="K104" s="5">
        <f t="shared" si="12"/>
        <v>2.81835</v>
      </c>
      <c r="L104">
        <f t="shared" si="13"/>
        <v>1.26130153993893</v>
      </c>
      <c r="O104">
        <v>0.0021536</v>
      </c>
      <c r="P104" s="6">
        <f t="shared" si="14"/>
        <v>2.30325780089153</v>
      </c>
      <c r="Q104" s="4">
        <f t="shared" si="15"/>
        <v>1.22363636363636</v>
      </c>
      <c r="T104">
        <v>4.505</v>
      </c>
      <c r="U104" s="7">
        <f t="shared" si="16"/>
        <v>1.10106459489456</v>
      </c>
      <c r="V104">
        <f t="shared" si="17"/>
        <v>2.55965909090909</v>
      </c>
      <c r="Y104">
        <v>0.006343686</v>
      </c>
      <c r="Z104" s="8">
        <v>0.469155881927321</v>
      </c>
      <c r="AA104">
        <f t="shared" si="18"/>
        <v>6.00727840909091</v>
      </c>
      <c r="AD104" s="9">
        <v>1.375668</v>
      </c>
      <c r="AE104">
        <f t="shared" si="19"/>
        <v>2.0487137885013</v>
      </c>
      <c r="AH104">
        <v>2.7722</v>
      </c>
      <c r="AI104" s="10">
        <f t="shared" si="20"/>
        <v>1.78929947334247</v>
      </c>
      <c r="AJ104">
        <f t="shared" si="21"/>
        <v>1.57511363636364</v>
      </c>
    </row>
    <row r="105" spans="1:36">
      <c r="A105" s="1" t="s">
        <v>125</v>
      </c>
      <c r="B105" s="1">
        <v>5057868</v>
      </c>
      <c r="C105" s="2">
        <v>0.382739</v>
      </c>
      <c r="E105">
        <v>1.073035</v>
      </c>
      <c r="F105">
        <v>4713.60997</v>
      </c>
      <c r="G105" s="3">
        <f t="shared" si="11"/>
        <v>4.71360997</v>
      </c>
      <c r="I105" t="s">
        <v>125</v>
      </c>
      <c r="J105">
        <v>0.781417</v>
      </c>
      <c r="K105" s="5">
        <f t="shared" si="12"/>
        <v>6.47268743833318</v>
      </c>
      <c r="L105">
        <f t="shared" si="13"/>
        <v>1.37319113790257</v>
      </c>
      <c r="O105">
        <v>0.0008608</v>
      </c>
      <c r="P105" s="6">
        <f t="shared" si="14"/>
        <v>5.87577602230483</v>
      </c>
      <c r="Q105" s="4">
        <f t="shared" si="15"/>
        <v>1.10158852443702</v>
      </c>
      <c r="T105">
        <v>4.042</v>
      </c>
      <c r="U105" s="7">
        <f t="shared" si="16"/>
        <v>1.25132805541811</v>
      </c>
      <c r="V105">
        <f t="shared" si="17"/>
        <v>5.17265429341824</v>
      </c>
      <c r="Y105">
        <v>0.004460832</v>
      </c>
      <c r="Z105" s="8">
        <v>0.680303763961521</v>
      </c>
      <c r="AA105">
        <f t="shared" si="18"/>
        <v>9.51440780018863</v>
      </c>
      <c r="AD105" s="9">
        <v>2.656848</v>
      </c>
      <c r="AE105">
        <f t="shared" si="19"/>
        <v>2.43622798080025</v>
      </c>
      <c r="AH105">
        <v>0.9864</v>
      </c>
      <c r="AI105" s="10">
        <f t="shared" si="20"/>
        <v>5.12760340632603</v>
      </c>
      <c r="AJ105">
        <f t="shared" si="21"/>
        <v>1.26232216601379</v>
      </c>
    </row>
    <row r="106" spans="1:36">
      <c r="A106" s="1" t="s">
        <v>126</v>
      </c>
      <c r="B106" s="1">
        <v>5057868</v>
      </c>
      <c r="C106" s="2">
        <v>0.382739</v>
      </c>
      <c r="E106">
        <v>1.18197</v>
      </c>
      <c r="F106">
        <v>4279.184156</v>
      </c>
      <c r="G106" s="3">
        <f t="shared" si="11"/>
        <v>4.279184156</v>
      </c>
      <c r="I106" t="s">
        <v>126</v>
      </c>
      <c r="J106">
        <v>0.591979</v>
      </c>
      <c r="K106" s="5">
        <f t="shared" si="12"/>
        <v>8.54399902699251</v>
      </c>
      <c r="L106">
        <f t="shared" si="13"/>
        <v>1.99664205033398</v>
      </c>
      <c r="O106">
        <v>0.0008496</v>
      </c>
      <c r="P106" s="6">
        <f t="shared" si="14"/>
        <v>5.95323446327684</v>
      </c>
      <c r="Q106" s="4">
        <f t="shared" si="15"/>
        <v>1.43518604545094</v>
      </c>
      <c r="T106">
        <v>4.068</v>
      </c>
      <c r="U106" s="7">
        <f t="shared" si="16"/>
        <v>1.24333038348083</v>
      </c>
      <c r="V106">
        <f t="shared" si="17"/>
        <v>6.87186538711677</v>
      </c>
      <c r="Y106">
        <v>0.004669956</v>
      </c>
      <c r="Z106" s="8">
        <v>0.64983927043424</v>
      </c>
      <c r="AA106">
        <f t="shared" si="18"/>
        <v>13.1478650425099</v>
      </c>
      <c r="AD106" s="9">
        <v>2.67477</v>
      </c>
      <c r="AE106">
        <f t="shared" si="19"/>
        <v>3.19429297733731</v>
      </c>
      <c r="AH106">
        <v>0.9425</v>
      </c>
      <c r="AI106" s="10">
        <f t="shared" si="20"/>
        <v>5.36643819628647</v>
      </c>
      <c r="AJ106">
        <f t="shared" si="21"/>
        <v>1.59211728794434</v>
      </c>
    </row>
    <row r="107" spans="1:36">
      <c r="A107" s="1" t="s">
        <v>127</v>
      </c>
      <c r="B107" s="1">
        <v>5075784</v>
      </c>
      <c r="C107" s="2">
        <v>0.0132516</v>
      </c>
      <c r="E107">
        <v>2.708524</v>
      </c>
      <c r="F107">
        <v>1874.003669</v>
      </c>
      <c r="G107" s="3">
        <f t="shared" si="11"/>
        <v>1.874003669</v>
      </c>
      <c r="I107" t="s">
        <v>127</v>
      </c>
      <c r="J107">
        <v>3.12858</v>
      </c>
      <c r="K107" s="5">
        <f t="shared" si="12"/>
        <v>1.62239226741845</v>
      </c>
      <c r="L107">
        <f t="shared" si="13"/>
        <v>0.865735907701921</v>
      </c>
      <c r="O107">
        <v>0.0029456</v>
      </c>
      <c r="P107" s="6">
        <f t="shared" si="14"/>
        <v>1.72317490494297</v>
      </c>
      <c r="Q107" s="4">
        <f t="shared" si="15"/>
        <v>0.941513402246387</v>
      </c>
      <c r="T107">
        <v>13.291</v>
      </c>
      <c r="U107" s="7">
        <f t="shared" si="16"/>
        <v>0.381896320818599</v>
      </c>
      <c r="V107">
        <f t="shared" si="17"/>
        <v>4.24825320113278</v>
      </c>
      <c r="Y107">
        <v>0.00584523</v>
      </c>
      <c r="Z107" s="8">
        <v>0.52101806088041</v>
      </c>
      <c r="AA107">
        <f t="shared" si="18"/>
        <v>3.11388872907198</v>
      </c>
      <c r="AD107" s="9">
        <v>0.942585</v>
      </c>
      <c r="AE107">
        <f t="shared" si="19"/>
        <v>1.72121587699618</v>
      </c>
      <c r="AH107">
        <v>4.2396</v>
      </c>
      <c r="AI107" s="10">
        <f t="shared" si="20"/>
        <v>1.19723181432211</v>
      </c>
      <c r="AJ107">
        <f t="shared" si="21"/>
        <v>1.35511957501486</v>
      </c>
    </row>
    <row r="108" spans="1:36">
      <c r="A108" s="1" t="s">
        <v>128</v>
      </c>
      <c r="B108" s="1">
        <v>5109908</v>
      </c>
      <c r="C108" s="2">
        <v>0.331809</v>
      </c>
      <c r="E108">
        <v>1.711791</v>
      </c>
      <c r="F108">
        <v>2985.124321</v>
      </c>
      <c r="G108" s="3">
        <f t="shared" si="11"/>
        <v>2.985124321</v>
      </c>
      <c r="I108" t="s">
        <v>128</v>
      </c>
      <c r="J108">
        <v>1.03946</v>
      </c>
      <c r="K108" s="5">
        <f t="shared" si="12"/>
        <v>4.91592557674177</v>
      </c>
      <c r="L108">
        <f t="shared" si="13"/>
        <v>1.64680765292045</v>
      </c>
      <c r="O108">
        <v>0.0016144</v>
      </c>
      <c r="P108" s="6">
        <f t="shared" si="14"/>
        <v>3.16520564915758</v>
      </c>
      <c r="Q108" s="4">
        <f t="shared" si="15"/>
        <v>1.55311411694534</v>
      </c>
      <c r="T108">
        <v>7.188</v>
      </c>
      <c r="U108" s="7">
        <f t="shared" si="16"/>
        <v>0.710894268224819</v>
      </c>
      <c r="V108">
        <f t="shared" si="17"/>
        <v>6.91512900929329</v>
      </c>
      <c r="Y108">
        <v>0.00668169</v>
      </c>
      <c r="Z108" s="8">
        <v>0.458857684208636</v>
      </c>
      <c r="AA108">
        <f t="shared" si="18"/>
        <v>10.713399265003</v>
      </c>
      <c r="AD108" s="9">
        <v>1.679757</v>
      </c>
      <c r="AE108">
        <f t="shared" si="19"/>
        <v>2.9265694840038</v>
      </c>
      <c r="AH108">
        <v>2.0196</v>
      </c>
      <c r="AI108" s="10">
        <f t="shared" si="20"/>
        <v>2.53015844721727</v>
      </c>
      <c r="AJ108">
        <f t="shared" si="21"/>
        <v>1.94293190695169</v>
      </c>
    </row>
    <row r="109" spans="1:36">
      <c r="A109" s="1" t="s">
        <v>129</v>
      </c>
      <c r="B109" s="1">
        <v>5136112</v>
      </c>
      <c r="C109" s="2">
        <v>0.056447</v>
      </c>
      <c r="E109">
        <v>1.504986</v>
      </c>
      <c r="F109">
        <v>3412.73009</v>
      </c>
      <c r="G109" s="3">
        <f t="shared" si="11"/>
        <v>3.41273009</v>
      </c>
      <c r="I109" t="s">
        <v>129</v>
      </c>
      <c r="J109">
        <v>1.1167</v>
      </c>
      <c r="K109" s="5">
        <f t="shared" si="12"/>
        <v>4.59936598907495</v>
      </c>
      <c r="L109">
        <f t="shared" si="13"/>
        <v>1.34770868711594</v>
      </c>
      <c r="O109">
        <v>0.001264</v>
      </c>
      <c r="P109" s="6">
        <f t="shared" si="14"/>
        <v>4.06337974683544</v>
      </c>
      <c r="Q109" s="4">
        <f t="shared" si="15"/>
        <v>1.13190651025343</v>
      </c>
      <c r="T109">
        <v>10.623</v>
      </c>
      <c r="U109" s="7">
        <f t="shared" si="16"/>
        <v>0.483489786312718</v>
      </c>
      <c r="V109">
        <f t="shared" si="17"/>
        <v>9.51285036267574</v>
      </c>
      <c r="Y109">
        <v>0.02902464</v>
      </c>
      <c r="Z109" s="8">
        <v>0.106174174770126</v>
      </c>
      <c r="AA109">
        <f t="shared" si="18"/>
        <v>43.3190651025344</v>
      </c>
      <c r="AD109" s="9">
        <v>1.826904</v>
      </c>
      <c r="AE109">
        <f t="shared" si="19"/>
        <v>2.51757398805572</v>
      </c>
      <c r="AH109">
        <v>1.8907</v>
      </c>
      <c r="AI109" s="10">
        <f t="shared" si="20"/>
        <v>2.71651346062305</v>
      </c>
      <c r="AJ109">
        <f t="shared" si="21"/>
        <v>1.69311363839885</v>
      </c>
    </row>
    <row r="110" spans="1:36">
      <c r="A110" s="1" t="s">
        <v>130</v>
      </c>
      <c r="B110" s="1">
        <v>5209580</v>
      </c>
      <c r="C110" s="2">
        <v>0.0955726</v>
      </c>
      <c r="E110">
        <v>7.684117</v>
      </c>
      <c r="F110">
        <v>677.967293</v>
      </c>
      <c r="G110" s="3">
        <f t="shared" si="11"/>
        <v>0.677967293</v>
      </c>
      <c r="I110" t="s">
        <v>130</v>
      </c>
      <c r="J110">
        <v>7.32533</v>
      </c>
      <c r="K110" s="5">
        <f t="shared" si="12"/>
        <v>0.711173421538688</v>
      </c>
      <c r="L110">
        <f t="shared" si="13"/>
        <v>1.04897895352997</v>
      </c>
      <c r="O110">
        <v>0.0101664</v>
      </c>
      <c r="P110" s="6">
        <f t="shared" si="14"/>
        <v>0.51243114573497</v>
      </c>
      <c r="Q110" s="4">
        <f t="shared" si="15"/>
        <v>1.38784191292406</v>
      </c>
      <c r="T110">
        <v>21.456</v>
      </c>
      <c r="U110" s="7">
        <f t="shared" si="16"/>
        <v>0.242802945563013</v>
      </c>
      <c r="V110">
        <f t="shared" si="17"/>
        <v>2.92901480206352</v>
      </c>
      <c r="Y110">
        <v>0.0153261</v>
      </c>
      <c r="Z110" s="8">
        <v>0.20394934131971</v>
      </c>
      <c r="AA110">
        <f t="shared" si="18"/>
        <v>3.48701014152263</v>
      </c>
      <c r="AD110" s="9">
        <v>0.465192</v>
      </c>
      <c r="AE110">
        <f t="shared" si="19"/>
        <v>1.52877397190555</v>
      </c>
      <c r="AH110">
        <v>13.8985</v>
      </c>
      <c r="AI110" s="10">
        <f t="shared" si="20"/>
        <v>0.374830377378854</v>
      </c>
      <c r="AJ110">
        <f t="shared" si="21"/>
        <v>1.89732066678225</v>
      </c>
    </row>
    <row r="111" spans="1:36">
      <c r="A111" s="1" t="s">
        <v>131</v>
      </c>
      <c r="B111" s="1">
        <v>5270104</v>
      </c>
      <c r="C111" s="2">
        <v>0.275383</v>
      </c>
      <c r="E111">
        <v>3.052555</v>
      </c>
      <c r="F111">
        <v>1726.456623</v>
      </c>
      <c r="G111" s="3">
        <f t="shared" si="11"/>
        <v>1.726456623</v>
      </c>
      <c r="I111" t="s">
        <v>131</v>
      </c>
      <c r="J111">
        <v>2.27322</v>
      </c>
      <c r="K111" s="5">
        <f t="shared" si="12"/>
        <v>2.31834314320655</v>
      </c>
      <c r="L111">
        <f t="shared" si="13"/>
        <v>1.34283312555983</v>
      </c>
      <c r="O111">
        <v>0.0027648</v>
      </c>
      <c r="P111" s="6">
        <f t="shared" si="14"/>
        <v>1.90614293981481</v>
      </c>
      <c r="Q111" s="4">
        <f t="shared" si="15"/>
        <v>1.2162483173648</v>
      </c>
      <c r="T111">
        <v>9.137</v>
      </c>
      <c r="U111" s="7">
        <f t="shared" si="16"/>
        <v>0.576787129254679</v>
      </c>
      <c r="V111">
        <f t="shared" si="17"/>
        <v>4.01940859221721</v>
      </c>
      <c r="Y111">
        <v>0.00540036</v>
      </c>
      <c r="Z111" s="8">
        <v>0.585528075906051</v>
      </c>
      <c r="AA111">
        <f t="shared" si="18"/>
        <v>3.95940560086573</v>
      </c>
      <c r="AD111" s="9">
        <v>1.126257</v>
      </c>
      <c r="AE111">
        <f t="shared" si="19"/>
        <v>2.05844948640191</v>
      </c>
      <c r="AH111">
        <v>2.8647</v>
      </c>
      <c r="AI111" s="10">
        <f t="shared" si="20"/>
        <v>1.83967047160261</v>
      </c>
      <c r="AJ111">
        <f t="shared" si="21"/>
        <v>1.26019478976958</v>
      </c>
    </row>
    <row r="112" spans="1:36">
      <c r="A112" s="1" t="s">
        <v>133</v>
      </c>
      <c r="B112" s="1">
        <v>5299092</v>
      </c>
      <c r="C112" s="2">
        <v>0</v>
      </c>
      <c r="E112">
        <v>4.539055</v>
      </c>
      <c r="F112">
        <v>1167.443991</v>
      </c>
      <c r="G112" s="3">
        <f t="shared" si="11"/>
        <v>1.167443991</v>
      </c>
      <c r="I112" t="s">
        <v>133</v>
      </c>
      <c r="J112">
        <v>2.27884</v>
      </c>
      <c r="K112" s="5">
        <f t="shared" si="12"/>
        <v>2.32534622878306</v>
      </c>
      <c r="L112">
        <f t="shared" si="13"/>
        <v>1.99182680000883</v>
      </c>
      <c r="O112">
        <v>0.0028096</v>
      </c>
      <c r="P112" s="6">
        <f t="shared" si="14"/>
        <v>1.88606634396355</v>
      </c>
      <c r="Q112" s="4">
        <f t="shared" si="15"/>
        <v>1.23290797072195</v>
      </c>
      <c r="T112">
        <v>7.364</v>
      </c>
      <c r="U112" s="7">
        <f t="shared" si="16"/>
        <v>0.719594242259642</v>
      </c>
      <c r="V112">
        <f t="shared" si="17"/>
        <v>3.23146864194064</v>
      </c>
      <c r="Y112">
        <v>0.005536476</v>
      </c>
      <c r="Z112" s="8">
        <v>0.574274177292559</v>
      </c>
      <c r="AA112">
        <f t="shared" si="18"/>
        <v>4.04919169401977</v>
      </c>
      <c r="AD112" s="9">
        <v>1.041225</v>
      </c>
      <c r="AE112">
        <f t="shared" si="19"/>
        <v>2.23327929005072</v>
      </c>
      <c r="AH112">
        <v>5.808</v>
      </c>
      <c r="AI112" s="10">
        <f t="shared" si="20"/>
        <v>0.912378099173554</v>
      </c>
      <c r="AJ112">
        <f t="shared" si="21"/>
        <v>2.54866511031929</v>
      </c>
    </row>
    <row r="113" spans="1:36">
      <c r="A113" s="1" t="s">
        <v>132</v>
      </c>
      <c r="B113" s="1">
        <v>5299092</v>
      </c>
      <c r="C113" s="2">
        <v>0</v>
      </c>
      <c r="E113">
        <v>3.371378</v>
      </c>
      <c r="F113">
        <v>1571.788072</v>
      </c>
      <c r="G113" s="3">
        <f t="shared" si="11"/>
        <v>1.571788072</v>
      </c>
      <c r="I113" t="s">
        <v>132</v>
      </c>
      <c r="J113">
        <v>2.3118</v>
      </c>
      <c r="K113" s="5">
        <f t="shared" si="12"/>
        <v>2.29219309628861</v>
      </c>
      <c r="L113">
        <f t="shared" si="13"/>
        <v>1.45833470626351</v>
      </c>
      <c r="O113">
        <v>0.0022816</v>
      </c>
      <c r="P113" s="6">
        <f t="shared" si="14"/>
        <v>2.32253330995792</v>
      </c>
      <c r="Q113" s="4">
        <f t="shared" si="15"/>
        <v>0.98693658620988</v>
      </c>
      <c r="T113">
        <v>7.342</v>
      </c>
      <c r="U113" s="7">
        <f t="shared" si="16"/>
        <v>0.721750476709343</v>
      </c>
      <c r="V113">
        <f t="shared" si="17"/>
        <v>3.17588026645904</v>
      </c>
      <c r="Y113">
        <v>0.005675976</v>
      </c>
      <c r="Z113" s="8">
        <v>0.560160085243489</v>
      </c>
      <c r="AA113">
        <f t="shared" si="18"/>
        <v>4.09203218271477</v>
      </c>
      <c r="AD113" s="9">
        <v>1.041966</v>
      </c>
      <c r="AE113">
        <f t="shared" si="19"/>
        <v>2.19987321686946</v>
      </c>
      <c r="AH113">
        <v>3.593</v>
      </c>
      <c r="AI113" s="10">
        <f t="shared" si="20"/>
        <v>1.4748377400501</v>
      </c>
      <c r="AJ113">
        <f t="shared" si="21"/>
        <v>1.55420019032788</v>
      </c>
    </row>
    <row r="114" spans="1:36">
      <c r="A114" s="1" t="s">
        <v>134</v>
      </c>
      <c r="B114" s="1">
        <v>5299604</v>
      </c>
      <c r="C114" s="2">
        <v>0.00698975</v>
      </c>
      <c r="E114">
        <v>3.197613</v>
      </c>
      <c r="F114">
        <v>1657.362558</v>
      </c>
      <c r="G114" s="3">
        <f t="shared" si="11"/>
        <v>1.657362558</v>
      </c>
      <c r="I114" t="s">
        <v>134</v>
      </c>
      <c r="J114">
        <v>2.76607</v>
      </c>
      <c r="K114" s="5">
        <f t="shared" si="12"/>
        <v>1.91593271319959</v>
      </c>
      <c r="L114">
        <f t="shared" si="13"/>
        <v>1.15601303043289</v>
      </c>
      <c r="O114">
        <v>0.0031472</v>
      </c>
      <c r="P114" s="6">
        <f t="shared" si="14"/>
        <v>1.68391077783427</v>
      </c>
      <c r="Q114" s="4">
        <f t="shared" si="15"/>
        <v>1.1377875469529</v>
      </c>
      <c r="T114">
        <v>11.553</v>
      </c>
      <c r="U114" s="7">
        <f t="shared" si="16"/>
        <v>0.458721024842032</v>
      </c>
      <c r="V114">
        <f t="shared" si="17"/>
        <v>4.17668388724797</v>
      </c>
      <c r="Y114">
        <v>0.006672366</v>
      </c>
      <c r="Z114" s="8">
        <v>0.476556951462195</v>
      </c>
      <c r="AA114">
        <f t="shared" si="18"/>
        <v>4.02036463285456</v>
      </c>
      <c r="AD114" s="9">
        <v>1.101078</v>
      </c>
      <c r="AE114">
        <f t="shared" si="19"/>
        <v>1.74005176127358</v>
      </c>
      <c r="AH114">
        <v>2.9588</v>
      </c>
      <c r="AI114" s="10">
        <f t="shared" si="20"/>
        <v>1.79113289171286</v>
      </c>
      <c r="AJ114">
        <f t="shared" si="21"/>
        <v>1.06967647239585</v>
      </c>
    </row>
    <row r="115" spans="1:36">
      <c r="A115" s="1" t="s">
        <v>135</v>
      </c>
      <c r="B115" s="1">
        <v>5468718</v>
      </c>
      <c r="C115" s="2">
        <v>0.000230521</v>
      </c>
      <c r="E115">
        <v>2.152448</v>
      </c>
      <c r="F115">
        <v>2540.697046</v>
      </c>
      <c r="G115" s="3">
        <f t="shared" si="11"/>
        <v>2.540697046</v>
      </c>
      <c r="I115" t="s">
        <v>135</v>
      </c>
      <c r="J115">
        <v>1.71453</v>
      </c>
      <c r="K115" s="5">
        <f t="shared" si="12"/>
        <v>3.18963097758569</v>
      </c>
      <c r="L115">
        <f t="shared" si="13"/>
        <v>1.25541570672795</v>
      </c>
      <c r="O115">
        <v>0.0024032</v>
      </c>
      <c r="P115" s="6">
        <f t="shared" si="14"/>
        <v>2.27559836884154</v>
      </c>
      <c r="Q115" s="4">
        <f t="shared" si="15"/>
        <v>1.40166692912927</v>
      </c>
      <c r="T115">
        <v>38.11</v>
      </c>
      <c r="U115" s="7">
        <f t="shared" si="16"/>
        <v>0.143498241931252</v>
      </c>
      <c r="V115">
        <f t="shared" si="17"/>
        <v>22.2276658909439</v>
      </c>
      <c r="Y115">
        <v>0.010634022</v>
      </c>
      <c r="Z115" s="8">
        <v>0.308559715223459</v>
      </c>
      <c r="AA115">
        <f t="shared" si="18"/>
        <v>10.3371594547777</v>
      </c>
      <c r="AD115" s="9">
        <v>1.039278</v>
      </c>
      <c r="AE115">
        <f t="shared" si="19"/>
        <v>3.06908351527281</v>
      </c>
      <c r="AH115">
        <v>5.5144</v>
      </c>
      <c r="AI115" s="10">
        <f t="shared" si="20"/>
        <v>0.991715871173654</v>
      </c>
      <c r="AJ115">
        <f t="shared" si="21"/>
        <v>3.21627501414382</v>
      </c>
    </row>
    <row r="116" spans="1:36">
      <c r="A116" s="1" t="s">
        <v>137</v>
      </c>
      <c r="B116" s="1">
        <v>5492324</v>
      </c>
      <c r="C116" s="2">
        <v>0.0600351</v>
      </c>
      <c r="E116">
        <v>3.517904</v>
      </c>
      <c r="F116">
        <v>1561.248757</v>
      </c>
      <c r="G116" s="3">
        <f t="shared" si="11"/>
        <v>1.561248757</v>
      </c>
      <c r="I116" t="s">
        <v>137</v>
      </c>
      <c r="J116">
        <v>3.34948</v>
      </c>
      <c r="K116" s="5">
        <f t="shared" si="12"/>
        <v>1.63975423050742</v>
      </c>
      <c r="L116">
        <f t="shared" si="13"/>
        <v>1.05028377006254</v>
      </c>
      <c r="O116">
        <v>0.0026608</v>
      </c>
      <c r="P116" s="6">
        <f t="shared" si="14"/>
        <v>2.06416265784726</v>
      </c>
      <c r="Q116" s="4">
        <f t="shared" si="15"/>
        <v>0.79439196531999</v>
      </c>
      <c r="T116">
        <v>16.416</v>
      </c>
      <c r="U116" s="7">
        <f t="shared" si="16"/>
        <v>0.334571393762183</v>
      </c>
      <c r="V116">
        <f t="shared" si="17"/>
        <v>4.90105926890144</v>
      </c>
      <c r="Y116">
        <v>0.009524322</v>
      </c>
      <c r="Z116" s="8">
        <v>0.345997793858712</v>
      </c>
      <c r="AA116">
        <f t="shared" si="18"/>
        <v>4.73920429439794</v>
      </c>
      <c r="AD116" s="9">
        <v>1.096146</v>
      </c>
      <c r="AE116">
        <f t="shared" si="19"/>
        <v>1.49592684779894</v>
      </c>
      <c r="AH116">
        <v>4.5048</v>
      </c>
      <c r="AI116" s="10">
        <f t="shared" si="20"/>
        <v>1.21921594743385</v>
      </c>
      <c r="AJ116">
        <f t="shared" si="21"/>
        <v>1.34492518241638</v>
      </c>
    </row>
    <row r="117" spans="1:36">
      <c r="A117" s="1" t="s">
        <v>136</v>
      </c>
      <c r="B117" s="1">
        <v>5492324</v>
      </c>
      <c r="C117" s="2">
        <v>0.0604692</v>
      </c>
      <c r="E117">
        <v>3.472537</v>
      </c>
      <c r="F117">
        <v>1581.645995</v>
      </c>
      <c r="G117" s="3">
        <f t="shared" si="11"/>
        <v>1.581645995</v>
      </c>
      <c r="I117" t="s">
        <v>136</v>
      </c>
      <c r="J117">
        <v>3.31665</v>
      </c>
      <c r="K117" s="5">
        <f t="shared" si="12"/>
        <v>1.65598540696184</v>
      </c>
      <c r="L117">
        <f t="shared" si="13"/>
        <v>1.04700129624255</v>
      </c>
      <c r="O117">
        <v>0.0026848</v>
      </c>
      <c r="P117" s="6">
        <f t="shared" si="14"/>
        <v>2.04571066746126</v>
      </c>
      <c r="Q117" s="4">
        <f t="shared" si="15"/>
        <v>0.809491504982437</v>
      </c>
      <c r="T117">
        <v>20.275</v>
      </c>
      <c r="U117" s="7">
        <f t="shared" si="16"/>
        <v>0.270891442663379</v>
      </c>
      <c r="V117">
        <f t="shared" si="17"/>
        <v>6.11309604570877</v>
      </c>
      <c r="Y117">
        <v>0.009533772</v>
      </c>
      <c r="Z117" s="8">
        <v>0.345654836301938</v>
      </c>
      <c r="AA117">
        <f t="shared" si="18"/>
        <v>4.79086427569988</v>
      </c>
      <c r="AD117" s="9">
        <v>1.096494</v>
      </c>
      <c r="AE117">
        <f t="shared" si="19"/>
        <v>1.51025487322488</v>
      </c>
      <c r="AH117">
        <v>4.553</v>
      </c>
      <c r="AI117" s="10">
        <f t="shared" si="20"/>
        <v>1.20630880737975</v>
      </c>
      <c r="AJ117">
        <f t="shared" si="21"/>
        <v>1.37277071744079</v>
      </c>
    </row>
    <row r="118" spans="1:36">
      <c r="A118" s="1" t="s">
        <v>138</v>
      </c>
      <c r="B118" s="1">
        <v>5556240</v>
      </c>
      <c r="C118" s="2">
        <v>0.483287</v>
      </c>
      <c r="E118">
        <v>1.011484</v>
      </c>
      <c r="F118">
        <v>5493.159119</v>
      </c>
      <c r="G118" s="3">
        <f t="shared" si="11"/>
        <v>5.493159119</v>
      </c>
      <c r="I118" t="s">
        <v>138</v>
      </c>
      <c r="J118">
        <v>0.365599</v>
      </c>
      <c r="K118" s="5">
        <f t="shared" si="12"/>
        <v>15.1976345668342</v>
      </c>
      <c r="L118">
        <f t="shared" si="13"/>
        <v>2.7666474313966</v>
      </c>
      <c r="O118">
        <v>0.0008464</v>
      </c>
      <c r="P118" s="6">
        <f t="shared" si="14"/>
        <v>6.56455576559546</v>
      </c>
      <c r="Q118" s="4">
        <f t="shared" si="15"/>
        <v>2.31510480061488</v>
      </c>
      <c r="T118">
        <v>7.894</v>
      </c>
      <c r="U118" s="7">
        <f t="shared" si="16"/>
        <v>0.703856093235369</v>
      </c>
      <c r="V118">
        <f t="shared" si="17"/>
        <v>21.5919627788916</v>
      </c>
      <c r="Y118">
        <v>0.005584662</v>
      </c>
      <c r="Z118" s="8">
        <v>0.596946422182757</v>
      </c>
      <c r="AA118">
        <f t="shared" si="18"/>
        <v>25.4589591328204</v>
      </c>
      <c r="AD118" s="9">
        <v>2.67156</v>
      </c>
      <c r="AE118">
        <f t="shared" si="19"/>
        <v>5.68867424532264</v>
      </c>
      <c r="AH118">
        <v>0.8668</v>
      </c>
      <c r="AI118" s="10">
        <f t="shared" si="20"/>
        <v>6.41005999077065</v>
      </c>
      <c r="AJ118">
        <f t="shared" si="21"/>
        <v>2.37090364032724</v>
      </c>
    </row>
    <row r="119" spans="1:36">
      <c r="A119" s="1" t="s">
        <v>141</v>
      </c>
      <c r="B119" s="1">
        <v>5762866</v>
      </c>
      <c r="C119" s="2">
        <v>0.607636</v>
      </c>
      <c r="E119">
        <v>1.558255</v>
      </c>
      <c r="F119">
        <v>3698.281325</v>
      </c>
      <c r="G119" s="3">
        <f t="shared" si="11"/>
        <v>3.698281325</v>
      </c>
      <c r="I119" t="s">
        <v>141</v>
      </c>
      <c r="J119">
        <v>0.880922</v>
      </c>
      <c r="K119" s="5">
        <f t="shared" si="12"/>
        <v>6.54185728134841</v>
      </c>
      <c r="L119">
        <f t="shared" si="13"/>
        <v>1.76889119741273</v>
      </c>
      <c r="O119">
        <v>0.0010928</v>
      </c>
      <c r="P119" s="6">
        <f t="shared" si="14"/>
        <v>5.2734864568082</v>
      </c>
      <c r="Q119" s="4">
        <f t="shared" si="15"/>
        <v>1.24051845679867</v>
      </c>
      <c r="T119">
        <v>5.574</v>
      </c>
      <c r="U119" s="7">
        <f t="shared" si="16"/>
        <v>1.03388338715465</v>
      </c>
      <c r="V119">
        <f t="shared" si="17"/>
        <v>6.32746145515721</v>
      </c>
      <c r="Y119">
        <v>0.00383706</v>
      </c>
      <c r="Z119" s="8">
        <v>0.901137746086848</v>
      </c>
      <c r="AA119">
        <f t="shared" si="18"/>
        <v>7.25955305918117</v>
      </c>
      <c r="AD119" s="9">
        <v>2.370885</v>
      </c>
      <c r="AE119">
        <f t="shared" si="19"/>
        <v>2.75924698218109</v>
      </c>
      <c r="AH119">
        <v>1.3214</v>
      </c>
      <c r="AI119" s="10">
        <f t="shared" si="20"/>
        <v>4.36118207961253</v>
      </c>
      <c r="AJ119">
        <f t="shared" si="21"/>
        <v>1.50001929796282</v>
      </c>
    </row>
    <row r="120" spans="1:36">
      <c r="A120" s="1" t="s">
        <v>139</v>
      </c>
      <c r="B120" s="1">
        <v>5762866</v>
      </c>
      <c r="C120" s="2">
        <v>0.606324</v>
      </c>
      <c r="E120">
        <v>2.204795</v>
      </c>
      <c r="F120">
        <v>2613.787213</v>
      </c>
      <c r="G120" s="3">
        <f t="shared" si="11"/>
        <v>2.613787213</v>
      </c>
      <c r="I120" t="s">
        <v>139</v>
      </c>
      <c r="J120">
        <v>0.82013</v>
      </c>
      <c r="K120" s="5">
        <f t="shared" si="12"/>
        <v>7.02677136551522</v>
      </c>
      <c r="L120">
        <f t="shared" si="13"/>
        <v>2.68834866532619</v>
      </c>
      <c r="O120">
        <v>0.0010784</v>
      </c>
      <c r="P120" s="6">
        <f t="shared" si="14"/>
        <v>5.34390393175074</v>
      </c>
      <c r="Q120" s="4">
        <f t="shared" si="15"/>
        <v>1.31491348932486</v>
      </c>
      <c r="T120">
        <v>5.397</v>
      </c>
      <c r="U120" s="7">
        <f t="shared" si="16"/>
        <v>1.06779062442097</v>
      </c>
      <c r="V120">
        <f t="shared" si="17"/>
        <v>6.58066404106666</v>
      </c>
      <c r="Y120">
        <v>0.003880908</v>
      </c>
      <c r="Z120" s="8">
        <v>0.890956343206281</v>
      </c>
      <c r="AA120">
        <f t="shared" si="18"/>
        <v>7.88677404801677</v>
      </c>
      <c r="AD120" s="9">
        <v>2.354346</v>
      </c>
      <c r="AE120">
        <f t="shared" si="19"/>
        <v>2.98459587737538</v>
      </c>
      <c r="AH120">
        <v>1.3128</v>
      </c>
      <c r="AI120" s="10">
        <f t="shared" si="20"/>
        <v>4.38975167580744</v>
      </c>
      <c r="AJ120">
        <f t="shared" si="21"/>
        <v>1.60072183678197</v>
      </c>
    </row>
    <row r="121" spans="1:36">
      <c r="A121" s="1" t="s">
        <v>140</v>
      </c>
      <c r="B121" s="1">
        <v>5762866</v>
      </c>
      <c r="C121" s="2">
        <v>0.569527</v>
      </c>
      <c r="E121">
        <v>1.292295</v>
      </c>
      <c r="F121">
        <v>4459.403961</v>
      </c>
      <c r="G121" s="3">
        <f t="shared" si="11"/>
        <v>4.459403961</v>
      </c>
      <c r="I121" t="s">
        <v>140</v>
      </c>
      <c r="J121">
        <v>0.868512</v>
      </c>
      <c r="K121" s="5">
        <f t="shared" si="12"/>
        <v>6.63533261486312</v>
      </c>
      <c r="L121">
        <f t="shared" si="13"/>
        <v>1.48794158880712</v>
      </c>
      <c r="O121">
        <v>0.0010752</v>
      </c>
      <c r="P121" s="6">
        <f t="shared" si="14"/>
        <v>5.35980840773809</v>
      </c>
      <c r="Q121" s="4">
        <f t="shared" si="15"/>
        <v>1.23797944069857</v>
      </c>
      <c r="T121">
        <v>5.311</v>
      </c>
      <c r="U121" s="7">
        <f t="shared" si="16"/>
        <v>1.08508115232536</v>
      </c>
      <c r="V121">
        <f t="shared" si="17"/>
        <v>6.11505655650123</v>
      </c>
      <c r="Y121">
        <v>0.003942648</v>
      </c>
      <c r="Z121" s="8">
        <v>0.877004388928456</v>
      </c>
      <c r="AA121">
        <f t="shared" si="18"/>
        <v>7.56590582513541</v>
      </c>
      <c r="AD121" s="9">
        <v>2.36775</v>
      </c>
      <c r="AE121">
        <f t="shared" si="19"/>
        <v>2.80237888918303</v>
      </c>
      <c r="AH121">
        <v>1.3072</v>
      </c>
      <c r="AI121" s="10">
        <f t="shared" si="20"/>
        <v>4.40855722154223</v>
      </c>
      <c r="AJ121">
        <f t="shared" si="21"/>
        <v>1.50510298073026</v>
      </c>
    </row>
    <row r="122" spans="1:36">
      <c r="A122" s="1" t="s">
        <v>143</v>
      </c>
      <c r="B122" s="1">
        <v>5869910</v>
      </c>
      <c r="C122" s="2">
        <v>0.151287</v>
      </c>
      <c r="E122">
        <v>2.563528</v>
      </c>
      <c r="F122">
        <v>2289.778435</v>
      </c>
      <c r="G122" s="3">
        <f t="shared" si="11"/>
        <v>2.289778435</v>
      </c>
      <c r="I122" t="s">
        <v>143</v>
      </c>
      <c r="J122">
        <v>1.49683</v>
      </c>
      <c r="K122" s="5">
        <f t="shared" si="12"/>
        <v>3.92156089869925</v>
      </c>
      <c r="L122">
        <f t="shared" si="13"/>
        <v>1.71263771147327</v>
      </c>
      <c r="O122">
        <v>0.0018288</v>
      </c>
      <c r="P122" s="6">
        <f t="shared" si="14"/>
        <v>3.20970581802275</v>
      </c>
      <c r="Q122" s="4">
        <f t="shared" si="15"/>
        <v>1.22178203269576</v>
      </c>
      <c r="T122">
        <v>8.865</v>
      </c>
      <c r="U122" s="7">
        <f t="shared" si="16"/>
        <v>0.662144388042865</v>
      </c>
      <c r="V122">
        <f t="shared" si="17"/>
        <v>5.92251625101047</v>
      </c>
      <c r="Y122">
        <v>0.003705372</v>
      </c>
      <c r="Z122" s="8">
        <v>0.950497278006095</v>
      </c>
      <c r="AA122">
        <f t="shared" si="18"/>
        <v>4.12579918895265</v>
      </c>
      <c r="AD122" s="9">
        <v>1.639047</v>
      </c>
      <c r="AE122">
        <f t="shared" si="19"/>
        <v>2.39258599582517</v>
      </c>
      <c r="AH122">
        <v>1.9962</v>
      </c>
      <c r="AI122" s="10">
        <f t="shared" si="20"/>
        <v>2.94054202985673</v>
      </c>
      <c r="AJ122">
        <f t="shared" si="21"/>
        <v>1.33361838017677</v>
      </c>
    </row>
    <row r="123" spans="1:36">
      <c r="A123" s="1" t="s">
        <v>142</v>
      </c>
      <c r="B123" s="1">
        <v>5869910</v>
      </c>
      <c r="C123" s="2">
        <v>0.153797</v>
      </c>
      <c r="E123">
        <v>3.118649</v>
      </c>
      <c r="F123">
        <v>1882.196181</v>
      </c>
      <c r="G123" s="3">
        <f t="shared" si="11"/>
        <v>1.882196181</v>
      </c>
      <c r="I123" t="s">
        <v>142</v>
      </c>
      <c r="J123">
        <v>1.55905</v>
      </c>
      <c r="K123" s="5">
        <f t="shared" si="12"/>
        <v>3.76505564285943</v>
      </c>
      <c r="L123">
        <f t="shared" si="13"/>
        <v>2.00035239730381</v>
      </c>
      <c r="O123">
        <v>0.0021376</v>
      </c>
      <c r="P123" s="6">
        <f t="shared" si="14"/>
        <v>2.74602825598802</v>
      </c>
      <c r="Q123" s="4">
        <f t="shared" si="15"/>
        <v>1.3710913697444</v>
      </c>
      <c r="T123">
        <v>8.873</v>
      </c>
      <c r="U123" s="7">
        <f t="shared" si="16"/>
        <v>0.661547390961343</v>
      </c>
      <c r="V123">
        <f t="shared" si="17"/>
        <v>5.69128636028351</v>
      </c>
      <c r="Y123">
        <v>0.003788784</v>
      </c>
      <c r="Z123" s="8">
        <v>0.92957159869763</v>
      </c>
      <c r="AA123">
        <f t="shared" si="18"/>
        <v>4.05031269042045</v>
      </c>
      <c r="AD123" s="9">
        <v>1.584363</v>
      </c>
      <c r="AE123">
        <f t="shared" si="19"/>
        <v>2.37638447935191</v>
      </c>
      <c r="AH123">
        <v>1.9724</v>
      </c>
      <c r="AI123" s="10">
        <f t="shared" si="20"/>
        <v>2.9760241330359</v>
      </c>
      <c r="AJ123">
        <f t="shared" si="21"/>
        <v>1.26512940572785</v>
      </c>
    </row>
    <row r="124" spans="1:36">
      <c r="A124" s="1" t="s">
        <v>144</v>
      </c>
      <c r="B124" s="1">
        <v>5869910</v>
      </c>
      <c r="C124" s="2">
        <v>0.153797</v>
      </c>
      <c r="E124">
        <v>2.55485</v>
      </c>
      <c r="F124">
        <v>2297.556047</v>
      </c>
      <c r="G124" s="3">
        <f t="shared" si="11"/>
        <v>2.297556047</v>
      </c>
      <c r="I124" t="s">
        <v>144</v>
      </c>
      <c r="J124">
        <v>1.54409</v>
      </c>
      <c r="K124" s="5">
        <f t="shared" si="12"/>
        <v>3.80153358936331</v>
      </c>
      <c r="L124">
        <f t="shared" si="13"/>
        <v>1.65459884834022</v>
      </c>
      <c r="O124">
        <v>0.0020256</v>
      </c>
      <c r="P124" s="6">
        <f t="shared" si="14"/>
        <v>2.89786236176935</v>
      </c>
      <c r="Q124" s="4">
        <f t="shared" si="15"/>
        <v>1.3118406310513</v>
      </c>
      <c r="T124">
        <v>8.892</v>
      </c>
      <c r="U124" s="7">
        <f t="shared" si="16"/>
        <v>0.660133828160144</v>
      </c>
      <c r="V124">
        <f t="shared" si="17"/>
        <v>5.75873168014818</v>
      </c>
      <c r="Y124">
        <v>0.003808494</v>
      </c>
      <c r="Z124" s="8">
        <v>0.924760810966224</v>
      </c>
      <c r="AA124">
        <f t="shared" si="18"/>
        <v>4.11082903198648</v>
      </c>
      <c r="AD124" s="9">
        <v>1.577913</v>
      </c>
      <c r="AE124">
        <f t="shared" si="19"/>
        <v>2.40921621747417</v>
      </c>
      <c r="AH124">
        <v>1.9905</v>
      </c>
      <c r="AI124" s="10">
        <f t="shared" si="20"/>
        <v>2.94896257221804</v>
      </c>
      <c r="AJ124">
        <f t="shared" si="21"/>
        <v>1.28910879547177</v>
      </c>
    </row>
    <row r="125" spans="1:36">
      <c r="A125" s="1" t="s">
        <v>145</v>
      </c>
      <c r="B125" s="1">
        <v>5881648</v>
      </c>
      <c r="C125" s="2">
        <v>0.0285302</v>
      </c>
      <c r="E125">
        <v>2.271759</v>
      </c>
      <c r="F125">
        <v>2589.028683</v>
      </c>
      <c r="G125" s="3">
        <f t="shared" si="11"/>
        <v>2.589028683</v>
      </c>
      <c r="I125" t="s">
        <v>145</v>
      </c>
      <c r="J125">
        <v>1.11673</v>
      </c>
      <c r="K125" s="5">
        <f t="shared" si="12"/>
        <v>5.26684874589202</v>
      </c>
      <c r="L125">
        <f t="shared" si="13"/>
        <v>2.03429524766374</v>
      </c>
      <c r="O125">
        <v>0.0024064</v>
      </c>
      <c r="P125" s="6">
        <f t="shared" si="14"/>
        <v>2.44416888297872</v>
      </c>
      <c r="Q125" s="4">
        <f t="shared" si="15"/>
        <v>2.15486285852444</v>
      </c>
      <c r="T125">
        <v>6.768</v>
      </c>
      <c r="U125" s="7">
        <f t="shared" si="16"/>
        <v>0.869037825059102</v>
      </c>
      <c r="V125">
        <f t="shared" si="17"/>
        <v>6.06055178959999</v>
      </c>
      <c r="Y125">
        <v>0.00643356</v>
      </c>
      <c r="Z125" s="8">
        <v>0.548528155484677</v>
      </c>
      <c r="AA125">
        <f t="shared" si="18"/>
        <v>9.60178377942744</v>
      </c>
      <c r="AD125" s="9">
        <v>1.396509</v>
      </c>
      <c r="AE125">
        <f t="shared" si="19"/>
        <v>3.77143917145684</v>
      </c>
      <c r="AH125">
        <v>2.613</v>
      </c>
      <c r="AI125" s="10">
        <f t="shared" si="20"/>
        <v>2.25091771909682</v>
      </c>
      <c r="AJ125">
        <f t="shared" si="21"/>
        <v>2.33986729110886</v>
      </c>
    </row>
    <row r="126" spans="1:36">
      <c r="A126" s="1" t="s">
        <v>146</v>
      </c>
      <c r="B126" s="1">
        <v>6011316</v>
      </c>
      <c r="C126" s="2">
        <v>0.000327439</v>
      </c>
      <c r="E126">
        <v>3.81463</v>
      </c>
      <c r="F126">
        <v>1575.858334</v>
      </c>
      <c r="G126" s="3">
        <f t="shared" si="11"/>
        <v>1.575858334</v>
      </c>
      <c r="I126" t="s">
        <v>146</v>
      </c>
      <c r="J126">
        <v>5.20037</v>
      </c>
      <c r="K126" s="5">
        <f t="shared" si="12"/>
        <v>1.15594005811125</v>
      </c>
      <c r="L126">
        <f t="shared" si="13"/>
        <v>0.733530440631124</v>
      </c>
      <c r="O126">
        <v>0.003464</v>
      </c>
      <c r="P126" s="6">
        <f t="shared" si="14"/>
        <v>1.73536836027714</v>
      </c>
      <c r="Q126" s="4">
        <f t="shared" si="15"/>
        <v>0.666106450117972</v>
      </c>
      <c r="T126">
        <v>12.611</v>
      </c>
      <c r="U126" s="7">
        <f t="shared" si="16"/>
        <v>0.476672428831972</v>
      </c>
      <c r="V126">
        <f t="shared" si="17"/>
        <v>2.42501975820951</v>
      </c>
      <c r="Y126">
        <v>0.007520094</v>
      </c>
      <c r="Z126" s="8">
        <v>0.479620281342228</v>
      </c>
      <c r="AA126">
        <f t="shared" si="18"/>
        <v>2.41011504950609</v>
      </c>
      <c r="AD126" s="9">
        <v>0.937812</v>
      </c>
      <c r="AE126">
        <f t="shared" si="19"/>
        <v>1.23259252186072</v>
      </c>
      <c r="AH126">
        <v>3.8115</v>
      </c>
      <c r="AI126" s="10">
        <f t="shared" si="20"/>
        <v>1.57715230224321</v>
      </c>
      <c r="AJ126">
        <f t="shared" si="21"/>
        <v>0.732928618540604</v>
      </c>
    </row>
    <row r="127" spans="1:36">
      <c r="A127" s="1" t="s">
        <v>147</v>
      </c>
      <c r="B127" s="1">
        <v>6074024</v>
      </c>
      <c r="C127" s="2">
        <v>0.0605639</v>
      </c>
      <c r="E127">
        <v>1.89581</v>
      </c>
      <c r="F127">
        <v>3203.920912</v>
      </c>
      <c r="G127" s="3">
        <f t="shared" si="11"/>
        <v>3.203920912</v>
      </c>
      <c r="I127" t="s">
        <v>147</v>
      </c>
      <c r="J127">
        <v>1.01303</v>
      </c>
      <c r="K127" s="5">
        <f t="shared" si="12"/>
        <v>5.99589745614641</v>
      </c>
      <c r="L127">
        <f t="shared" si="13"/>
        <v>1.87142492615511</v>
      </c>
      <c r="O127">
        <v>0.0012752</v>
      </c>
      <c r="P127" s="6">
        <f t="shared" si="14"/>
        <v>4.76319322459222</v>
      </c>
      <c r="Q127" s="4">
        <f t="shared" si="15"/>
        <v>1.25879786383424</v>
      </c>
      <c r="T127">
        <v>4.874</v>
      </c>
      <c r="U127" s="7">
        <f t="shared" si="16"/>
        <v>1.24620927369717</v>
      </c>
      <c r="V127">
        <f t="shared" si="17"/>
        <v>4.81130864831249</v>
      </c>
      <c r="Y127">
        <v>0.004737924</v>
      </c>
      <c r="Z127" s="8">
        <v>0.769200687896218</v>
      </c>
      <c r="AA127">
        <f t="shared" si="18"/>
        <v>7.79497152108032</v>
      </c>
      <c r="AD127" s="9">
        <v>2.133693</v>
      </c>
      <c r="AE127">
        <f t="shared" si="19"/>
        <v>2.81010316673786</v>
      </c>
      <c r="AH127">
        <v>1.5307</v>
      </c>
      <c r="AI127" s="10">
        <f t="shared" si="20"/>
        <v>3.96813484026916</v>
      </c>
      <c r="AJ127">
        <f t="shared" si="21"/>
        <v>1.51101151989576</v>
      </c>
    </row>
    <row r="128" spans="1:36">
      <c r="A128" s="1" t="s">
        <v>148</v>
      </c>
      <c r="B128" s="1">
        <v>6274168</v>
      </c>
      <c r="C128" s="2">
        <v>0</v>
      </c>
      <c r="E128">
        <v>3.340569</v>
      </c>
      <c r="F128">
        <v>1878.173253</v>
      </c>
      <c r="G128" s="3">
        <f t="shared" si="11"/>
        <v>1.878173253</v>
      </c>
      <c r="I128" t="s">
        <v>148</v>
      </c>
      <c r="J128">
        <v>3.15207</v>
      </c>
      <c r="K128" s="5">
        <f t="shared" si="12"/>
        <v>1.99049132792102</v>
      </c>
      <c r="L128">
        <f t="shared" si="13"/>
        <v>1.05980176468897</v>
      </c>
      <c r="O128">
        <v>0.0034496</v>
      </c>
      <c r="P128" s="6">
        <f t="shared" si="14"/>
        <v>1.81881029684601</v>
      </c>
      <c r="Q128" s="4">
        <f t="shared" si="15"/>
        <v>1.09439193926531</v>
      </c>
      <c r="T128">
        <v>11.662</v>
      </c>
      <c r="U128" s="7">
        <f t="shared" si="16"/>
        <v>0.538001028983022</v>
      </c>
      <c r="V128">
        <f t="shared" si="17"/>
        <v>3.69979093103897</v>
      </c>
      <c r="Y128">
        <v>0.007847694</v>
      </c>
      <c r="Z128" s="8">
        <v>0.479695156309611</v>
      </c>
      <c r="AA128">
        <f t="shared" si="18"/>
        <v>4.14949223843379</v>
      </c>
      <c r="AD128" s="9">
        <v>1.007589</v>
      </c>
      <c r="AE128">
        <f t="shared" si="19"/>
        <v>1.97549926400647</v>
      </c>
      <c r="AH128">
        <v>3.7133</v>
      </c>
      <c r="AI128" s="10">
        <f t="shared" si="20"/>
        <v>1.68964748337059</v>
      </c>
      <c r="AJ128">
        <f t="shared" si="21"/>
        <v>1.17805124886186</v>
      </c>
    </row>
    <row r="129" spans="1:36">
      <c r="A129" s="1" t="s">
        <v>149</v>
      </c>
      <c r="B129" s="1">
        <v>6312052</v>
      </c>
      <c r="C129" s="2">
        <v>0</v>
      </c>
      <c r="E129">
        <v>3.034808</v>
      </c>
      <c r="F129">
        <v>2079.885073</v>
      </c>
      <c r="G129" s="3">
        <f t="shared" si="11"/>
        <v>2.079885073</v>
      </c>
      <c r="I129" t="s">
        <v>149</v>
      </c>
      <c r="J129">
        <v>1.66146</v>
      </c>
      <c r="K129" s="5">
        <f t="shared" si="12"/>
        <v>3.79909958711013</v>
      </c>
      <c r="L129">
        <f t="shared" si="13"/>
        <v>1.82659111141673</v>
      </c>
      <c r="O129">
        <v>0.001744</v>
      </c>
      <c r="P129" s="6">
        <f t="shared" si="14"/>
        <v>3.61929587155963</v>
      </c>
      <c r="Q129" s="4">
        <f t="shared" si="15"/>
        <v>1.04967919781397</v>
      </c>
      <c r="T129">
        <v>7.617</v>
      </c>
      <c r="U129" s="7">
        <f t="shared" si="16"/>
        <v>0.828679532624393</v>
      </c>
      <c r="V129">
        <f t="shared" si="17"/>
        <v>4.58452204687444</v>
      </c>
      <c r="Y129">
        <v>0.003573918</v>
      </c>
      <c r="Z129" s="8">
        <v>1.05968609240615</v>
      </c>
      <c r="AA129">
        <f t="shared" si="18"/>
        <v>3.58511790834567</v>
      </c>
      <c r="AD129" s="9">
        <v>1.924206</v>
      </c>
      <c r="AE129">
        <f t="shared" si="19"/>
        <v>1.97437259166125</v>
      </c>
      <c r="AH129">
        <v>1.9762</v>
      </c>
      <c r="AI129" s="10">
        <f t="shared" si="20"/>
        <v>3.19403501669871</v>
      </c>
      <c r="AJ129">
        <f t="shared" si="21"/>
        <v>1.18943579743117</v>
      </c>
    </row>
    <row r="130" spans="1:36">
      <c r="A130" s="1" t="s">
        <v>150</v>
      </c>
      <c r="B130" s="1">
        <v>6334728</v>
      </c>
      <c r="C130" s="2">
        <v>7.15871e-5</v>
      </c>
      <c r="E130">
        <v>4.367123</v>
      </c>
      <c r="F130">
        <v>1450.54937</v>
      </c>
      <c r="G130" s="3">
        <f t="shared" ref="G130:G193" si="22">F130/1000</f>
        <v>1.45054937</v>
      </c>
      <c r="I130" t="s">
        <v>150</v>
      </c>
      <c r="J130">
        <v>5.18316</v>
      </c>
      <c r="K130" s="5">
        <f t="shared" ref="K130:K193" si="23">B130/J130/1000000</f>
        <v>1.22217488944968</v>
      </c>
      <c r="L130">
        <f t="shared" ref="L130:L193" si="24">K130/G130</f>
        <v>0.842560008453679</v>
      </c>
      <c r="O130">
        <v>0.0074544</v>
      </c>
      <c r="P130" s="6">
        <f t="shared" ref="P130:P193" si="25">B130/O130/1000000000</f>
        <v>0.849797166773986</v>
      </c>
      <c r="Q130" s="4">
        <f t="shared" ref="Q130:Q193" si="26">K130/P130</f>
        <v>1.43819600398213</v>
      </c>
      <c r="T130">
        <v>11.904</v>
      </c>
      <c r="U130" s="7">
        <f t="shared" ref="U130:U193" si="27">B130/T130/1000000</f>
        <v>0.532151209677419</v>
      </c>
      <c r="V130">
        <f t="shared" ref="V130:V193" si="28">K130/U130</f>
        <v>2.29666844164564</v>
      </c>
      <c r="Y130">
        <v>0.006506136</v>
      </c>
      <c r="Z130" s="8">
        <v>0.584192645219835</v>
      </c>
      <c r="AA130">
        <f t="shared" ref="AA130:AA193" si="29">K130/Z130</f>
        <v>2.09207510476235</v>
      </c>
      <c r="AD130" s="9">
        <v>0.736497</v>
      </c>
      <c r="AE130">
        <f t="shared" ref="AE130:AE193" si="30">K130/AD130</f>
        <v>1.65944313344071</v>
      </c>
      <c r="AH130">
        <v>7.0308</v>
      </c>
      <c r="AI130" s="10">
        <f t="shared" ref="AI130:AI193" si="31">B130/AH130/1000000</f>
        <v>0.900996757125789</v>
      </c>
      <c r="AJ130">
        <f t="shared" ref="AJ130:AJ193" si="32">K130/AI130</f>
        <v>1.35646979834695</v>
      </c>
    </row>
    <row r="131" spans="1:36">
      <c r="A131" s="1" t="s">
        <v>151</v>
      </c>
      <c r="B131" s="1">
        <v>6389468</v>
      </c>
      <c r="C131" s="2">
        <v>6.89655e-5</v>
      </c>
      <c r="E131">
        <v>4.153729</v>
      </c>
      <c r="F131">
        <v>1538.248472</v>
      </c>
      <c r="G131" s="3">
        <f t="shared" si="22"/>
        <v>1.538248472</v>
      </c>
      <c r="I131" t="s">
        <v>151</v>
      </c>
      <c r="J131">
        <v>4.44018</v>
      </c>
      <c r="K131" s="5">
        <f t="shared" si="23"/>
        <v>1.43901103108433</v>
      </c>
      <c r="L131">
        <f t="shared" si="24"/>
        <v>0.935486728755434</v>
      </c>
      <c r="O131">
        <v>0.0073728</v>
      </c>
      <c r="P131" s="6">
        <f t="shared" si="25"/>
        <v>0.866627061631945</v>
      </c>
      <c r="Q131" s="4">
        <f t="shared" si="26"/>
        <v>1.66047322405848</v>
      </c>
      <c r="T131">
        <v>12.763</v>
      </c>
      <c r="U131" s="7">
        <f t="shared" si="27"/>
        <v>0.500624304630573</v>
      </c>
      <c r="V131">
        <f t="shared" si="28"/>
        <v>2.87443301848123</v>
      </c>
      <c r="Y131">
        <v>0.00650403</v>
      </c>
      <c r="Z131" s="8">
        <v>0.589431598562737</v>
      </c>
      <c r="AA131">
        <f t="shared" si="29"/>
        <v>2.44135372890288</v>
      </c>
      <c r="AD131" s="9">
        <v>0.758964</v>
      </c>
      <c r="AE131">
        <f t="shared" si="30"/>
        <v>1.89602014204142</v>
      </c>
      <c r="AH131">
        <v>6.9934</v>
      </c>
      <c r="AI131" s="10">
        <f t="shared" si="31"/>
        <v>0.913642577287156</v>
      </c>
      <c r="AJ131">
        <f t="shared" si="32"/>
        <v>1.57502623767505</v>
      </c>
    </row>
    <row r="132" spans="1:36">
      <c r="A132" s="1" t="s">
        <v>152</v>
      </c>
      <c r="B132" s="1">
        <v>6406400</v>
      </c>
      <c r="C132" s="2">
        <v>0</v>
      </c>
      <c r="E132">
        <v>10.131322</v>
      </c>
      <c r="F132">
        <v>632.336023</v>
      </c>
      <c r="G132" s="3">
        <f t="shared" si="22"/>
        <v>0.632336023</v>
      </c>
      <c r="I132" t="s">
        <v>152</v>
      </c>
      <c r="J132">
        <v>9.07936</v>
      </c>
      <c r="K132" s="5">
        <f t="shared" si="23"/>
        <v>0.70560039474148</v>
      </c>
      <c r="L132">
        <f t="shared" si="24"/>
        <v>1.11586303654486</v>
      </c>
      <c r="O132">
        <v>0.007728</v>
      </c>
      <c r="P132" s="6">
        <f t="shared" si="25"/>
        <v>0.828985507246377</v>
      </c>
      <c r="Q132" s="4">
        <f t="shared" si="26"/>
        <v>0.851161315335002</v>
      </c>
      <c r="T132">
        <v>8.221</v>
      </c>
      <c r="U132" s="7">
        <f t="shared" si="27"/>
        <v>0.779272594574869</v>
      </c>
      <c r="V132">
        <f t="shared" si="28"/>
        <v>0.905460296761005</v>
      </c>
      <c r="Y132">
        <v>0.02406312</v>
      </c>
      <c r="Z132" s="8">
        <v>0.159739884104804</v>
      </c>
      <c r="AA132">
        <f t="shared" si="29"/>
        <v>4.41718359003279</v>
      </c>
      <c r="AD132" s="9">
        <v>0.571419</v>
      </c>
      <c r="AE132">
        <f t="shared" si="30"/>
        <v>1.2348213740556</v>
      </c>
      <c r="AH132">
        <v>14.5642</v>
      </c>
      <c r="AI132" s="10">
        <f t="shared" si="31"/>
        <v>0.439873113524945</v>
      </c>
      <c r="AJ132">
        <f t="shared" si="32"/>
        <v>1.60409984844747</v>
      </c>
    </row>
    <row r="133" spans="1:36">
      <c r="A133" s="1" t="s">
        <v>153</v>
      </c>
      <c r="B133" s="1">
        <v>6406400</v>
      </c>
      <c r="C133" s="2">
        <v>0</v>
      </c>
      <c r="E133">
        <v>10.1626</v>
      </c>
      <c r="F133">
        <v>630.389877</v>
      </c>
      <c r="G133" s="3">
        <f t="shared" si="22"/>
        <v>0.630389877</v>
      </c>
      <c r="I133" t="s">
        <v>153</v>
      </c>
      <c r="J133">
        <v>9.30218</v>
      </c>
      <c r="K133" s="5">
        <f t="shared" si="23"/>
        <v>0.688698778135878</v>
      </c>
      <c r="L133">
        <f t="shared" si="24"/>
        <v>1.09249656960446</v>
      </c>
      <c r="O133">
        <v>0.0059984</v>
      </c>
      <c r="P133" s="6">
        <f t="shared" si="25"/>
        <v>1.06801813817018</v>
      </c>
      <c r="Q133" s="4">
        <f t="shared" si="26"/>
        <v>0.644838091716135</v>
      </c>
      <c r="T133">
        <v>8.301</v>
      </c>
      <c r="U133" s="7">
        <f t="shared" si="27"/>
        <v>0.771762438260451</v>
      </c>
      <c r="V133">
        <f t="shared" si="28"/>
        <v>0.892371465613437</v>
      </c>
      <c r="Y133">
        <v>0.0261333</v>
      </c>
      <c r="Z133" s="8">
        <v>0.147085901895283</v>
      </c>
      <c r="AA133">
        <f t="shared" si="29"/>
        <v>4.68228952783111</v>
      </c>
      <c r="AD133" s="9">
        <v>0.581301</v>
      </c>
      <c r="AE133">
        <f t="shared" si="30"/>
        <v>1.18475416029884</v>
      </c>
      <c r="AH133">
        <v>14.3613</v>
      </c>
      <c r="AI133" s="10">
        <f t="shared" si="31"/>
        <v>0.446087749716251</v>
      </c>
      <c r="AJ133">
        <f t="shared" si="32"/>
        <v>1.54386391147021</v>
      </c>
    </row>
    <row r="134" spans="1:36">
      <c r="A134" s="1" t="s">
        <v>154</v>
      </c>
      <c r="B134" s="1">
        <v>6408660</v>
      </c>
      <c r="C134" s="2">
        <v>0.0992634</v>
      </c>
      <c r="E134">
        <v>4.680097</v>
      </c>
      <c r="F134">
        <v>1369.343438</v>
      </c>
      <c r="G134" s="3">
        <f t="shared" si="22"/>
        <v>1.369343438</v>
      </c>
      <c r="I134" t="s">
        <v>154</v>
      </c>
      <c r="J134">
        <v>9.74514</v>
      </c>
      <c r="K134" s="5">
        <f t="shared" si="23"/>
        <v>0.657626262937218</v>
      </c>
      <c r="L134">
        <f t="shared" si="24"/>
        <v>0.48024932583583</v>
      </c>
      <c r="O134">
        <v>0.0051104</v>
      </c>
      <c r="P134" s="6">
        <f t="shared" si="25"/>
        <v>1.25404273638071</v>
      </c>
      <c r="Q134" s="4">
        <f t="shared" si="26"/>
        <v>0.524404985459419</v>
      </c>
      <c r="T134">
        <v>10.113</v>
      </c>
      <c r="U134" s="7">
        <f t="shared" si="27"/>
        <v>0.633705132008306</v>
      </c>
      <c r="V134">
        <f t="shared" si="28"/>
        <v>1.03774804671867</v>
      </c>
      <c r="Y134">
        <v>0.004873662</v>
      </c>
      <c r="Z134" s="8">
        <v>0.788974697055315</v>
      </c>
      <c r="AA134">
        <f t="shared" si="29"/>
        <v>0.833520093092557</v>
      </c>
      <c r="AD134" s="9">
        <v>1.101846</v>
      </c>
      <c r="AE134">
        <f t="shared" si="30"/>
        <v>0.596840450423397</v>
      </c>
      <c r="AH134">
        <v>4.5452</v>
      </c>
      <c r="AI134" s="10">
        <f t="shared" si="31"/>
        <v>1.40998415911291</v>
      </c>
      <c r="AJ134">
        <f t="shared" si="32"/>
        <v>0.466406844847791</v>
      </c>
    </row>
    <row r="135" spans="1:36">
      <c r="A135" s="1" t="s">
        <v>155</v>
      </c>
      <c r="B135" s="1">
        <v>6465434</v>
      </c>
      <c r="C135" s="2">
        <v>0.841077</v>
      </c>
      <c r="E135">
        <v>2.472399</v>
      </c>
      <c r="F135">
        <v>2615.044555</v>
      </c>
      <c r="G135" s="3">
        <f t="shared" si="22"/>
        <v>2.615044555</v>
      </c>
      <c r="I135" t="s">
        <v>155</v>
      </c>
      <c r="J135">
        <v>1.66478</v>
      </c>
      <c r="K135" s="5">
        <f t="shared" si="23"/>
        <v>3.8836566993837</v>
      </c>
      <c r="L135">
        <f t="shared" si="24"/>
        <v>1.48512066150387</v>
      </c>
      <c r="O135">
        <v>0.001928</v>
      </c>
      <c r="P135" s="6">
        <f t="shared" si="25"/>
        <v>3.35344087136929</v>
      </c>
      <c r="Q135" s="4">
        <f t="shared" si="26"/>
        <v>1.15811098163121</v>
      </c>
      <c r="T135">
        <v>10.111</v>
      </c>
      <c r="U135" s="7">
        <f t="shared" si="27"/>
        <v>0.639445554346751</v>
      </c>
      <c r="V135">
        <f t="shared" si="28"/>
        <v>6.07347517389685</v>
      </c>
      <c r="Y135">
        <v>0.00604962</v>
      </c>
      <c r="Z135" s="8">
        <v>0.641240342368612</v>
      </c>
      <c r="AA135">
        <f t="shared" si="29"/>
        <v>6.05647593075361</v>
      </c>
      <c r="AD135" s="9">
        <v>1.860507</v>
      </c>
      <c r="AE135">
        <f t="shared" si="30"/>
        <v>2.08741848291014</v>
      </c>
      <c r="AH135">
        <v>2.245</v>
      </c>
      <c r="AI135" s="10">
        <f t="shared" si="31"/>
        <v>2.87992605790646</v>
      </c>
      <c r="AJ135">
        <f t="shared" si="32"/>
        <v>1.34852653203426</v>
      </c>
    </row>
    <row r="136" spans="1:36">
      <c r="A136" s="1" t="s">
        <v>156</v>
      </c>
      <c r="B136" s="1">
        <v>6493570</v>
      </c>
      <c r="C136" s="2">
        <v>0</v>
      </c>
      <c r="E136">
        <v>1.81562</v>
      </c>
      <c r="F136">
        <v>3576.503215</v>
      </c>
      <c r="G136" s="3">
        <f t="shared" si="22"/>
        <v>3.576503215</v>
      </c>
      <c r="I136" t="s">
        <v>156</v>
      </c>
      <c r="J136">
        <v>0.715624</v>
      </c>
      <c r="K136" s="5">
        <f t="shared" si="23"/>
        <v>9.07399695929706</v>
      </c>
      <c r="L136">
        <f t="shared" si="24"/>
        <v>2.53711416258214</v>
      </c>
      <c r="O136">
        <v>0.0007344</v>
      </c>
      <c r="P136" s="6">
        <f t="shared" si="25"/>
        <v>8.84200708061002</v>
      </c>
      <c r="Q136" s="4">
        <f t="shared" si="26"/>
        <v>1.02623724190357</v>
      </c>
      <c r="T136">
        <v>1.704</v>
      </c>
      <c r="U136" s="7">
        <f t="shared" si="27"/>
        <v>3.81078051643192</v>
      </c>
      <c r="V136">
        <f t="shared" si="28"/>
        <v>2.38113869853443</v>
      </c>
      <c r="Y136">
        <v>0.004647564</v>
      </c>
      <c r="Z136" s="8">
        <v>0.838319171075428</v>
      </c>
      <c r="AA136">
        <f t="shared" si="29"/>
        <v>10.8240360859893</v>
      </c>
      <c r="AD136" s="9">
        <v>1.411473</v>
      </c>
      <c r="AE136">
        <f t="shared" si="30"/>
        <v>6.42874285182718</v>
      </c>
      <c r="AH136">
        <v>1.7674</v>
      </c>
      <c r="AI136" s="10">
        <f t="shared" si="31"/>
        <v>3.6740805703293</v>
      </c>
      <c r="AJ136">
        <f t="shared" si="32"/>
        <v>2.4697327087968</v>
      </c>
    </row>
    <row r="137" spans="1:36">
      <c r="A137" s="1" t="s">
        <v>157</v>
      </c>
      <c r="B137" s="1">
        <v>6673982</v>
      </c>
      <c r="C137" s="2">
        <v>0.188758</v>
      </c>
      <c r="E137">
        <v>6.227281</v>
      </c>
      <c r="F137">
        <v>1071.732893</v>
      </c>
      <c r="G137" s="3">
        <f t="shared" si="22"/>
        <v>1.071732893</v>
      </c>
      <c r="I137" t="s">
        <v>157</v>
      </c>
      <c r="J137">
        <v>5.47806</v>
      </c>
      <c r="K137" s="5">
        <f t="shared" si="23"/>
        <v>1.21831122696721</v>
      </c>
      <c r="L137">
        <f t="shared" si="24"/>
        <v>1.13676759846094</v>
      </c>
      <c r="O137">
        <v>0.0032976</v>
      </c>
      <c r="P137" s="6">
        <f t="shared" si="25"/>
        <v>2.02389070839398</v>
      </c>
      <c r="Q137" s="4">
        <f t="shared" si="26"/>
        <v>0.601964929190261</v>
      </c>
      <c r="T137">
        <v>12.994</v>
      </c>
      <c r="U137" s="7">
        <f t="shared" si="27"/>
        <v>0.513620286285978</v>
      </c>
      <c r="V137">
        <f t="shared" si="28"/>
        <v>2.37200760853295</v>
      </c>
      <c r="Y137">
        <v>0.013284828</v>
      </c>
      <c r="Z137" s="8">
        <v>0.301425746724007</v>
      </c>
      <c r="AA137">
        <f t="shared" si="29"/>
        <v>4.04182867657529</v>
      </c>
      <c r="AD137" s="9">
        <v>1.072086</v>
      </c>
      <c r="AE137">
        <f t="shared" si="30"/>
        <v>1.13639318764279</v>
      </c>
      <c r="AH137">
        <v>4.6657</v>
      </c>
      <c r="AI137" s="10">
        <f t="shared" si="31"/>
        <v>1.43043530445592</v>
      </c>
      <c r="AJ137">
        <f t="shared" si="32"/>
        <v>0.851706626068353</v>
      </c>
    </row>
    <row r="138" spans="1:36">
      <c r="A138" s="1" t="s">
        <v>158</v>
      </c>
      <c r="B138" s="1">
        <v>6803752</v>
      </c>
      <c r="C138" s="2">
        <v>0</v>
      </c>
      <c r="E138">
        <v>5.215604</v>
      </c>
      <c r="F138">
        <v>1304.499223</v>
      </c>
      <c r="G138" s="3">
        <f t="shared" si="22"/>
        <v>1.304499223</v>
      </c>
      <c r="I138" t="s">
        <v>158</v>
      </c>
      <c r="J138">
        <v>14.3127</v>
      </c>
      <c r="K138" s="5">
        <f t="shared" si="23"/>
        <v>0.475364676126797</v>
      </c>
      <c r="L138">
        <f t="shared" si="24"/>
        <v>0.364403954977899</v>
      </c>
      <c r="O138">
        <v>0.0036576</v>
      </c>
      <c r="P138" s="6">
        <f t="shared" si="25"/>
        <v>1.86016841644794</v>
      </c>
      <c r="Q138" s="4">
        <f t="shared" si="26"/>
        <v>0.255549267433818</v>
      </c>
      <c r="T138">
        <v>11.684</v>
      </c>
      <c r="U138" s="7">
        <f t="shared" si="27"/>
        <v>0.582313591235878</v>
      </c>
      <c r="V138">
        <f t="shared" si="28"/>
        <v>0.816337937635806</v>
      </c>
      <c r="Y138">
        <v>0.00648279</v>
      </c>
      <c r="Z138" s="8">
        <v>0.629705913657546</v>
      </c>
      <c r="AA138">
        <f t="shared" si="29"/>
        <v>0.75489949485422</v>
      </c>
      <c r="AD138" s="9">
        <v>0.93375</v>
      </c>
      <c r="AE138">
        <f t="shared" si="30"/>
        <v>0.509092022625753</v>
      </c>
      <c r="AH138">
        <v>5.2386</v>
      </c>
      <c r="AI138" s="10">
        <f t="shared" si="31"/>
        <v>1.29877295460619</v>
      </c>
      <c r="AJ138">
        <f t="shared" si="32"/>
        <v>0.366010605965332</v>
      </c>
    </row>
    <row r="139" spans="1:36">
      <c r="A139" s="1" t="s">
        <v>160</v>
      </c>
      <c r="B139" s="1">
        <v>6855086</v>
      </c>
      <c r="C139" s="2">
        <v>0.00912281</v>
      </c>
      <c r="E139">
        <v>3.726656</v>
      </c>
      <c r="F139">
        <v>1839.473992</v>
      </c>
      <c r="G139" s="3">
        <f t="shared" si="22"/>
        <v>1.839473992</v>
      </c>
      <c r="I139" t="s">
        <v>160</v>
      </c>
      <c r="J139">
        <v>0.884436</v>
      </c>
      <c r="K139" s="5">
        <f t="shared" si="23"/>
        <v>7.75079937949156</v>
      </c>
      <c r="L139">
        <f t="shared" si="24"/>
        <v>4.21359552415545</v>
      </c>
      <c r="O139">
        <v>0.0012304</v>
      </c>
      <c r="P139" s="6">
        <f t="shared" si="25"/>
        <v>5.57142880364109</v>
      </c>
      <c r="Q139" s="4">
        <f t="shared" si="26"/>
        <v>1.39116906141315</v>
      </c>
      <c r="T139">
        <v>4.307</v>
      </c>
      <c r="U139" s="7">
        <f t="shared" si="27"/>
        <v>1.59161504527513</v>
      </c>
      <c r="V139">
        <f t="shared" si="28"/>
        <v>4.86977011338299</v>
      </c>
      <c r="Y139">
        <v>0.006279066</v>
      </c>
      <c r="Z139" s="8">
        <v>0.655041944136278</v>
      </c>
      <c r="AA139">
        <f t="shared" si="29"/>
        <v>11.8325237778652</v>
      </c>
      <c r="AD139" s="9">
        <v>2.466513</v>
      </c>
      <c r="AE139">
        <f t="shared" si="30"/>
        <v>3.14241172841642</v>
      </c>
      <c r="AH139">
        <v>1.5931</v>
      </c>
      <c r="AI139" s="10">
        <f t="shared" si="31"/>
        <v>4.30298537442722</v>
      </c>
      <c r="AJ139">
        <f t="shared" si="32"/>
        <v>1.80126091656152</v>
      </c>
    </row>
    <row r="140" spans="1:36">
      <c r="A140" s="1" t="s">
        <v>159</v>
      </c>
      <c r="B140" s="1">
        <v>6855086</v>
      </c>
      <c r="C140" s="2">
        <v>0.012844</v>
      </c>
      <c r="E140">
        <v>1.646151</v>
      </c>
      <c r="F140">
        <v>4164.312727</v>
      </c>
      <c r="G140" s="3">
        <f t="shared" si="22"/>
        <v>4.164312727</v>
      </c>
      <c r="I140" t="s">
        <v>159</v>
      </c>
      <c r="J140">
        <v>0.892442</v>
      </c>
      <c r="K140" s="5">
        <f t="shared" si="23"/>
        <v>7.68126780227735</v>
      </c>
      <c r="L140">
        <f t="shared" si="24"/>
        <v>1.8445463407382</v>
      </c>
      <c r="O140">
        <v>0.0011472</v>
      </c>
      <c r="P140" s="6">
        <f t="shared" si="25"/>
        <v>5.97549337517434</v>
      </c>
      <c r="Q140" s="4">
        <f t="shared" si="26"/>
        <v>1.28546168826658</v>
      </c>
      <c r="T140">
        <v>6.371</v>
      </c>
      <c r="U140" s="7">
        <f t="shared" si="27"/>
        <v>1.07598273426464</v>
      </c>
      <c r="V140">
        <f t="shared" si="28"/>
        <v>7.13883927470917</v>
      </c>
      <c r="Y140">
        <v>0.006287256</v>
      </c>
      <c r="Z140" s="8">
        <v>0.65418866354416</v>
      </c>
      <c r="AA140">
        <f t="shared" si="29"/>
        <v>11.7416706071655</v>
      </c>
      <c r="AD140" s="9">
        <v>2.459979</v>
      </c>
      <c r="AE140">
        <f t="shared" si="30"/>
        <v>3.12249324172172</v>
      </c>
      <c r="AH140">
        <v>1.6095</v>
      </c>
      <c r="AI140" s="10">
        <f t="shared" si="31"/>
        <v>4.25914010562286</v>
      </c>
      <c r="AJ140">
        <f t="shared" si="32"/>
        <v>1.80347854538446</v>
      </c>
    </row>
    <row r="141" spans="1:36">
      <c r="A141" s="1" t="s">
        <v>161</v>
      </c>
      <c r="B141" s="1">
        <v>6921148</v>
      </c>
      <c r="C141" s="2">
        <v>0.000754148</v>
      </c>
      <c r="E141">
        <v>2.342257</v>
      </c>
      <c r="F141">
        <v>2954.905671</v>
      </c>
      <c r="G141" s="3">
        <f t="shared" si="22"/>
        <v>2.954905671</v>
      </c>
      <c r="I141" t="s">
        <v>161</v>
      </c>
      <c r="J141">
        <v>1.41791</v>
      </c>
      <c r="K141" s="5">
        <f t="shared" si="23"/>
        <v>4.8812322361786</v>
      </c>
      <c r="L141">
        <f t="shared" si="24"/>
        <v>1.65190797259078</v>
      </c>
      <c r="O141">
        <v>0.0029056</v>
      </c>
      <c r="P141" s="6">
        <f t="shared" si="25"/>
        <v>2.38200302863436</v>
      </c>
      <c r="Q141" s="4">
        <f t="shared" si="26"/>
        <v>2.04921327869893</v>
      </c>
      <c r="T141">
        <v>9.701</v>
      </c>
      <c r="U141" s="7">
        <f t="shared" si="27"/>
        <v>0.713446861148335</v>
      </c>
      <c r="V141">
        <f t="shared" si="28"/>
        <v>6.84176005529265</v>
      </c>
      <c r="Y141">
        <v>0.005301558</v>
      </c>
      <c r="Z141" s="8">
        <v>0.783295929234387</v>
      </c>
      <c r="AA141">
        <f t="shared" si="29"/>
        <v>6.2316578626288</v>
      </c>
      <c r="AD141" s="9">
        <v>1.409478</v>
      </c>
      <c r="AE141">
        <f t="shared" si="30"/>
        <v>3.46314893611578</v>
      </c>
      <c r="AH141">
        <v>2.7699</v>
      </c>
      <c r="AI141" s="10">
        <f t="shared" si="31"/>
        <v>2.49869959204303</v>
      </c>
      <c r="AJ141">
        <f t="shared" si="32"/>
        <v>1.95350903795022</v>
      </c>
    </row>
    <row r="142" spans="1:36">
      <c r="A142" s="1" t="s">
        <v>162</v>
      </c>
      <c r="B142" s="1">
        <v>6967596</v>
      </c>
      <c r="C142" s="2">
        <v>0.053984</v>
      </c>
      <c r="E142">
        <v>9.991139</v>
      </c>
      <c r="F142">
        <v>697.377533</v>
      </c>
      <c r="G142" s="3">
        <f t="shared" si="22"/>
        <v>0.697377533</v>
      </c>
      <c r="I142" t="s">
        <v>162</v>
      </c>
      <c r="J142">
        <v>10.3399</v>
      </c>
      <c r="K142" s="5">
        <f t="shared" si="23"/>
        <v>0.673855259722048</v>
      </c>
      <c r="L142">
        <f t="shared" si="24"/>
        <v>0.966270388469839</v>
      </c>
      <c r="O142">
        <v>0.0132896</v>
      </c>
      <c r="P142" s="6">
        <f t="shared" si="25"/>
        <v>0.524289369130749</v>
      </c>
      <c r="Q142" s="4">
        <f t="shared" si="26"/>
        <v>1.28527355196859</v>
      </c>
      <c r="T142">
        <v>8292.061</v>
      </c>
      <c r="U142" s="7">
        <f t="shared" si="27"/>
        <v>0.000840273123895254</v>
      </c>
      <c r="V142">
        <f t="shared" si="28"/>
        <v>801.947891178832</v>
      </c>
      <c r="Y142">
        <v>0.01912734</v>
      </c>
      <c r="Z142" s="8">
        <v>0.218564505048794</v>
      </c>
      <c r="AA142">
        <f t="shared" si="29"/>
        <v>3.08309558119518</v>
      </c>
      <c r="AD142" s="9">
        <v>0.443745</v>
      </c>
      <c r="AE142">
        <f t="shared" si="30"/>
        <v>1.51856417474461</v>
      </c>
      <c r="AH142">
        <v>9.2184</v>
      </c>
      <c r="AI142" s="10">
        <f t="shared" si="31"/>
        <v>0.755835719864619</v>
      </c>
      <c r="AJ142">
        <f t="shared" si="32"/>
        <v>0.891536668633159</v>
      </c>
    </row>
    <row r="143" spans="1:36">
      <c r="A143" s="1" t="s">
        <v>163</v>
      </c>
      <c r="B143" s="1">
        <v>7073754</v>
      </c>
      <c r="C143" s="2">
        <v>1</v>
      </c>
      <c r="E143">
        <v>3.048059</v>
      </c>
      <c r="F143">
        <v>2320.740674</v>
      </c>
      <c r="G143" s="3">
        <f t="shared" si="22"/>
        <v>2.320740674</v>
      </c>
      <c r="I143" t="s">
        <v>163</v>
      </c>
      <c r="J143">
        <v>0.489706</v>
      </c>
      <c r="K143" s="5">
        <f t="shared" si="23"/>
        <v>14.4448995928169</v>
      </c>
      <c r="L143">
        <f t="shared" si="24"/>
        <v>6.22426269106572</v>
      </c>
      <c r="O143">
        <v>0.0009264</v>
      </c>
      <c r="P143" s="6">
        <f t="shared" si="25"/>
        <v>7.63574481865285</v>
      </c>
      <c r="Q143" s="4">
        <f t="shared" si="26"/>
        <v>1.89174729327392</v>
      </c>
      <c r="T143">
        <v>3.084</v>
      </c>
      <c r="U143" s="7">
        <f t="shared" si="27"/>
        <v>2.29369455252918</v>
      </c>
      <c r="V143">
        <f t="shared" si="28"/>
        <v>6.29765614470723</v>
      </c>
      <c r="Y143">
        <v>0.003464406</v>
      </c>
      <c r="Z143" s="8">
        <v>1.22510248510134</v>
      </c>
      <c r="AA143">
        <f t="shared" si="29"/>
        <v>11.7907683385542</v>
      </c>
      <c r="AD143" s="9">
        <v>3.00789</v>
      </c>
      <c r="AE143">
        <f t="shared" si="30"/>
        <v>4.80233638624315</v>
      </c>
      <c r="AH143">
        <v>1.1367</v>
      </c>
      <c r="AI143" s="10">
        <f t="shared" si="31"/>
        <v>6.22306149379784</v>
      </c>
      <c r="AJ143">
        <f t="shared" si="32"/>
        <v>2.32118863154627</v>
      </c>
    </row>
    <row r="144" spans="1:36">
      <c r="A144" s="1" t="s">
        <v>164</v>
      </c>
      <c r="B144" s="1">
        <v>7073754</v>
      </c>
      <c r="C144" s="2">
        <v>1</v>
      </c>
      <c r="E144">
        <v>2.292918</v>
      </c>
      <c r="F144">
        <v>3085.044165</v>
      </c>
      <c r="G144" s="3">
        <f t="shared" si="22"/>
        <v>3.085044165</v>
      </c>
      <c r="I144" t="s">
        <v>164</v>
      </c>
      <c r="J144">
        <v>0.549097</v>
      </c>
      <c r="K144" s="5">
        <f t="shared" si="23"/>
        <v>12.8825216673921</v>
      </c>
      <c r="L144">
        <f t="shared" si="24"/>
        <v>4.1757981339603</v>
      </c>
      <c r="O144">
        <v>0.0009056</v>
      </c>
      <c r="P144" s="6">
        <f t="shared" si="25"/>
        <v>7.81112411660777</v>
      </c>
      <c r="Q144" s="4">
        <f t="shared" si="26"/>
        <v>1.6492532284824</v>
      </c>
      <c r="T144">
        <v>3.06</v>
      </c>
      <c r="U144" s="7">
        <f t="shared" si="27"/>
        <v>2.31168431372549</v>
      </c>
      <c r="V144">
        <f t="shared" si="28"/>
        <v>5.57278586479256</v>
      </c>
      <c r="Y144">
        <v>0.00355941</v>
      </c>
      <c r="Z144" s="8">
        <v>1.19240334774583</v>
      </c>
      <c r="AA144">
        <f t="shared" si="29"/>
        <v>10.8038288317001</v>
      </c>
      <c r="AD144" s="9">
        <v>3.02394</v>
      </c>
      <c r="AE144">
        <f t="shared" si="30"/>
        <v>4.26017767131362</v>
      </c>
      <c r="AH144">
        <v>1.333</v>
      </c>
      <c r="AI144" s="10">
        <f t="shared" si="31"/>
        <v>5.30664216054014</v>
      </c>
      <c r="AJ144">
        <f t="shared" si="32"/>
        <v>2.42762207770212</v>
      </c>
    </row>
    <row r="145" spans="1:36">
      <c r="A145" s="1" t="s">
        <v>165</v>
      </c>
      <c r="B145" s="1">
        <v>7134236</v>
      </c>
      <c r="C145" s="2">
        <v>0.0785204</v>
      </c>
      <c r="E145">
        <v>1.84549</v>
      </c>
      <c r="F145">
        <v>3865.768677</v>
      </c>
      <c r="G145" s="3">
        <f t="shared" si="22"/>
        <v>3.865768677</v>
      </c>
      <c r="I145" t="s">
        <v>165</v>
      </c>
      <c r="J145">
        <v>1.04612</v>
      </c>
      <c r="K145" s="5">
        <f t="shared" si="23"/>
        <v>6.81971093182427</v>
      </c>
      <c r="L145">
        <f t="shared" si="24"/>
        <v>1.76412804325287</v>
      </c>
      <c r="O145">
        <v>0.0016224</v>
      </c>
      <c r="P145" s="6">
        <f t="shared" si="25"/>
        <v>4.39733481262327</v>
      </c>
      <c r="Q145" s="4">
        <f t="shared" si="26"/>
        <v>1.55087370473751</v>
      </c>
      <c r="T145">
        <v>7.985</v>
      </c>
      <c r="U145" s="7">
        <f t="shared" si="27"/>
        <v>0.893454727614277</v>
      </c>
      <c r="V145">
        <f t="shared" si="28"/>
        <v>7.63296753718503</v>
      </c>
      <c r="Y145">
        <v>0.005705064</v>
      </c>
      <c r="Z145" s="8">
        <v>0.750305623214744</v>
      </c>
      <c r="AA145">
        <f t="shared" si="29"/>
        <v>9.08924406377853</v>
      </c>
      <c r="AD145" s="9">
        <v>2.095443</v>
      </c>
      <c r="AE145">
        <f t="shared" si="30"/>
        <v>3.25454375605744</v>
      </c>
      <c r="AH145">
        <v>1.6668</v>
      </c>
      <c r="AI145" s="10">
        <f t="shared" si="31"/>
        <v>4.28019918406527</v>
      </c>
      <c r="AJ145">
        <f t="shared" si="32"/>
        <v>1.59331625434941</v>
      </c>
    </row>
    <row r="146" spans="1:36">
      <c r="A146" s="1" t="s">
        <v>166</v>
      </c>
      <c r="B146" s="1">
        <v>7134236</v>
      </c>
      <c r="C146" s="2">
        <v>0.0785204</v>
      </c>
      <c r="E146">
        <v>1.905958</v>
      </c>
      <c r="F146">
        <v>3743.122938</v>
      </c>
      <c r="G146" s="3">
        <f t="shared" si="22"/>
        <v>3.743122938</v>
      </c>
      <c r="I146" t="s">
        <v>166</v>
      </c>
      <c r="J146">
        <v>1.20268</v>
      </c>
      <c r="K146" s="5">
        <f t="shared" si="23"/>
        <v>5.93194864801942</v>
      </c>
      <c r="L146">
        <f t="shared" si="24"/>
        <v>1.58475923614439</v>
      </c>
      <c r="O146">
        <v>0.0016256</v>
      </c>
      <c r="P146" s="6">
        <f t="shared" si="25"/>
        <v>4.38867864173228</v>
      </c>
      <c r="Q146" s="4">
        <f t="shared" si="26"/>
        <v>1.35164798616423</v>
      </c>
      <c r="T146">
        <v>7.985</v>
      </c>
      <c r="U146" s="7">
        <f t="shared" si="27"/>
        <v>0.893454727614277</v>
      </c>
      <c r="V146">
        <f t="shared" si="28"/>
        <v>6.63933880999102</v>
      </c>
      <c r="Y146">
        <v>0.005737122</v>
      </c>
      <c r="Z146" s="8">
        <v>0.746113051108204</v>
      </c>
      <c r="AA146">
        <f t="shared" si="29"/>
        <v>7.95046895267236</v>
      </c>
      <c r="AD146" s="9">
        <v>2.072661</v>
      </c>
      <c r="AE146">
        <f t="shared" si="30"/>
        <v>2.86199655805721</v>
      </c>
      <c r="AH146">
        <v>1.6788</v>
      </c>
      <c r="AI146" s="10">
        <f t="shared" si="31"/>
        <v>4.24960447939004</v>
      </c>
      <c r="AJ146">
        <f t="shared" si="32"/>
        <v>1.39588252901853</v>
      </c>
    </row>
    <row r="147" spans="1:36">
      <c r="A147" s="1" t="s">
        <v>167</v>
      </c>
      <c r="B147" s="1">
        <v>7158776</v>
      </c>
      <c r="C147" s="2">
        <v>0.000476348</v>
      </c>
      <c r="E147">
        <v>6.916277</v>
      </c>
      <c r="F147">
        <v>1035.062118</v>
      </c>
      <c r="G147" s="3">
        <f t="shared" si="22"/>
        <v>1.035062118</v>
      </c>
      <c r="I147" t="s">
        <v>167</v>
      </c>
      <c r="J147">
        <v>5.58155</v>
      </c>
      <c r="K147" s="5">
        <f t="shared" si="23"/>
        <v>1.28257849522086</v>
      </c>
      <c r="L147">
        <f t="shared" si="24"/>
        <v>1.23913190611122</v>
      </c>
      <c r="O147">
        <v>0.003776</v>
      </c>
      <c r="P147" s="6">
        <f t="shared" si="25"/>
        <v>1.89586228813559</v>
      </c>
      <c r="Q147" s="4">
        <f t="shared" si="26"/>
        <v>0.676514588241617</v>
      </c>
      <c r="T147">
        <v>6.865</v>
      </c>
      <c r="U147" s="7">
        <f t="shared" si="27"/>
        <v>1.0427932993445</v>
      </c>
      <c r="V147">
        <f t="shared" si="28"/>
        <v>1.22994508693822</v>
      </c>
      <c r="Y147">
        <v>0.006182244</v>
      </c>
      <c r="Z147" s="8">
        <v>0.694774518766972</v>
      </c>
      <c r="AA147">
        <f t="shared" si="29"/>
        <v>1.84603559943027</v>
      </c>
      <c r="AD147" s="9">
        <v>1.141404</v>
      </c>
      <c r="AE147">
        <f t="shared" si="30"/>
        <v>1.12368494873056</v>
      </c>
      <c r="AH147">
        <v>9.2455</v>
      </c>
      <c r="AI147" s="10">
        <f t="shared" si="31"/>
        <v>0.774298415445352</v>
      </c>
      <c r="AJ147">
        <f t="shared" si="32"/>
        <v>1.65643951948831</v>
      </c>
    </row>
    <row r="148" spans="1:36">
      <c r="A148" s="1" t="s">
        <v>168</v>
      </c>
      <c r="B148" s="1">
        <v>7312928</v>
      </c>
      <c r="C148" s="2">
        <v>0</v>
      </c>
      <c r="E148">
        <v>4.611555</v>
      </c>
      <c r="F148">
        <v>1585.783402</v>
      </c>
      <c r="G148" s="3">
        <f t="shared" si="22"/>
        <v>1.585783402</v>
      </c>
      <c r="I148" t="s">
        <v>168</v>
      </c>
      <c r="J148">
        <v>2.74876</v>
      </c>
      <c r="K148" s="5">
        <f t="shared" si="23"/>
        <v>2.66044616481614</v>
      </c>
      <c r="L148">
        <f t="shared" si="24"/>
        <v>1.67768571764641</v>
      </c>
      <c r="O148">
        <v>0.0028032</v>
      </c>
      <c r="P148" s="6">
        <f t="shared" si="25"/>
        <v>2.60877853881278</v>
      </c>
      <c r="Q148" s="4">
        <f t="shared" si="26"/>
        <v>1.01980529402349</v>
      </c>
      <c r="T148">
        <v>5.35</v>
      </c>
      <c r="U148" s="7">
        <f t="shared" si="27"/>
        <v>1.36690242990654</v>
      </c>
      <c r="V148">
        <f t="shared" si="28"/>
        <v>1.94633216432137</v>
      </c>
      <c r="Y148">
        <v>0.004272984</v>
      </c>
      <c r="Z148" s="8">
        <v>1.02686010525665</v>
      </c>
      <c r="AA148">
        <f t="shared" si="29"/>
        <v>2.59085551303134</v>
      </c>
      <c r="AD148" s="9">
        <v>1.4805</v>
      </c>
      <c r="AE148">
        <f t="shared" si="30"/>
        <v>1.79699166823109</v>
      </c>
      <c r="AH148">
        <v>7.6537</v>
      </c>
      <c r="AI148" s="10">
        <f t="shared" si="31"/>
        <v>0.955476174921933</v>
      </c>
      <c r="AJ148">
        <f t="shared" si="32"/>
        <v>2.7844191562741</v>
      </c>
    </row>
    <row r="149" spans="1:36">
      <c r="A149" s="1" t="s">
        <v>169</v>
      </c>
      <c r="B149" s="1">
        <v>7365360</v>
      </c>
      <c r="C149" s="2">
        <v>0</v>
      </c>
      <c r="E149">
        <v>3.406846</v>
      </c>
      <c r="F149">
        <v>2161.928987</v>
      </c>
      <c r="G149" s="3">
        <f t="shared" si="22"/>
        <v>2.161928987</v>
      </c>
      <c r="I149" t="s">
        <v>169</v>
      </c>
      <c r="J149">
        <v>5.92991</v>
      </c>
      <c r="K149" s="5">
        <f t="shared" si="23"/>
        <v>1.24206944118882</v>
      </c>
      <c r="L149">
        <f t="shared" si="24"/>
        <v>0.574519074704844</v>
      </c>
      <c r="O149">
        <v>0.0030448</v>
      </c>
      <c r="P149" s="6">
        <f t="shared" si="25"/>
        <v>2.41899632159748</v>
      </c>
      <c r="Q149" s="4">
        <f t="shared" si="26"/>
        <v>0.513464791202565</v>
      </c>
      <c r="T149">
        <v>11.05</v>
      </c>
      <c r="U149" s="7">
        <f t="shared" si="27"/>
        <v>0.666548416289593</v>
      </c>
      <c r="V149">
        <f t="shared" si="28"/>
        <v>1.86343468956527</v>
      </c>
      <c r="Y149">
        <v>0.012191436</v>
      </c>
      <c r="Z149" s="8">
        <v>0.362485272448627</v>
      </c>
      <c r="AA149">
        <f t="shared" si="29"/>
        <v>3.42653767089214</v>
      </c>
      <c r="AD149" s="9">
        <v>1.311885</v>
      </c>
      <c r="AE149">
        <f t="shared" si="30"/>
        <v>0.946782256972845</v>
      </c>
      <c r="AH149">
        <v>2.8451</v>
      </c>
      <c r="AI149" s="10">
        <f t="shared" si="31"/>
        <v>2.58878774032547</v>
      </c>
      <c r="AJ149">
        <f t="shared" si="32"/>
        <v>0.479788057491598</v>
      </c>
    </row>
    <row r="150" spans="1:36">
      <c r="A150" s="1" t="s">
        <v>170</v>
      </c>
      <c r="B150" s="1">
        <v>7428020</v>
      </c>
      <c r="C150" s="2">
        <v>0.00753067</v>
      </c>
      <c r="E150">
        <v>4.057845</v>
      </c>
      <c r="F150">
        <v>1830.533387</v>
      </c>
      <c r="G150" s="3">
        <f t="shared" si="22"/>
        <v>1.830533387</v>
      </c>
      <c r="I150" t="s">
        <v>170</v>
      </c>
      <c r="J150">
        <v>7.38875</v>
      </c>
      <c r="K150" s="5">
        <f t="shared" si="23"/>
        <v>1.00531483674505</v>
      </c>
      <c r="L150">
        <f t="shared" si="24"/>
        <v>0.549192297657367</v>
      </c>
      <c r="O150">
        <v>0.003744</v>
      </c>
      <c r="P150" s="6">
        <f t="shared" si="25"/>
        <v>1.9839797008547</v>
      </c>
      <c r="Q150" s="4">
        <f t="shared" si="26"/>
        <v>0.506716291659618</v>
      </c>
      <c r="T150">
        <v>35.135</v>
      </c>
      <c r="U150" s="7">
        <f t="shared" si="27"/>
        <v>0.211413690052654</v>
      </c>
      <c r="V150">
        <f t="shared" si="28"/>
        <v>4.75520216545424</v>
      </c>
      <c r="Y150">
        <v>0.00612216</v>
      </c>
      <c r="Z150" s="8">
        <v>0.727980320671135</v>
      </c>
      <c r="AA150">
        <f t="shared" si="29"/>
        <v>1.3809643038403</v>
      </c>
      <c r="AD150" s="9">
        <v>1.148577</v>
      </c>
      <c r="AE150">
        <f t="shared" si="30"/>
        <v>0.875269865881914</v>
      </c>
      <c r="AH150">
        <v>7.0702</v>
      </c>
      <c r="AI150" s="10">
        <f t="shared" si="31"/>
        <v>1.05060960085995</v>
      </c>
      <c r="AJ150">
        <f t="shared" si="32"/>
        <v>0.956887159533074</v>
      </c>
    </row>
    <row r="151" spans="1:36">
      <c r="A151" s="1" t="s">
        <v>171</v>
      </c>
      <c r="B151" s="1">
        <v>7493212</v>
      </c>
      <c r="C151" s="2">
        <v>0.494118</v>
      </c>
      <c r="E151">
        <v>1.645135</v>
      </c>
      <c r="F151">
        <v>4554.769454</v>
      </c>
      <c r="G151" s="3">
        <f t="shared" si="22"/>
        <v>4.554769454</v>
      </c>
      <c r="I151" t="s">
        <v>171</v>
      </c>
      <c r="J151">
        <v>1.05225</v>
      </c>
      <c r="K151" s="5">
        <f t="shared" si="23"/>
        <v>7.12113281064386</v>
      </c>
      <c r="L151">
        <f t="shared" si="24"/>
        <v>1.56344528138303</v>
      </c>
      <c r="O151">
        <v>0.0012992</v>
      </c>
      <c r="P151" s="6">
        <f t="shared" si="25"/>
        <v>5.76755849753695</v>
      </c>
      <c r="Q151" s="4">
        <f t="shared" si="26"/>
        <v>1.23468757424566</v>
      </c>
      <c r="T151">
        <v>6.413</v>
      </c>
      <c r="U151" s="7">
        <f t="shared" si="27"/>
        <v>1.16844097926088</v>
      </c>
      <c r="V151">
        <f t="shared" si="28"/>
        <v>6.09455927773818</v>
      </c>
      <c r="Y151">
        <v>0.00598887</v>
      </c>
      <c r="Z151" s="8">
        <v>0.750713774050864</v>
      </c>
      <c r="AA151">
        <f t="shared" si="29"/>
        <v>9.48581610833928</v>
      </c>
      <c r="AD151" s="9">
        <v>2.493969</v>
      </c>
      <c r="AE151">
        <f t="shared" si="30"/>
        <v>2.85534134972963</v>
      </c>
      <c r="AH151">
        <v>1.3152</v>
      </c>
      <c r="AI151" s="10">
        <f t="shared" si="31"/>
        <v>5.69739355231144</v>
      </c>
      <c r="AJ151">
        <f t="shared" si="32"/>
        <v>1.24989308624376</v>
      </c>
    </row>
    <row r="152" spans="1:36">
      <c r="A152" s="1" t="s">
        <v>172</v>
      </c>
      <c r="B152" s="1">
        <v>7641406</v>
      </c>
      <c r="C152" s="2">
        <v>0.8</v>
      </c>
      <c r="E152">
        <v>1.557202</v>
      </c>
      <c r="F152">
        <v>4907.137519</v>
      </c>
      <c r="G152" s="3">
        <f t="shared" si="22"/>
        <v>4.907137519</v>
      </c>
      <c r="I152" t="s">
        <v>172</v>
      </c>
      <c r="J152">
        <v>0.57906</v>
      </c>
      <c r="K152" s="5">
        <f t="shared" si="23"/>
        <v>13.1962249162436</v>
      </c>
      <c r="L152">
        <f t="shared" si="24"/>
        <v>2.68918995344006</v>
      </c>
      <c r="O152">
        <v>0.0011104</v>
      </c>
      <c r="P152" s="6">
        <f t="shared" si="25"/>
        <v>6.8816696685879</v>
      </c>
      <c r="Q152" s="4">
        <f t="shared" si="26"/>
        <v>1.91759057783304</v>
      </c>
      <c r="T152">
        <v>11.471</v>
      </c>
      <c r="U152" s="7">
        <f t="shared" si="27"/>
        <v>0.666149943335367</v>
      </c>
      <c r="V152">
        <f t="shared" si="28"/>
        <v>19.8096915690947</v>
      </c>
      <c r="Y152">
        <v>0.005229702</v>
      </c>
      <c r="Z152" s="8">
        <v>0.876693088822269</v>
      </c>
      <c r="AA152">
        <f t="shared" si="29"/>
        <v>15.0522743757124</v>
      </c>
      <c r="AD152" s="9">
        <v>2.807907</v>
      </c>
      <c r="AE152">
        <f t="shared" si="30"/>
        <v>4.69966594913705</v>
      </c>
      <c r="AH152">
        <v>1.0951</v>
      </c>
      <c r="AI152" s="10">
        <f t="shared" si="31"/>
        <v>6.97781572459136</v>
      </c>
      <c r="AJ152">
        <f t="shared" si="32"/>
        <v>1.89116844541153</v>
      </c>
    </row>
    <row r="153" spans="1:36">
      <c r="A153" s="1" t="s">
        <v>173</v>
      </c>
      <c r="B153" s="1">
        <v>7654280</v>
      </c>
      <c r="C153" s="2">
        <v>0.0544088</v>
      </c>
      <c r="E153">
        <v>1.967271</v>
      </c>
      <c r="F153">
        <v>3890.811137</v>
      </c>
      <c r="G153" s="3">
        <f t="shared" si="22"/>
        <v>3.890811137</v>
      </c>
      <c r="I153" t="s">
        <v>173</v>
      </c>
      <c r="J153">
        <v>1.46854</v>
      </c>
      <c r="K153" s="5">
        <f t="shared" si="23"/>
        <v>5.212169910251</v>
      </c>
      <c r="L153">
        <f t="shared" si="24"/>
        <v>1.33961010358108</v>
      </c>
      <c r="O153">
        <v>0.0017792</v>
      </c>
      <c r="P153" s="6">
        <f t="shared" si="25"/>
        <v>4.30209082733813</v>
      </c>
      <c r="Q153" s="4">
        <f t="shared" si="26"/>
        <v>1.21154343770003</v>
      </c>
      <c r="T153">
        <v>17.738</v>
      </c>
      <c r="U153" s="7">
        <f t="shared" si="27"/>
        <v>0.431518773255158</v>
      </c>
      <c r="V153">
        <f t="shared" si="28"/>
        <v>12.0786631620521</v>
      </c>
      <c r="Y153">
        <v>0.008369946</v>
      </c>
      <c r="Z153" s="8">
        <v>0.548697446793563</v>
      </c>
      <c r="AA153">
        <f t="shared" si="29"/>
        <v>9.49916924292155</v>
      </c>
      <c r="AD153" s="9">
        <v>1.913808</v>
      </c>
      <c r="AE153">
        <f t="shared" si="30"/>
        <v>2.72345497053571</v>
      </c>
      <c r="AH153">
        <v>3.665</v>
      </c>
      <c r="AI153" s="10">
        <f t="shared" si="31"/>
        <v>2.08848021828104</v>
      </c>
      <c r="AJ153">
        <f t="shared" si="32"/>
        <v>2.49567597750146</v>
      </c>
    </row>
    <row r="154" spans="1:36">
      <c r="A154" s="1" t="s">
        <v>174</v>
      </c>
      <c r="B154" s="1">
        <v>7654280</v>
      </c>
      <c r="C154" s="2">
        <v>0.0549041</v>
      </c>
      <c r="E154">
        <v>1.860041</v>
      </c>
      <c r="F154">
        <v>4115.113831</v>
      </c>
      <c r="G154" s="3">
        <f t="shared" si="22"/>
        <v>4.115113831</v>
      </c>
      <c r="I154" t="s">
        <v>174</v>
      </c>
      <c r="J154">
        <v>1.50178</v>
      </c>
      <c r="K154" s="5">
        <f t="shared" si="23"/>
        <v>5.09680512458549</v>
      </c>
      <c r="L154">
        <f t="shared" si="24"/>
        <v>1.23855750628092</v>
      </c>
      <c r="O154">
        <v>0.0016544</v>
      </c>
      <c r="P154" s="6">
        <f t="shared" si="25"/>
        <v>4.62661992263056</v>
      </c>
      <c r="Q154" s="4">
        <f t="shared" si="26"/>
        <v>1.10162607039646</v>
      </c>
      <c r="T154">
        <v>22.661</v>
      </c>
      <c r="U154" s="7">
        <f t="shared" si="27"/>
        <v>0.337773266846123</v>
      </c>
      <c r="V154">
        <f t="shared" si="28"/>
        <v>15.0894272130405</v>
      </c>
      <c r="Y154">
        <v>0.00844164</v>
      </c>
      <c r="Z154" s="8">
        <v>0.544037414530826</v>
      </c>
      <c r="AA154">
        <f t="shared" si="29"/>
        <v>9.36848273382253</v>
      </c>
      <c r="AD154" s="9">
        <v>1.955919</v>
      </c>
      <c r="AE154">
        <f t="shared" si="30"/>
        <v>2.60583650170866</v>
      </c>
      <c r="AH154">
        <v>2.8543</v>
      </c>
      <c r="AI154" s="10">
        <f t="shared" si="31"/>
        <v>2.68166625792664</v>
      </c>
      <c r="AJ154">
        <f t="shared" si="32"/>
        <v>1.90061127462078</v>
      </c>
    </row>
    <row r="155" spans="1:36">
      <c r="A155" s="1" t="s">
        <v>175</v>
      </c>
      <c r="B155" s="1">
        <v>7700220</v>
      </c>
      <c r="C155" s="2">
        <v>0.000270563</v>
      </c>
      <c r="E155">
        <v>7.372888</v>
      </c>
      <c r="F155">
        <v>1044.396695</v>
      </c>
      <c r="G155" s="3">
        <f t="shared" si="22"/>
        <v>1.044396695</v>
      </c>
      <c r="I155" t="s">
        <v>175</v>
      </c>
      <c r="J155">
        <v>5.45433</v>
      </c>
      <c r="K155" s="5">
        <f t="shared" si="23"/>
        <v>1.4117627646292</v>
      </c>
      <c r="L155">
        <f t="shared" si="24"/>
        <v>1.35174955205043</v>
      </c>
      <c r="O155">
        <v>0.0108592</v>
      </c>
      <c r="P155" s="6">
        <f t="shared" si="25"/>
        <v>0.709096434359806</v>
      </c>
      <c r="Q155" s="4">
        <f t="shared" si="26"/>
        <v>1.99093197514635</v>
      </c>
      <c r="T155">
        <v>14.2</v>
      </c>
      <c r="U155" s="7">
        <f t="shared" si="27"/>
        <v>0.542269014084507</v>
      </c>
      <c r="V155">
        <f t="shared" si="28"/>
        <v>2.60343616906201</v>
      </c>
      <c r="Y155">
        <v>0.006862554</v>
      </c>
      <c r="Z155" s="8">
        <v>0.673237981078182</v>
      </c>
      <c r="AA155">
        <f t="shared" si="29"/>
        <v>2.09697433048605</v>
      </c>
      <c r="AD155" s="9">
        <v>0.716655</v>
      </c>
      <c r="AE155">
        <f t="shared" si="30"/>
        <v>1.96993360072727</v>
      </c>
      <c r="AH155">
        <v>10.3354</v>
      </c>
      <c r="AI155" s="10">
        <f t="shared" si="31"/>
        <v>0.745033573930375</v>
      </c>
      <c r="AJ155">
        <f t="shared" si="32"/>
        <v>1.89489818181151</v>
      </c>
    </row>
    <row r="156" spans="1:36">
      <c r="A156" s="1" t="s">
        <v>176</v>
      </c>
      <c r="B156" s="1">
        <v>7713792</v>
      </c>
      <c r="C156" s="2">
        <v>0.154893</v>
      </c>
      <c r="E156">
        <v>4.390078</v>
      </c>
      <c r="F156">
        <v>1757.096839</v>
      </c>
      <c r="G156" s="3">
        <f t="shared" si="22"/>
        <v>1.757096839</v>
      </c>
      <c r="I156" t="s">
        <v>176</v>
      </c>
      <c r="J156">
        <v>4.14078</v>
      </c>
      <c r="K156" s="5">
        <f t="shared" si="23"/>
        <v>1.8628838045006</v>
      </c>
      <c r="L156">
        <f t="shared" si="24"/>
        <v>1.0602055408402</v>
      </c>
      <c r="O156">
        <v>0.0029312</v>
      </c>
      <c r="P156" s="6">
        <f t="shared" si="25"/>
        <v>2.63161572052402</v>
      </c>
      <c r="Q156" s="4">
        <f t="shared" si="26"/>
        <v>0.707885953854105</v>
      </c>
      <c r="T156">
        <v>19.188</v>
      </c>
      <c r="U156" s="7">
        <f t="shared" si="27"/>
        <v>0.402011257035647</v>
      </c>
      <c r="V156">
        <f t="shared" si="28"/>
        <v>4.63390955327257</v>
      </c>
      <c r="Y156">
        <v>0.00416196</v>
      </c>
      <c r="Z156" s="8">
        <v>1.11204221088141</v>
      </c>
      <c r="AA156">
        <f t="shared" si="29"/>
        <v>1.67519163056236</v>
      </c>
      <c r="AD156" s="9">
        <v>1.458705</v>
      </c>
      <c r="AE156">
        <f t="shared" si="30"/>
        <v>1.27708056426803</v>
      </c>
      <c r="AH156">
        <v>4.7938</v>
      </c>
      <c r="AI156" s="10">
        <f t="shared" si="31"/>
        <v>1.60911844465768</v>
      </c>
      <c r="AJ156">
        <f t="shared" si="32"/>
        <v>1.15770458705848</v>
      </c>
    </row>
    <row r="157" spans="1:36">
      <c r="A157" s="1" t="s">
        <v>177</v>
      </c>
      <c r="B157" s="1">
        <v>7720716</v>
      </c>
      <c r="C157" s="2">
        <v>0.0134042</v>
      </c>
      <c r="E157">
        <v>4.636242</v>
      </c>
      <c r="F157">
        <v>1665.296283</v>
      </c>
      <c r="G157" s="3">
        <f t="shared" si="22"/>
        <v>1.665296283</v>
      </c>
      <c r="I157" t="s">
        <v>177</v>
      </c>
      <c r="J157">
        <v>10.5819</v>
      </c>
      <c r="K157" s="5">
        <f t="shared" si="23"/>
        <v>0.729615286479744</v>
      </c>
      <c r="L157">
        <f t="shared" si="24"/>
        <v>0.43812941512447</v>
      </c>
      <c r="O157">
        <v>0.0031136</v>
      </c>
      <c r="P157" s="6">
        <f t="shared" si="25"/>
        <v>2.47967497430627</v>
      </c>
      <c r="Q157" s="4">
        <f t="shared" si="26"/>
        <v>0.294238274789972</v>
      </c>
      <c r="T157">
        <v>38.495</v>
      </c>
      <c r="U157" s="7">
        <f t="shared" si="27"/>
        <v>0.200564125211066</v>
      </c>
      <c r="V157">
        <f t="shared" si="28"/>
        <v>3.63781551517213</v>
      </c>
      <c r="Y157">
        <v>0.00764865</v>
      </c>
      <c r="Z157" s="8">
        <v>0.605653232923457</v>
      </c>
      <c r="AA157">
        <f t="shared" si="29"/>
        <v>1.20467496385337</v>
      </c>
      <c r="AD157" s="9">
        <v>1.112796</v>
      </c>
      <c r="AE157">
        <f t="shared" si="30"/>
        <v>0.655659515742098</v>
      </c>
      <c r="AH157">
        <v>7.0081</v>
      </c>
      <c r="AI157" s="10">
        <f t="shared" si="31"/>
        <v>1.10168462208016</v>
      </c>
      <c r="AJ157">
        <f t="shared" si="32"/>
        <v>0.662272370746274</v>
      </c>
    </row>
    <row r="158" spans="1:36">
      <c r="A158" s="1" t="s">
        <v>178</v>
      </c>
      <c r="B158" s="1">
        <v>8112220</v>
      </c>
      <c r="C158" s="2">
        <v>0.0246201</v>
      </c>
      <c r="E158">
        <v>5.195318</v>
      </c>
      <c r="F158">
        <v>1561.448198</v>
      </c>
      <c r="G158" s="3">
        <f t="shared" si="22"/>
        <v>1.561448198</v>
      </c>
      <c r="I158" t="s">
        <v>178</v>
      </c>
      <c r="J158">
        <v>2.77642</v>
      </c>
      <c r="K158" s="5">
        <f t="shared" si="23"/>
        <v>2.92182738922785</v>
      </c>
      <c r="L158">
        <f t="shared" si="24"/>
        <v>1.8712291531479</v>
      </c>
      <c r="O158">
        <v>0.0072032</v>
      </c>
      <c r="P158" s="6">
        <f t="shared" si="25"/>
        <v>1.12619669035984</v>
      </c>
      <c r="Q158" s="4">
        <f t="shared" si="26"/>
        <v>2.59442015257058</v>
      </c>
      <c r="T158">
        <v>12.806</v>
      </c>
      <c r="U158" s="7">
        <f t="shared" si="27"/>
        <v>0.6334702483211</v>
      </c>
      <c r="V158">
        <f t="shared" si="28"/>
        <v>4.61241454823117</v>
      </c>
      <c r="Y158">
        <v>0.00602811</v>
      </c>
      <c r="Z158" s="8">
        <v>0.807439147593524</v>
      </c>
      <c r="AA158">
        <f t="shared" si="29"/>
        <v>3.61863478868471</v>
      </c>
      <c r="AD158" s="9">
        <v>1.032159</v>
      </c>
      <c r="AE158">
        <f t="shared" si="30"/>
        <v>2.83079195087952</v>
      </c>
      <c r="AH158">
        <v>5.5863</v>
      </c>
      <c r="AI158" s="10">
        <f t="shared" si="31"/>
        <v>1.45216332814206</v>
      </c>
      <c r="AJ158">
        <f t="shared" si="32"/>
        <v>2.01205149076869</v>
      </c>
    </row>
    <row r="159" spans="1:36">
      <c r="A159" s="1" t="s">
        <v>179</v>
      </c>
      <c r="B159" s="1">
        <v>8163436</v>
      </c>
      <c r="C159" s="2">
        <v>0</v>
      </c>
      <c r="E159">
        <v>3.587172</v>
      </c>
      <c r="F159">
        <v>2275.730345</v>
      </c>
      <c r="G159" s="3">
        <f t="shared" si="22"/>
        <v>2.275730345</v>
      </c>
      <c r="I159" t="s">
        <v>179</v>
      </c>
      <c r="J159">
        <v>2.4448</v>
      </c>
      <c r="K159" s="5">
        <f t="shared" si="23"/>
        <v>3.33910176701571</v>
      </c>
      <c r="L159">
        <f t="shared" si="24"/>
        <v>1.46726600291288</v>
      </c>
      <c r="O159">
        <v>0.0035328</v>
      </c>
      <c r="P159" s="6">
        <f t="shared" si="25"/>
        <v>2.31075520833333</v>
      </c>
      <c r="Q159" s="4">
        <f t="shared" si="26"/>
        <v>1.44502617801047</v>
      </c>
      <c r="T159">
        <v>12.036</v>
      </c>
      <c r="U159" s="7">
        <f t="shared" si="27"/>
        <v>0.678251578597541</v>
      </c>
      <c r="V159">
        <f t="shared" si="28"/>
        <v>4.92310209424084</v>
      </c>
      <c r="Y159">
        <v>0.010577016</v>
      </c>
      <c r="Z159" s="8">
        <v>0.463085391947975</v>
      </c>
      <c r="AA159">
        <f t="shared" si="29"/>
        <v>7.2105530104712</v>
      </c>
      <c r="AD159" s="9">
        <v>1.271394</v>
      </c>
      <c r="AE159">
        <f t="shared" si="30"/>
        <v>2.62633122935589</v>
      </c>
      <c r="AH159">
        <v>3.5638</v>
      </c>
      <c r="AI159" s="10">
        <f t="shared" si="31"/>
        <v>2.29065491890678</v>
      </c>
      <c r="AJ159">
        <f t="shared" si="32"/>
        <v>1.45770615183246</v>
      </c>
    </row>
    <row r="160" spans="1:36">
      <c r="A160" s="1" t="s">
        <v>180</v>
      </c>
      <c r="B160" s="1">
        <v>8163436</v>
      </c>
      <c r="C160" s="2">
        <v>0</v>
      </c>
      <c r="E160">
        <v>3.59286</v>
      </c>
      <c r="F160">
        <v>2272.127203</v>
      </c>
      <c r="G160" s="3">
        <f t="shared" si="22"/>
        <v>2.272127203</v>
      </c>
      <c r="I160" t="s">
        <v>180</v>
      </c>
      <c r="J160">
        <v>2.34807</v>
      </c>
      <c r="K160" s="5">
        <f t="shared" si="23"/>
        <v>3.47665785091586</v>
      </c>
      <c r="L160">
        <f t="shared" si="24"/>
        <v>1.53013345658001</v>
      </c>
      <c r="O160">
        <v>0.0035344</v>
      </c>
      <c r="P160" s="6">
        <f t="shared" si="25"/>
        <v>2.30970914440923</v>
      </c>
      <c r="Q160" s="4">
        <f t="shared" si="26"/>
        <v>1.50523621527467</v>
      </c>
      <c r="T160">
        <v>11.919</v>
      </c>
      <c r="U160" s="7">
        <f t="shared" si="27"/>
        <v>0.684909472271164</v>
      </c>
      <c r="V160">
        <f t="shared" si="28"/>
        <v>5.07608376240913</v>
      </c>
      <c r="Y160">
        <v>0.010597608</v>
      </c>
      <c r="Z160" s="8">
        <v>0.462185579991258</v>
      </c>
      <c r="AA160">
        <f t="shared" si="29"/>
        <v>7.52221185910131</v>
      </c>
      <c r="AD160" s="9">
        <v>1.268076</v>
      </c>
      <c r="AE160">
        <f t="shared" si="30"/>
        <v>2.74167940321862</v>
      </c>
      <c r="AH160">
        <v>3.5598</v>
      </c>
      <c r="AI160" s="10">
        <f t="shared" si="31"/>
        <v>2.29322883308051</v>
      </c>
      <c r="AJ160">
        <f t="shared" si="32"/>
        <v>1.51605360998607</v>
      </c>
    </row>
    <row r="161" spans="1:36">
      <c r="A161" s="1" t="s">
        <v>181</v>
      </c>
      <c r="B161" s="1">
        <v>8255048</v>
      </c>
      <c r="C161" s="2">
        <v>0.0366912</v>
      </c>
      <c r="E161">
        <v>4.320129</v>
      </c>
      <c r="F161">
        <v>1910.833863</v>
      </c>
      <c r="G161" s="3">
        <f t="shared" si="22"/>
        <v>1.910833863</v>
      </c>
      <c r="I161" t="s">
        <v>181</v>
      </c>
      <c r="J161">
        <v>7.20237</v>
      </c>
      <c r="K161" s="5">
        <f t="shared" si="23"/>
        <v>1.14615716771007</v>
      </c>
      <c r="L161">
        <f t="shared" si="24"/>
        <v>0.599820418668221</v>
      </c>
      <c r="O161">
        <v>0.0044864</v>
      </c>
      <c r="P161" s="6">
        <f t="shared" si="25"/>
        <v>1.84001604850214</v>
      </c>
      <c r="Q161" s="4">
        <f t="shared" si="26"/>
        <v>0.622906071196009</v>
      </c>
      <c r="T161">
        <v>18.057</v>
      </c>
      <c r="U161" s="7">
        <f t="shared" si="27"/>
        <v>0.457166085174725</v>
      </c>
      <c r="V161">
        <f t="shared" si="28"/>
        <v>2.50709141574232</v>
      </c>
      <c r="Y161">
        <v>0.009256716</v>
      </c>
      <c r="Z161" s="8">
        <v>0.535074080267775</v>
      </c>
      <c r="AA161">
        <f t="shared" si="29"/>
        <v>2.14205324080824</v>
      </c>
      <c r="AD161" s="9">
        <v>0.929112</v>
      </c>
      <c r="AE161">
        <f t="shared" si="30"/>
        <v>1.23360495581811</v>
      </c>
      <c r="AH161">
        <v>7.8615</v>
      </c>
      <c r="AI161" s="10">
        <f t="shared" si="31"/>
        <v>1.05006016663487</v>
      </c>
      <c r="AJ161">
        <f t="shared" si="32"/>
        <v>1.09151570941232</v>
      </c>
    </row>
    <row r="162" spans="1:36">
      <c r="A162" s="1" t="s">
        <v>182</v>
      </c>
      <c r="B162" s="1">
        <v>8293828</v>
      </c>
      <c r="C162" s="2">
        <v>0.000391313</v>
      </c>
      <c r="E162">
        <v>1.569876</v>
      </c>
      <c r="F162">
        <v>5283.110947</v>
      </c>
      <c r="G162" s="3">
        <f t="shared" si="22"/>
        <v>5.283110947</v>
      </c>
      <c r="I162" t="s">
        <v>182</v>
      </c>
      <c r="J162">
        <v>1.25426</v>
      </c>
      <c r="K162" s="5">
        <f t="shared" si="23"/>
        <v>6.61252690829653</v>
      </c>
      <c r="L162">
        <f t="shared" si="24"/>
        <v>1.2516350640055</v>
      </c>
      <c r="O162">
        <v>0.0021312</v>
      </c>
      <c r="P162" s="6">
        <f t="shared" si="25"/>
        <v>3.8916234984985</v>
      </c>
      <c r="Q162" s="4">
        <f t="shared" si="26"/>
        <v>1.69916923125987</v>
      </c>
      <c r="T162">
        <v>9.653</v>
      </c>
      <c r="U162" s="7">
        <f t="shared" si="27"/>
        <v>0.859196933595773</v>
      </c>
      <c r="V162">
        <f t="shared" si="28"/>
        <v>7.69617144770622</v>
      </c>
      <c r="Y162">
        <v>0.004713264</v>
      </c>
      <c r="Z162" s="8">
        <v>1.05580693124764</v>
      </c>
      <c r="AA162">
        <f t="shared" si="29"/>
        <v>6.26300766986114</v>
      </c>
      <c r="AD162" s="9">
        <v>1.830756</v>
      </c>
      <c r="AE162">
        <f t="shared" si="30"/>
        <v>3.61191054859114</v>
      </c>
      <c r="AH162">
        <v>2.4273</v>
      </c>
      <c r="AI162" s="10">
        <f t="shared" si="31"/>
        <v>3.41689449182219</v>
      </c>
      <c r="AJ162">
        <f t="shared" si="32"/>
        <v>1.93524468610974</v>
      </c>
    </row>
    <row r="163" spans="1:36">
      <c r="A163" s="1" t="s">
        <v>183</v>
      </c>
      <c r="B163" s="1">
        <v>8315694</v>
      </c>
      <c r="C163" s="2">
        <v>0.0465455</v>
      </c>
      <c r="E163">
        <v>4.16122</v>
      </c>
      <c r="F163">
        <v>1998.378786</v>
      </c>
      <c r="G163" s="3">
        <f t="shared" si="22"/>
        <v>1.998378786</v>
      </c>
      <c r="I163" t="s">
        <v>183</v>
      </c>
      <c r="J163">
        <v>2.72582</v>
      </c>
      <c r="K163" s="5">
        <f t="shared" si="23"/>
        <v>3.05071281302507</v>
      </c>
      <c r="L163">
        <f t="shared" si="24"/>
        <v>1.52659387419311</v>
      </c>
      <c r="O163">
        <v>0.005536</v>
      </c>
      <c r="P163" s="6">
        <f t="shared" si="25"/>
        <v>1.50211235549133</v>
      </c>
      <c r="Q163" s="4">
        <f t="shared" si="26"/>
        <v>2.03094848522646</v>
      </c>
      <c r="T163">
        <v>13.631</v>
      </c>
      <c r="U163" s="7">
        <f t="shared" si="27"/>
        <v>0.610057515956276</v>
      </c>
      <c r="V163">
        <f t="shared" si="28"/>
        <v>5.00069703795555</v>
      </c>
      <c r="Y163">
        <v>0.004618494</v>
      </c>
      <c r="Z163" s="8">
        <v>1.08031241352701</v>
      </c>
      <c r="AA163">
        <f t="shared" si="29"/>
        <v>2.82391720656536</v>
      </c>
      <c r="AD163" s="9">
        <v>1.218705</v>
      </c>
      <c r="AE163">
        <f t="shared" si="30"/>
        <v>2.50324140216465</v>
      </c>
      <c r="AH163">
        <v>4.8483</v>
      </c>
      <c r="AI163" s="10">
        <f t="shared" si="31"/>
        <v>1.71517727863375</v>
      </c>
      <c r="AJ163">
        <f t="shared" si="32"/>
        <v>1.77865743152519</v>
      </c>
    </row>
    <row r="164" spans="1:36">
      <c r="A164" s="1" t="s">
        <v>184</v>
      </c>
      <c r="B164" s="1">
        <v>8449686</v>
      </c>
      <c r="C164" s="2">
        <v>0.000950344</v>
      </c>
      <c r="E164">
        <v>2.06431</v>
      </c>
      <c r="F164">
        <v>4093.226096</v>
      </c>
      <c r="G164" s="3">
        <f t="shared" si="22"/>
        <v>4.093226096</v>
      </c>
      <c r="I164" t="s">
        <v>184</v>
      </c>
      <c r="J164">
        <v>2.79421</v>
      </c>
      <c r="K164" s="5">
        <f t="shared" si="23"/>
        <v>3.02399819627014</v>
      </c>
      <c r="L164">
        <f t="shared" si="24"/>
        <v>0.738781128954804</v>
      </c>
      <c r="O164">
        <v>0.00204</v>
      </c>
      <c r="P164" s="6">
        <f t="shared" si="25"/>
        <v>4.14200294117647</v>
      </c>
      <c r="Q164" s="4">
        <f t="shared" si="26"/>
        <v>0.730081132055214</v>
      </c>
      <c r="T164">
        <v>37.656</v>
      </c>
      <c r="U164" s="7">
        <f t="shared" si="27"/>
        <v>0.224391491395794</v>
      </c>
      <c r="V164">
        <f t="shared" si="28"/>
        <v>13.4764387787604</v>
      </c>
      <c r="Y164">
        <v>0.0015228378</v>
      </c>
      <c r="Z164" s="8">
        <v>3.32918686415585</v>
      </c>
      <c r="AA164">
        <f t="shared" si="29"/>
        <v>0.908329366797772</v>
      </c>
      <c r="AD164" s="9">
        <v>1.673961</v>
      </c>
      <c r="AE164">
        <f t="shared" si="30"/>
        <v>1.80649262215198</v>
      </c>
      <c r="AH164">
        <v>3.6196</v>
      </c>
      <c r="AI164" s="10">
        <f t="shared" si="31"/>
        <v>2.3344253508675</v>
      </c>
      <c r="AJ164">
        <f t="shared" si="32"/>
        <v>1.29539297332699</v>
      </c>
    </row>
    <row r="165" spans="1:36">
      <c r="A165" s="1" t="s">
        <v>185</v>
      </c>
      <c r="B165" s="1">
        <v>8488384</v>
      </c>
      <c r="C165" s="2">
        <v>0</v>
      </c>
      <c r="E165">
        <v>7.310482</v>
      </c>
      <c r="F165">
        <v>1161.125036</v>
      </c>
      <c r="G165" s="3">
        <f t="shared" si="22"/>
        <v>1.161125036</v>
      </c>
      <c r="I165" t="s">
        <v>185</v>
      </c>
      <c r="J165">
        <v>7.6234</v>
      </c>
      <c r="K165" s="5">
        <f t="shared" si="23"/>
        <v>1.11346433349949</v>
      </c>
      <c r="L165">
        <f t="shared" si="24"/>
        <v>0.958952997288992</v>
      </c>
      <c r="O165">
        <v>0.00684</v>
      </c>
      <c r="P165" s="6">
        <f t="shared" si="25"/>
        <v>1.2409918128655</v>
      </c>
      <c r="Q165" s="4">
        <f t="shared" si="26"/>
        <v>0.897237453104914</v>
      </c>
      <c r="T165">
        <v>15.026</v>
      </c>
      <c r="U165" s="7">
        <f t="shared" si="27"/>
        <v>0.564913083987755</v>
      </c>
      <c r="V165">
        <f t="shared" si="28"/>
        <v>1.97103654537346</v>
      </c>
      <c r="Y165">
        <v>0.006666714</v>
      </c>
      <c r="Z165" s="8">
        <v>0.763949135961135</v>
      </c>
      <c r="AA165">
        <f t="shared" si="29"/>
        <v>1.4575110842931</v>
      </c>
      <c r="AD165" s="9">
        <v>0.874389</v>
      </c>
      <c r="AE165">
        <f t="shared" si="30"/>
        <v>1.27341987776549</v>
      </c>
      <c r="AH165">
        <v>8.2111</v>
      </c>
      <c r="AI165" s="10">
        <f t="shared" si="31"/>
        <v>1.0337694097015</v>
      </c>
      <c r="AJ165">
        <f t="shared" si="32"/>
        <v>1.07709158643125</v>
      </c>
    </row>
    <row r="166" spans="1:36">
      <c r="A166" s="1" t="s">
        <v>186</v>
      </c>
      <c r="B166" s="1">
        <v>9014258</v>
      </c>
      <c r="C166" s="2">
        <v>0</v>
      </c>
      <c r="E166">
        <v>2.951188</v>
      </c>
      <c r="F166">
        <v>3054.450842</v>
      </c>
      <c r="G166" s="3">
        <f t="shared" si="22"/>
        <v>3.054450842</v>
      </c>
      <c r="I166" t="s">
        <v>186</v>
      </c>
      <c r="J166">
        <v>1.71811</v>
      </c>
      <c r="K166" s="5">
        <f t="shared" si="23"/>
        <v>5.24661284783861</v>
      </c>
      <c r="L166">
        <f t="shared" si="24"/>
        <v>1.71769431535628</v>
      </c>
      <c r="O166">
        <v>0.00236</v>
      </c>
      <c r="P166" s="6">
        <f t="shared" si="25"/>
        <v>3.81960084745763</v>
      </c>
      <c r="Q166" s="4">
        <f t="shared" si="26"/>
        <v>1.37360238867127</v>
      </c>
      <c r="T166">
        <v>16.452</v>
      </c>
      <c r="U166" s="7">
        <f t="shared" si="27"/>
        <v>0.547912594213469</v>
      </c>
      <c r="V166">
        <f t="shared" si="28"/>
        <v>9.57563834678804</v>
      </c>
      <c r="Y166">
        <v>0.005866614</v>
      </c>
      <c r="Z166" s="8">
        <v>0.921921026336486</v>
      </c>
      <c r="AA166">
        <f t="shared" si="29"/>
        <v>5.69095692359628</v>
      </c>
      <c r="AD166" s="9">
        <v>1.764024</v>
      </c>
      <c r="AE166">
        <f t="shared" si="30"/>
        <v>2.97422985619165</v>
      </c>
      <c r="AH166">
        <v>2.478</v>
      </c>
      <c r="AI166" s="10">
        <f t="shared" si="31"/>
        <v>3.63771509281679</v>
      </c>
      <c r="AJ166">
        <f t="shared" si="32"/>
        <v>1.44228250810484</v>
      </c>
    </row>
    <row r="167" spans="1:36">
      <c r="A167" s="1" t="s">
        <v>187</v>
      </c>
      <c r="B167" s="1">
        <v>9042684</v>
      </c>
      <c r="C167" s="2">
        <v>0.000212123</v>
      </c>
      <c r="E167">
        <v>5.790158</v>
      </c>
      <c r="F167">
        <v>1561.733439</v>
      </c>
      <c r="G167" s="3">
        <f t="shared" si="22"/>
        <v>1.561733439</v>
      </c>
      <c r="I167" t="s">
        <v>187</v>
      </c>
      <c r="J167">
        <v>6.03508</v>
      </c>
      <c r="K167" s="5">
        <f t="shared" si="23"/>
        <v>1.49835362580115</v>
      </c>
      <c r="L167">
        <f t="shared" si="24"/>
        <v>0.959417009576593</v>
      </c>
      <c r="O167">
        <v>0.010344</v>
      </c>
      <c r="P167" s="6">
        <f t="shared" si="25"/>
        <v>0.874196055684455</v>
      </c>
      <c r="Q167" s="4">
        <f t="shared" si="26"/>
        <v>1.71397893648469</v>
      </c>
      <c r="T167">
        <v>18.131</v>
      </c>
      <c r="U167" s="7">
        <f t="shared" si="27"/>
        <v>0.498741602779769</v>
      </c>
      <c r="V167">
        <f t="shared" si="28"/>
        <v>3.00426837755258</v>
      </c>
      <c r="Y167">
        <v>0.006640938</v>
      </c>
      <c r="Z167" s="8">
        <v>0.816994587210421</v>
      </c>
      <c r="AA167">
        <f t="shared" si="29"/>
        <v>1.83398231672157</v>
      </c>
      <c r="AD167" s="9">
        <v>0.735111</v>
      </c>
      <c r="AE167">
        <f t="shared" si="30"/>
        <v>2.03826854148713</v>
      </c>
      <c r="AH167">
        <v>9.4794</v>
      </c>
      <c r="AI167" s="10">
        <f t="shared" si="31"/>
        <v>0.95392999556934</v>
      </c>
      <c r="AJ167">
        <f t="shared" si="32"/>
        <v>1.57071654393977</v>
      </c>
    </row>
    <row r="168" spans="1:36">
      <c r="A168" s="1" t="s">
        <v>188</v>
      </c>
      <c r="B168" s="1">
        <v>9085610</v>
      </c>
      <c r="C168" s="2">
        <v>0.123068</v>
      </c>
      <c r="E168">
        <v>4.268727</v>
      </c>
      <c r="F168">
        <v>2128.412211</v>
      </c>
      <c r="G168" s="3">
        <f t="shared" si="22"/>
        <v>2.128412211</v>
      </c>
      <c r="I168" t="s">
        <v>188</v>
      </c>
      <c r="J168">
        <v>3.5498</v>
      </c>
      <c r="K168" s="5">
        <f t="shared" si="23"/>
        <v>2.5594709561102</v>
      </c>
      <c r="L168">
        <f t="shared" si="24"/>
        <v>1.20252596883368</v>
      </c>
      <c r="O168">
        <v>0.0032192</v>
      </c>
      <c r="P168" s="6">
        <f t="shared" si="25"/>
        <v>2.82231920974155</v>
      </c>
      <c r="Q168" s="4">
        <f t="shared" si="26"/>
        <v>0.906867992562961</v>
      </c>
      <c r="T168">
        <v>25.89</v>
      </c>
      <c r="U168" s="7">
        <f t="shared" si="27"/>
        <v>0.350931247585941</v>
      </c>
      <c r="V168">
        <f t="shared" si="28"/>
        <v>7.29336864048679</v>
      </c>
      <c r="Y168">
        <v>0.010144908</v>
      </c>
      <c r="Z168" s="8">
        <v>0.537349969068226</v>
      </c>
      <c r="AA168">
        <f t="shared" si="29"/>
        <v>4.7631359513212</v>
      </c>
      <c r="AD168" s="9">
        <v>1.360809</v>
      </c>
      <c r="AE168">
        <f t="shared" si="30"/>
        <v>1.88084511206951</v>
      </c>
      <c r="AH168">
        <v>3.8903</v>
      </c>
      <c r="AI168" s="10">
        <f t="shared" si="31"/>
        <v>2.33545227874457</v>
      </c>
      <c r="AJ168">
        <f t="shared" si="32"/>
        <v>1.09592089695194</v>
      </c>
    </row>
    <row r="169" spans="1:36">
      <c r="A169" s="1" t="s">
        <v>189</v>
      </c>
      <c r="B169" s="1">
        <v>9485076</v>
      </c>
      <c r="C169" s="2">
        <v>0</v>
      </c>
      <c r="E169">
        <v>8.731187</v>
      </c>
      <c r="F169">
        <v>1086.344438</v>
      </c>
      <c r="G169" s="3">
        <f t="shared" si="22"/>
        <v>1.086344438</v>
      </c>
      <c r="I169" t="s">
        <v>189</v>
      </c>
      <c r="J169">
        <v>6.91558</v>
      </c>
      <c r="K169" s="5">
        <f t="shared" si="23"/>
        <v>1.37155177150723</v>
      </c>
      <c r="L169">
        <f t="shared" si="24"/>
        <v>1.26253858677853</v>
      </c>
      <c r="O169">
        <v>0.0053504</v>
      </c>
      <c r="P169" s="6">
        <f t="shared" si="25"/>
        <v>1.7727788576555</v>
      </c>
      <c r="Q169" s="4">
        <f t="shared" si="26"/>
        <v>0.773673357838388</v>
      </c>
      <c r="T169">
        <v>9.777</v>
      </c>
      <c r="U169" s="7">
        <f t="shared" si="27"/>
        <v>0.970141761276465</v>
      </c>
      <c r="V169">
        <f t="shared" si="28"/>
        <v>1.41376428296687</v>
      </c>
      <c r="Y169">
        <v>0.005850036</v>
      </c>
      <c r="Z169" s="8">
        <v>0.972822321093408</v>
      </c>
      <c r="AA169">
        <f t="shared" si="29"/>
        <v>1.40986873118379</v>
      </c>
      <c r="AD169" s="9">
        <v>1.212822</v>
      </c>
      <c r="AE169">
        <f t="shared" si="30"/>
        <v>1.13087639530552</v>
      </c>
      <c r="AH169">
        <v>11.603</v>
      </c>
      <c r="AI169" s="10">
        <f t="shared" si="31"/>
        <v>0.817467551495303</v>
      </c>
      <c r="AJ169">
        <f t="shared" si="32"/>
        <v>1.67780576611072</v>
      </c>
    </row>
    <row r="170" spans="1:36">
      <c r="A170" s="1" t="s">
        <v>190</v>
      </c>
      <c r="B170" s="1">
        <v>9566300</v>
      </c>
      <c r="C170" s="2">
        <v>0.00350877</v>
      </c>
      <c r="E170">
        <v>2.046648</v>
      </c>
      <c r="F170">
        <v>4674.130061</v>
      </c>
      <c r="G170" s="3">
        <f t="shared" si="22"/>
        <v>4.674130061</v>
      </c>
      <c r="I170" t="s">
        <v>190</v>
      </c>
      <c r="J170">
        <v>1.09216</v>
      </c>
      <c r="K170" s="5">
        <f t="shared" si="23"/>
        <v>8.75906460591855</v>
      </c>
      <c r="L170">
        <f t="shared" si="24"/>
        <v>1.87394541692419</v>
      </c>
      <c r="O170">
        <v>0.0015264</v>
      </c>
      <c r="P170" s="6">
        <f t="shared" si="25"/>
        <v>6.26723008385744</v>
      </c>
      <c r="Q170" s="4">
        <f t="shared" si="26"/>
        <v>1.39759742162321</v>
      </c>
      <c r="T170">
        <v>6.666</v>
      </c>
      <c r="U170" s="7">
        <f t="shared" si="27"/>
        <v>1.43508850885089</v>
      </c>
      <c r="V170">
        <f t="shared" si="28"/>
        <v>6.10350131848813</v>
      </c>
      <c r="Y170">
        <v>0.00446994</v>
      </c>
      <c r="Z170" s="8">
        <v>1.28408435012551</v>
      </c>
      <c r="AA170">
        <f t="shared" si="29"/>
        <v>6.82125329622031</v>
      </c>
      <c r="AD170" s="9">
        <v>2.892873</v>
      </c>
      <c r="AE170">
        <f t="shared" si="30"/>
        <v>3.02780820517131</v>
      </c>
      <c r="AH170">
        <v>1.4722</v>
      </c>
      <c r="AI170" s="10">
        <f t="shared" si="31"/>
        <v>6.4979622333922</v>
      </c>
      <c r="AJ170">
        <f t="shared" si="32"/>
        <v>1.34797099326106</v>
      </c>
    </row>
    <row r="171" spans="1:36">
      <c r="A171" s="1" t="s">
        <v>191</v>
      </c>
      <c r="B171" s="1">
        <v>9574600</v>
      </c>
      <c r="C171" s="2">
        <v>0.000493535</v>
      </c>
      <c r="E171">
        <v>7.316116</v>
      </c>
      <c r="F171">
        <v>1308.699898</v>
      </c>
      <c r="G171" s="3">
        <f t="shared" si="22"/>
        <v>1.308699898</v>
      </c>
      <c r="I171" t="s">
        <v>191</v>
      </c>
      <c r="J171">
        <v>6.55962</v>
      </c>
      <c r="K171" s="5">
        <f t="shared" si="23"/>
        <v>1.45962723450444</v>
      </c>
      <c r="L171">
        <f t="shared" si="24"/>
        <v>1.11532616204455</v>
      </c>
      <c r="O171">
        <v>0.0120848</v>
      </c>
      <c r="P171" s="6">
        <f t="shared" si="25"/>
        <v>0.792284522706209</v>
      </c>
      <c r="Q171" s="4">
        <f t="shared" si="26"/>
        <v>1.8423018406554</v>
      </c>
      <c r="T171">
        <v>22.717</v>
      </c>
      <c r="U171" s="7">
        <f t="shared" si="27"/>
        <v>0.421472905753401</v>
      </c>
      <c r="V171">
        <f t="shared" si="28"/>
        <v>3.46315792683113</v>
      </c>
      <c r="Y171">
        <v>0.00673416</v>
      </c>
      <c r="Z171" s="8">
        <v>0.853077443957376</v>
      </c>
      <c r="AA171">
        <f t="shared" si="29"/>
        <v>1.71101374774758</v>
      </c>
      <c r="AD171" s="9">
        <v>0.734781</v>
      </c>
      <c r="AE171">
        <f t="shared" si="30"/>
        <v>1.98647928362932</v>
      </c>
      <c r="AH171">
        <v>13.543</v>
      </c>
      <c r="AI171" s="10">
        <f t="shared" si="31"/>
        <v>0.70697777449605</v>
      </c>
      <c r="AJ171">
        <f t="shared" si="32"/>
        <v>2.06460130312427</v>
      </c>
    </row>
    <row r="172" spans="1:36">
      <c r="A172" s="1" t="s">
        <v>192</v>
      </c>
      <c r="B172" s="1">
        <v>9578640</v>
      </c>
      <c r="C172" s="2">
        <v>0.862442</v>
      </c>
      <c r="E172">
        <v>2.849668</v>
      </c>
      <c r="F172">
        <v>3361.317898</v>
      </c>
      <c r="G172" s="3">
        <f t="shared" si="22"/>
        <v>3.361317898</v>
      </c>
      <c r="I172" t="s">
        <v>192</v>
      </c>
      <c r="J172">
        <v>1.87772</v>
      </c>
      <c r="K172" s="5">
        <f t="shared" si="23"/>
        <v>5.10120784781544</v>
      </c>
      <c r="L172">
        <f t="shared" si="24"/>
        <v>1.51762136239797</v>
      </c>
      <c r="O172">
        <v>0.0039264</v>
      </c>
      <c r="P172" s="6">
        <f t="shared" si="25"/>
        <v>2.43954767726161</v>
      </c>
      <c r="Q172" s="4">
        <f t="shared" si="26"/>
        <v>2.09104658841574</v>
      </c>
      <c r="T172">
        <v>18.497</v>
      </c>
      <c r="U172" s="7">
        <f t="shared" si="27"/>
        <v>0.51784829972428</v>
      </c>
      <c r="V172">
        <f t="shared" si="28"/>
        <v>9.85077647359564</v>
      </c>
      <c r="Y172">
        <v>0.00944892</v>
      </c>
      <c r="Z172" s="8">
        <v>0.608237131862689</v>
      </c>
      <c r="AA172">
        <f t="shared" si="29"/>
        <v>8.38687344225976</v>
      </c>
      <c r="AD172" s="9">
        <v>1.830396</v>
      </c>
      <c r="AE172">
        <f t="shared" si="30"/>
        <v>2.78694219601411</v>
      </c>
      <c r="AH172">
        <v>2.5703</v>
      </c>
      <c r="AI172" s="10">
        <f t="shared" si="31"/>
        <v>3.72666225732405</v>
      </c>
      <c r="AJ172">
        <f t="shared" si="32"/>
        <v>1.36884093475065</v>
      </c>
    </row>
    <row r="173" spans="1:36">
      <c r="A173" s="1" t="s">
        <v>193</v>
      </c>
      <c r="B173" s="1">
        <v>9782702</v>
      </c>
      <c r="C173" s="2">
        <v>0.747334</v>
      </c>
      <c r="E173">
        <v>2.624096</v>
      </c>
      <c r="F173">
        <v>3728.027746</v>
      </c>
      <c r="G173" s="3">
        <f t="shared" si="22"/>
        <v>3.728027746</v>
      </c>
      <c r="I173" t="s">
        <v>193</v>
      </c>
      <c r="J173">
        <v>1.49679</v>
      </c>
      <c r="K173" s="5">
        <f t="shared" si="23"/>
        <v>6.53578791948102</v>
      </c>
      <c r="L173">
        <f t="shared" si="24"/>
        <v>1.75314894758861</v>
      </c>
      <c r="O173">
        <v>0.002736</v>
      </c>
      <c r="P173" s="6">
        <f t="shared" si="25"/>
        <v>3.57554897660819</v>
      </c>
      <c r="Q173" s="4">
        <f t="shared" si="26"/>
        <v>1.82791173110456</v>
      </c>
      <c r="T173">
        <v>14.288</v>
      </c>
      <c r="U173" s="7">
        <f t="shared" si="27"/>
        <v>0.684679591265397</v>
      </c>
      <c r="V173">
        <f t="shared" si="28"/>
        <v>9.54576126243494</v>
      </c>
      <c r="Y173">
        <v>0.009690498</v>
      </c>
      <c r="Z173" s="8">
        <v>0.60570893260594</v>
      </c>
      <c r="AA173">
        <f t="shared" si="29"/>
        <v>10.7903112661095</v>
      </c>
      <c r="AD173" s="9">
        <v>1.94004</v>
      </c>
      <c r="AE173">
        <f t="shared" si="30"/>
        <v>3.36889338337407</v>
      </c>
      <c r="AH173">
        <v>2.462</v>
      </c>
      <c r="AI173" s="10">
        <f t="shared" si="31"/>
        <v>3.97347766043867</v>
      </c>
      <c r="AJ173">
        <f t="shared" si="32"/>
        <v>1.64485331943693</v>
      </c>
    </row>
    <row r="174" spans="1:36">
      <c r="A174" s="1" t="s">
        <v>194</v>
      </c>
      <c r="B174" s="1">
        <v>9790206</v>
      </c>
      <c r="C174" s="2">
        <v>0.407012</v>
      </c>
      <c r="E174">
        <v>2.554802</v>
      </c>
      <c r="F174">
        <v>3832.080675</v>
      </c>
      <c r="G174" s="3">
        <f t="shared" si="22"/>
        <v>3.832080675</v>
      </c>
      <c r="I174" t="s">
        <v>194</v>
      </c>
      <c r="J174">
        <v>1.53429</v>
      </c>
      <c r="K174" s="5">
        <f t="shared" si="23"/>
        <v>6.38093580744188</v>
      </c>
      <c r="L174">
        <f t="shared" si="24"/>
        <v>1.66513608366084</v>
      </c>
      <c r="O174">
        <v>0.0022464</v>
      </c>
      <c r="P174" s="6">
        <f t="shared" si="25"/>
        <v>4.35817574786325</v>
      </c>
      <c r="Q174" s="4">
        <f t="shared" si="26"/>
        <v>1.46412998846372</v>
      </c>
      <c r="T174">
        <v>11.956</v>
      </c>
      <c r="U174" s="7">
        <f t="shared" si="27"/>
        <v>0.818852960856474</v>
      </c>
      <c r="V174">
        <f t="shared" si="28"/>
        <v>7.79252944358628</v>
      </c>
      <c r="Y174">
        <v>0.00599445</v>
      </c>
      <c r="Z174" s="8">
        <v>0.979927032505067</v>
      </c>
      <c r="AA174">
        <f t="shared" si="29"/>
        <v>6.51164382222396</v>
      </c>
      <c r="AD174" s="9">
        <v>1.881045</v>
      </c>
      <c r="AE174">
        <f t="shared" si="30"/>
        <v>3.39222921697348</v>
      </c>
      <c r="AH174">
        <v>2.4567</v>
      </c>
      <c r="AI174" s="10">
        <f t="shared" si="31"/>
        <v>3.98510440835267</v>
      </c>
      <c r="AJ174">
        <f t="shared" si="32"/>
        <v>1.60119664470211</v>
      </c>
    </row>
    <row r="175" spans="1:36">
      <c r="A175" s="1" t="s">
        <v>195</v>
      </c>
      <c r="B175" s="1">
        <v>9791210</v>
      </c>
      <c r="C175" s="2">
        <v>0.111185</v>
      </c>
      <c r="E175">
        <v>3.586589</v>
      </c>
      <c r="F175">
        <v>2729.950195</v>
      </c>
      <c r="G175" s="3">
        <f t="shared" si="22"/>
        <v>2.729950195</v>
      </c>
      <c r="I175" t="s">
        <v>195</v>
      </c>
      <c r="J175">
        <v>2.76651</v>
      </c>
      <c r="K175" s="5">
        <f t="shared" si="23"/>
        <v>3.53919197834094</v>
      </c>
      <c r="L175">
        <f t="shared" si="24"/>
        <v>1.29643096962835</v>
      </c>
      <c r="O175">
        <v>0.0057248</v>
      </c>
      <c r="P175" s="6">
        <f t="shared" si="25"/>
        <v>1.71031477082169</v>
      </c>
      <c r="Q175" s="4">
        <f t="shared" si="26"/>
        <v>2.06932199775168</v>
      </c>
      <c r="T175">
        <v>15.923</v>
      </c>
      <c r="U175" s="7">
        <f t="shared" si="27"/>
        <v>0.614909878791685</v>
      </c>
      <c r="V175">
        <f t="shared" si="28"/>
        <v>5.75562712587339</v>
      </c>
      <c r="Y175">
        <v>0.010792314</v>
      </c>
      <c r="Z175" s="8">
        <v>0.54434350223687</v>
      </c>
      <c r="AA175">
        <f t="shared" si="29"/>
        <v>6.50176214797705</v>
      </c>
      <c r="AD175" s="9">
        <v>1.281459</v>
      </c>
      <c r="AE175">
        <f t="shared" si="30"/>
        <v>2.7618456605642</v>
      </c>
      <c r="AH175">
        <v>4.8533</v>
      </c>
      <c r="AI175" s="10">
        <f t="shared" si="31"/>
        <v>2.01743349885645</v>
      </c>
      <c r="AJ175">
        <f t="shared" si="32"/>
        <v>1.75430415939216</v>
      </c>
    </row>
    <row r="176" spans="1:36">
      <c r="A176" s="1" t="s">
        <v>196</v>
      </c>
      <c r="B176" s="1">
        <v>9909172</v>
      </c>
      <c r="C176" s="2">
        <v>0.000817355</v>
      </c>
      <c r="E176">
        <v>6.454451</v>
      </c>
      <c r="F176">
        <v>1535.246312</v>
      </c>
      <c r="G176" s="3">
        <f t="shared" si="22"/>
        <v>1.535246312</v>
      </c>
      <c r="I176" t="s">
        <v>196</v>
      </c>
      <c r="J176">
        <v>6.614</v>
      </c>
      <c r="K176" s="5">
        <f t="shared" si="23"/>
        <v>1.49821167221046</v>
      </c>
      <c r="L176">
        <f t="shared" si="24"/>
        <v>0.975877069692295</v>
      </c>
      <c r="O176">
        <v>0.0090112</v>
      </c>
      <c r="P176" s="6">
        <f t="shared" si="25"/>
        <v>1.09965065696023</v>
      </c>
      <c r="Q176" s="4">
        <f t="shared" si="26"/>
        <v>1.36244330208648</v>
      </c>
      <c r="T176">
        <v>17.497</v>
      </c>
      <c r="U176" s="7">
        <f t="shared" si="27"/>
        <v>0.566335486083329</v>
      </c>
      <c r="V176">
        <f t="shared" si="28"/>
        <v>2.64544904747505</v>
      </c>
      <c r="Y176">
        <v>0.010446084</v>
      </c>
      <c r="Z176" s="8">
        <v>0.569160960222032</v>
      </c>
      <c r="AA176">
        <f t="shared" si="29"/>
        <v>2.6323162987602</v>
      </c>
      <c r="AD176" s="9">
        <v>0.820797</v>
      </c>
      <c r="AE176">
        <f t="shared" si="30"/>
        <v>1.82531328965684</v>
      </c>
      <c r="AH176">
        <v>11.4158</v>
      </c>
      <c r="AI176" s="10">
        <f t="shared" si="31"/>
        <v>0.86802256521663</v>
      </c>
      <c r="AJ176">
        <f t="shared" si="32"/>
        <v>1.7260054429997</v>
      </c>
    </row>
    <row r="177" spans="1:36">
      <c r="A177" s="1" t="s">
        <v>197</v>
      </c>
      <c r="B177" s="1">
        <v>9977640</v>
      </c>
      <c r="C177" s="2">
        <v>0.000164116</v>
      </c>
      <c r="E177">
        <v>8.531595</v>
      </c>
      <c r="F177">
        <v>1169.492952</v>
      </c>
      <c r="G177" s="3">
        <f t="shared" si="22"/>
        <v>1.169492952</v>
      </c>
      <c r="I177" t="s">
        <v>197</v>
      </c>
      <c r="J177">
        <v>6.66717</v>
      </c>
      <c r="K177" s="5">
        <f t="shared" si="23"/>
        <v>1.49653301175761</v>
      </c>
      <c r="L177">
        <f t="shared" si="24"/>
        <v>1.27964260853246</v>
      </c>
      <c r="O177">
        <v>0.0149904</v>
      </c>
      <c r="P177" s="6">
        <f t="shared" si="25"/>
        <v>0.665601985270573</v>
      </c>
      <c r="Q177" s="4">
        <f t="shared" si="26"/>
        <v>2.24839024653639</v>
      </c>
      <c r="T177">
        <v>18.504</v>
      </c>
      <c r="U177" s="7">
        <f t="shared" si="27"/>
        <v>0.539215304798962</v>
      </c>
      <c r="V177">
        <f t="shared" si="28"/>
        <v>2.77539045802042</v>
      </c>
      <c r="Y177">
        <v>0.007293582</v>
      </c>
      <c r="Z177" s="8">
        <v>0.82080163080363</v>
      </c>
      <c r="AA177">
        <f t="shared" si="29"/>
        <v>1.82325784403278</v>
      </c>
      <c r="AD177" s="9">
        <v>0.690273</v>
      </c>
      <c r="AE177">
        <f t="shared" si="30"/>
        <v>2.16803063680256</v>
      </c>
      <c r="AH177">
        <v>12.8008</v>
      </c>
      <c r="AI177" s="10">
        <f t="shared" si="31"/>
        <v>0.779454409099431</v>
      </c>
      <c r="AJ177">
        <f t="shared" si="32"/>
        <v>1.91997504188434</v>
      </c>
    </row>
    <row r="178" spans="1:36">
      <c r="A178" s="1" t="s">
        <v>198</v>
      </c>
      <c r="B178" s="1">
        <v>10016908</v>
      </c>
      <c r="C178" s="2">
        <v>0</v>
      </c>
      <c r="E178">
        <v>8.088957</v>
      </c>
      <c r="F178">
        <v>1238.343572</v>
      </c>
      <c r="G178" s="3">
        <f t="shared" si="22"/>
        <v>1.238343572</v>
      </c>
      <c r="I178" t="s">
        <v>198</v>
      </c>
      <c r="J178">
        <v>4.80569</v>
      </c>
      <c r="K178" s="5">
        <f t="shared" si="23"/>
        <v>2.08438496865174</v>
      </c>
      <c r="L178">
        <f t="shared" si="24"/>
        <v>1.68320409277478</v>
      </c>
      <c r="O178">
        <v>0.010944</v>
      </c>
      <c r="P178" s="6">
        <f t="shared" si="25"/>
        <v>0.91528764619883</v>
      </c>
      <c r="Q178" s="4">
        <f t="shared" si="26"/>
        <v>2.27730045009145</v>
      </c>
      <c r="T178">
        <v>17.267</v>
      </c>
      <c r="U178" s="7">
        <f t="shared" si="27"/>
        <v>0.580118607748885</v>
      </c>
      <c r="V178">
        <f t="shared" si="28"/>
        <v>3.59303242614484</v>
      </c>
      <c r="Y178">
        <v>0.00714672</v>
      </c>
      <c r="Z178" s="8">
        <v>0.840965477869568</v>
      </c>
      <c r="AA178">
        <f t="shared" si="29"/>
        <v>2.47856187144822</v>
      </c>
      <c r="AD178" s="9">
        <v>0.690333</v>
      </c>
      <c r="AE178">
        <f t="shared" si="30"/>
        <v>3.01939059649726</v>
      </c>
      <c r="AH178">
        <v>9.5112</v>
      </c>
      <c r="AI178" s="10">
        <f t="shared" si="31"/>
        <v>1.05316973673143</v>
      </c>
      <c r="AJ178">
        <f t="shared" si="32"/>
        <v>1.97915387800711</v>
      </c>
    </row>
    <row r="179" spans="1:36">
      <c r="A179" s="1" t="s">
        <v>199</v>
      </c>
      <c r="B179" s="1">
        <v>10016908</v>
      </c>
      <c r="C179" s="2">
        <v>0</v>
      </c>
      <c r="E179">
        <v>7.989216</v>
      </c>
      <c r="F179">
        <v>1253.803665</v>
      </c>
      <c r="G179" s="3">
        <f t="shared" si="22"/>
        <v>1.253803665</v>
      </c>
      <c r="I179" t="s">
        <v>199</v>
      </c>
      <c r="J179">
        <v>4.75642</v>
      </c>
      <c r="K179" s="5">
        <f t="shared" si="23"/>
        <v>2.1059763435525</v>
      </c>
      <c r="L179">
        <f t="shared" si="24"/>
        <v>1.67966995339139</v>
      </c>
      <c r="O179">
        <v>0.0108656</v>
      </c>
      <c r="P179" s="6">
        <f t="shared" si="25"/>
        <v>0.921891842144014</v>
      </c>
      <c r="Q179" s="4">
        <f t="shared" si="26"/>
        <v>2.28440718019014</v>
      </c>
      <c r="T179">
        <v>17.041</v>
      </c>
      <c r="U179" s="7">
        <f t="shared" si="27"/>
        <v>0.587812217592864</v>
      </c>
      <c r="V179">
        <f t="shared" si="28"/>
        <v>3.58273659601129</v>
      </c>
      <c r="Y179">
        <v>0.007202592</v>
      </c>
      <c r="Z179" s="8">
        <v>0.834441934237008</v>
      </c>
      <c r="AA179">
        <f t="shared" si="29"/>
        <v>2.52381412911391</v>
      </c>
      <c r="AD179" s="9">
        <v>0.693366</v>
      </c>
      <c r="AE179">
        <f t="shared" si="30"/>
        <v>3.03732277549304</v>
      </c>
      <c r="AH179">
        <v>9.4379</v>
      </c>
      <c r="AI179" s="10">
        <f t="shared" si="31"/>
        <v>1.06134924082688</v>
      </c>
      <c r="AJ179">
        <f t="shared" si="32"/>
        <v>1.98424445276069</v>
      </c>
    </row>
    <row r="180" spans="1:36">
      <c r="A180" s="1" t="s">
        <v>200</v>
      </c>
      <c r="B180" s="1">
        <v>10160640</v>
      </c>
      <c r="C180" s="2">
        <v>0</v>
      </c>
      <c r="E180">
        <v>12.262367</v>
      </c>
      <c r="F180">
        <v>828.603493</v>
      </c>
      <c r="G180" s="3">
        <f t="shared" si="22"/>
        <v>0.828603493</v>
      </c>
      <c r="I180" t="s">
        <v>200</v>
      </c>
      <c r="J180">
        <v>11.4493</v>
      </c>
      <c r="K180" s="5">
        <f t="shared" si="23"/>
        <v>0.887446394102696</v>
      </c>
      <c r="L180">
        <f t="shared" si="24"/>
        <v>1.07101454628154</v>
      </c>
      <c r="O180">
        <v>0.0086032</v>
      </c>
      <c r="P180" s="6">
        <f t="shared" si="25"/>
        <v>1.18103031430166</v>
      </c>
      <c r="Q180" s="4">
        <f t="shared" si="26"/>
        <v>0.751417117203672</v>
      </c>
      <c r="T180">
        <v>14.204</v>
      </c>
      <c r="U180" s="7">
        <f t="shared" si="27"/>
        <v>0.715336524922557</v>
      </c>
      <c r="V180">
        <f t="shared" si="28"/>
        <v>1.2405998620003</v>
      </c>
      <c r="Y180">
        <v>0.02958606</v>
      </c>
      <c r="Z180" s="8">
        <v>0.206055960137984</v>
      </c>
      <c r="AA180">
        <f t="shared" si="29"/>
        <v>4.30682225114199</v>
      </c>
      <c r="AD180" s="9">
        <v>0.884502</v>
      </c>
      <c r="AE180">
        <f t="shared" si="30"/>
        <v>1.00332887218197</v>
      </c>
      <c r="AH180">
        <v>22.1449</v>
      </c>
      <c r="AI180" s="10">
        <f t="shared" si="31"/>
        <v>0.458825282570705</v>
      </c>
      <c r="AJ180">
        <f t="shared" si="32"/>
        <v>1.93417064798721</v>
      </c>
    </row>
    <row r="181" spans="1:36">
      <c r="A181" s="1" t="s">
        <v>201</v>
      </c>
      <c r="B181" s="1">
        <v>10200858</v>
      </c>
      <c r="C181" s="2">
        <v>0.0058651</v>
      </c>
      <c r="E181">
        <v>2.361811</v>
      </c>
      <c r="F181">
        <v>4319.083538</v>
      </c>
      <c r="G181" s="3">
        <f t="shared" si="22"/>
        <v>4.319083538</v>
      </c>
      <c r="I181" t="s">
        <v>201</v>
      </c>
      <c r="J181">
        <v>1.22282</v>
      </c>
      <c r="K181" s="5">
        <f t="shared" si="23"/>
        <v>8.34207651166975</v>
      </c>
      <c r="L181">
        <f t="shared" si="24"/>
        <v>1.93144597419216</v>
      </c>
      <c r="O181">
        <v>0.002368</v>
      </c>
      <c r="P181" s="6">
        <f t="shared" si="25"/>
        <v>4.30779476351351</v>
      </c>
      <c r="Q181" s="4">
        <f t="shared" si="26"/>
        <v>1.93650741728137</v>
      </c>
      <c r="T181">
        <v>6.152</v>
      </c>
      <c r="U181" s="7">
        <f t="shared" si="27"/>
        <v>1.65813686605982</v>
      </c>
      <c r="V181">
        <f t="shared" si="28"/>
        <v>5.03099393205868</v>
      </c>
      <c r="Y181">
        <v>0.006740028</v>
      </c>
      <c r="Z181" s="8">
        <v>0.908084476800393</v>
      </c>
      <c r="AA181">
        <f t="shared" si="29"/>
        <v>9.18645426146121</v>
      </c>
      <c r="AD181" s="9">
        <v>2.230428</v>
      </c>
      <c r="AE181">
        <f t="shared" si="30"/>
        <v>3.74012364966264</v>
      </c>
      <c r="AH181">
        <v>2.0818</v>
      </c>
      <c r="AI181" s="10">
        <f t="shared" si="31"/>
        <v>4.90001825343453</v>
      </c>
      <c r="AJ181">
        <f t="shared" si="32"/>
        <v>1.70245825223663</v>
      </c>
    </row>
    <row r="182" spans="1:36">
      <c r="A182" s="1" t="s">
        <v>202</v>
      </c>
      <c r="B182" s="1">
        <v>10200858</v>
      </c>
      <c r="C182" s="2">
        <v>0.00808436</v>
      </c>
      <c r="E182">
        <v>2.392818</v>
      </c>
      <c r="F182">
        <v>4263.114687</v>
      </c>
      <c r="G182" s="3">
        <f t="shared" si="22"/>
        <v>4.263114687</v>
      </c>
      <c r="I182" t="s">
        <v>202</v>
      </c>
      <c r="J182">
        <v>3.20763</v>
      </c>
      <c r="K182" s="5">
        <f t="shared" si="23"/>
        <v>3.1801853705072</v>
      </c>
      <c r="L182">
        <f t="shared" si="24"/>
        <v>0.745976968483841</v>
      </c>
      <c r="O182">
        <v>0.0016336</v>
      </c>
      <c r="P182" s="6">
        <f t="shared" si="25"/>
        <v>6.24440377081293</v>
      </c>
      <c r="Q182" s="4">
        <f t="shared" si="26"/>
        <v>0.509285671975883</v>
      </c>
      <c r="T182">
        <v>6.105</v>
      </c>
      <c r="U182" s="7">
        <f t="shared" si="27"/>
        <v>1.67090221130221</v>
      </c>
      <c r="V182">
        <f t="shared" si="28"/>
        <v>1.90327438014983</v>
      </c>
      <c r="Y182">
        <v>0.006801552</v>
      </c>
      <c r="Z182" s="8">
        <v>0.899870323714352</v>
      </c>
      <c r="AA182">
        <f t="shared" si="29"/>
        <v>3.53404850310042</v>
      </c>
      <c r="AD182" s="9">
        <v>2.340966</v>
      </c>
      <c r="AE182">
        <f t="shared" si="30"/>
        <v>1.35849276346055</v>
      </c>
      <c r="AH182">
        <v>2.0812</v>
      </c>
      <c r="AI182" s="10">
        <f t="shared" si="31"/>
        <v>4.90143090524697</v>
      </c>
      <c r="AJ182">
        <f t="shared" si="32"/>
        <v>0.648827950854681</v>
      </c>
    </row>
    <row r="183" spans="1:36">
      <c r="A183" s="1" t="s">
        <v>204</v>
      </c>
      <c r="B183" s="1">
        <v>10215038</v>
      </c>
      <c r="C183" s="2">
        <v>0.00735474</v>
      </c>
      <c r="E183">
        <v>2.219989</v>
      </c>
      <c r="F183">
        <v>4601.391245</v>
      </c>
      <c r="G183" s="3">
        <f t="shared" si="22"/>
        <v>4.601391245</v>
      </c>
      <c r="I183" t="s">
        <v>204</v>
      </c>
      <c r="J183">
        <v>1.30281</v>
      </c>
      <c r="K183" s="5">
        <f t="shared" si="23"/>
        <v>7.84077340517804</v>
      </c>
      <c r="L183">
        <f t="shared" si="24"/>
        <v>1.70400059192924</v>
      </c>
      <c r="O183">
        <v>0.0017968</v>
      </c>
      <c r="P183" s="6">
        <f t="shared" si="25"/>
        <v>5.68512800534283</v>
      </c>
      <c r="Q183" s="4">
        <f t="shared" si="26"/>
        <v>1.37917271129328</v>
      </c>
      <c r="T183">
        <v>6.19</v>
      </c>
      <c r="U183" s="7">
        <f t="shared" si="27"/>
        <v>1.65024846526656</v>
      </c>
      <c r="V183">
        <f t="shared" si="28"/>
        <v>4.75126841212456</v>
      </c>
      <c r="Y183">
        <v>0.0067509</v>
      </c>
      <c r="Z183" s="8">
        <v>0.907882326800871</v>
      </c>
      <c r="AA183">
        <f t="shared" si="29"/>
        <v>8.6363322357059</v>
      </c>
      <c r="AD183" s="9">
        <v>2.330175</v>
      </c>
      <c r="AE183">
        <f t="shared" si="30"/>
        <v>3.36488607301084</v>
      </c>
      <c r="AH183">
        <v>2.0385</v>
      </c>
      <c r="AI183" s="10">
        <f t="shared" si="31"/>
        <v>5.01105616875153</v>
      </c>
      <c r="AJ183">
        <f t="shared" si="32"/>
        <v>1.56469477513989</v>
      </c>
    </row>
    <row r="184" spans="1:36">
      <c r="A184" s="1" t="s">
        <v>203</v>
      </c>
      <c r="B184" s="1">
        <v>10215038</v>
      </c>
      <c r="C184" s="2">
        <v>0.00540906</v>
      </c>
      <c r="E184">
        <v>3.875724</v>
      </c>
      <c r="F184">
        <v>2635.646672</v>
      </c>
      <c r="G184" s="3">
        <f t="shared" si="22"/>
        <v>2.635646672</v>
      </c>
      <c r="I184" t="s">
        <v>203</v>
      </c>
      <c r="J184">
        <v>1.30592</v>
      </c>
      <c r="K184" s="5">
        <f t="shared" si="23"/>
        <v>7.82210089438863</v>
      </c>
      <c r="L184">
        <f t="shared" si="24"/>
        <v>2.96781088963378</v>
      </c>
      <c r="O184">
        <v>0.0015936</v>
      </c>
      <c r="P184" s="6">
        <f t="shared" si="25"/>
        <v>6.41003890562249</v>
      </c>
      <c r="Q184" s="4">
        <f t="shared" si="26"/>
        <v>1.22028914481745</v>
      </c>
      <c r="T184">
        <v>6.186</v>
      </c>
      <c r="U184" s="7">
        <f t="shared" si="27"/>
        <v>1.65131555124475</v>
      </c>
      <c r="V184">
        <f t="shared" si="28"/>
        <v>4.73689046802254</v>
      </c>
      <c r="Y184">
        <v>0.00682362</v>
      </c>
      <c r="Z184" s="8">
        <v>0.898206934149323</v>
      </c>
      <c r="AA184">
        <f t="shared" si="29"/>
        <v>8.70857326635628</v>
      </c>
      <c r="AD184" s="9">
        <v>2.410701</v>
      </c>
      <c r="AE184">
        <f t="shared" si="30"/>
        <v>3.24474121609799</v>
      </c>
      <c r="AH184">
        <v>2.0771</v>
      </c>
      <c r="AI184" s="10">
        <f t="shared" si="31"/>
        <v>4.91793269462231</v>
      </c>
      <c r="AJ184">
        <f t="shared" si="32"/>
        <v>1.59052621906395</v>
      </c>
    </row>
    <row r="185" spans="1:36">
      <c r="A185" s="1" t="s">
        <v>205</v>
      </c>
      <c r="B185" s="1">
        <v>10240864</v>
      </c>
      <c r="C185" s="2">
        <v>0</v>
      </c>
      <c r="E185">
        <v>9.714484</v>
      </c>
      <c r="F185">
        <v>1054.185123</v>
      </c>
      <c r="G185" s="3">
        <f t="shared" si="22"/>
        <v>1.054185123</v>
      </c>
      <c r="I185" t="s">
        <v>205</v>
      </c>
      <c r="J185">
        <v>6.6114</v>
      </c>
      <c r="K185" s="5">
        <f t="shared" si="23"/>
        <v>1.54897056599207</v>
      </c>
      <c r="L185">
        <f t="shared" si="24"/>
        <v>1.46935346761868</v>
      </c>
      <c r="O185">
        <v>0.0123088</v>
      </c>
      <c r="P185" s="6">
        <f t="shared" si="25"/>
        <v>0.831995320421162</v>
      </c>
      <c r="Q185" s="4">
        <f t="shared" si="26"/>
        <v>1.86175394016396</v>
      </c>
      <c r="T185">
        <v>18.667</v>
      </c>
      <c r="U185" s="7">
        <f t="shared" si="27"/>
        <v>0.548607917715755</v>
      </c>
      <c r="V185">
        <f t="shared" si="28"/>
        <v>2.82345645400369</v>
      </c>
      <c r="Y185">
        <v>0.007131384</v>
      </c>
      <c r="Z185" s="8">
        <v>0.861616538949522</v>
      </c>
      <c r="AA185">
        <f t="shared" si="29"/>
        <v>1.79774934204556</v>
      </c>
      <c r="AD185" s="9">
        <v>0.745503</v>
      </c>
      <c r="AE185">
        <f t="shared" si="30"/>
        <v>2.07775229072462</v>
      </c>
      <c r="AH185">
        <v>11.8958</v>
      </c>
      <c r="AI185" s="10">
        <f t="shared" si="31"/>
        <v>0.860880646951025</v>
      </c>
      <c r="AJ185">
        <f t="shared" si="32"/>
        <v>1.7992860816166</v>
      </c>
    </row>
    <row r="186" spans="1:36">
      <c r="A186" s="1" t="s">
        <v>206</v>
      </c>
      <c r="B186" s="1">
        <v>10265412</v>
      </c>
      <c r="C186" s="2">
        <v>0</v>
      </c>
      <c r="E186">
        <v>4.918356</v>
      </c>
      <c r="F186">
        <v>2087.163358</v>
      </c>
      <c r="G186" s="3">
        <f t="shared" si="22"/>
        <v>2.087163358</v>
      </c>
      <c r="I186" t="s">
        <v>206</v>
      </c>
      <c r="J186">
        <v>4.74052</v>
      </c>
      <c r="K186" s="5">
        <f t="shared" si="23"/>
        <v>2.16546117303587</v>
      </c>
      <c r="L186">
        <f t="shared" si="24"/>
        <v>1.03751398506291</v>
      </c>
      <c r="O186">
        <v>0.0055264</v>
      </c>
      <c r="P186" s="6">
        <f t="shared" si="25"/>
        <v>1.85752243775333</v>
      </c>
      <c r="Q186" s="4">
        <f t="shared" si="26"/>
        <v>1.1657792815978</v>
      </c>
      <c r="T186">
        <v>17.169</v>
      </c>
      <c r="U186" s="7">
        <f t="shared" si="27"/>
        <v>0.597903896557749</v>
      </c>
      <c r="V186">
        <f t="shared" si="28"/>
        <v>3.62175457544742</v>
      </c>
      <c r="Y186">
        <v>0.006044634</v>
      </c>
      <c r="Z186" s="8">
        <v>1.01896114801988</v>
      </c>
      <c r="AA186">
        <f t="shared" si="29"/>
        <v>2.12516559364795</v>
      </c>
      <c r="AD186" s="9">
        <v>1.332687</v>
      </c>
      <c r="AE186">
        <f t="shared" si="30"/>
        <v>1.62488354207392</v>
      </c>
      <c r="AH186">
        <v>5.5617</v>
      </c>
      <c r="AI186" s="10">
        <f t="shared" si="31"/>
        <v>1.84573277954582</v>
      </c>
      <c r="AJ186">
        <f t="shared" si="32"/>
        <v>1.17322572207268</v>
      </c>
    </row>
    <row r="187" spans="1:36">
      <c r="A187" s="1" t="s">
        <v>207</v>
      </c>
      <c r="B187" s="1">
        <v>10316460</v>
      </c>
      <c r="C187" s="2">
        <v>0</v>
      </c>
      <c r="E187">
        <v>1.917101</v>
      </c>
      <c r="F187">
        <v>5381.28077</v>
      </c>
      <c r="G187" s="3">
        <f t="shared" si="22"/>
        <v>5.38128077</v>
      </c>
      <c r="I187" t="s">
        <v>207</v>
      </c>
      <c r="J187">
        <v>1.05512</v>
      </c>
      <c r="K187" s="5">
        <f t="shared" si="23"/>
        <v>9.77752293577982</v>
      </c>
      <c r="L187">
        <f t="shared" si="24"/>
        <v>1.81695089954948</v>
      </c>
      <c r="O187">
        <v>0.0022608</v>
      </c>
      <c r="P187" s="6">
        <f t="shared" si="25"/>
        <v>4.56319002123142</v>
      </c>
      <c r="Q187" s="4">
        <f t="shared" si="26"/>
        <v>2.14269466980059</v>
      </c>
      <c r="T187">
        <v>9.449</v>
      </c>
      <c r="U187" s="7">
        <f t="shared" si="27"/>
        <v>1.09180442374854</v>
      </c>
      <c r="V187">
        <f t="shared" si="28"/>
        <v>8.95537948290242</v>
      </c>
      <c r="Y187">
        <v>0.013867686</v>
      </c>
      <c r="Z187" s="8">
        <v>0.446352477262609</v>
      </c>
      <c r="AA187">
        <f t="shared" si="29"/>
        <v>21.9053851694594</v>
      </c>
      <c r="AD187" s="9">
        <v>1.610796</v>
      </c>
      <c r="AE187">
        <f t="shared" si="30"/>
        <v>6.0699945466588</v>
      </c>
      <c r="AH187">
        <v>2.5616</v>
      </c>
      <c r="AI187" s="10">
        <f t="shared" si="31"/>
        <v>4.02735009369144</v>
      </c>
      <c r="AJ187">
        <f t="shared" si="32"/>
        <v>2.42778072636288</v>
      </c>
    </row>
    <row r="188" spans="1:36">
      <c r="A188" s="1" t="s">
        <v>208</v>
      </c>
      <c r="B188" s="1">
        <v>10353012</v>
      </c>
      <c r="C188" s="2">
        <v>0</v>
      </c>
      <c r="E188">
        <v>8.855499</v>
      </c>
      <c r="F188">
        <v>1169.105443</v>
      </c>
      <c r="G188" s="3">
        <f t="shared" si="22"/>
        <v>1.169105443</v>
      </c>
      <c r="I188" t="s">
        <v>208</v>
      </c>
      <c r="J188">
        <v>9.41709</v>
      </c>
      <c r="K188" s="5">
        <f t="shared" si="23"/>
        <v>1.09938547895369</v>
      </c>
      <c r="L188">
        <f t="shared" si="24"/>
        <v>0.9403646912571</v>
      </c>
      <c r="O188">
        <v>0.0083712</v>
      </c>
      <c r="P188" s="6">
        <f t="shared" si="25"/>
        <v>1.23674168577982</v>
      </c>
      <c r="Q188" s="4">
        <f t="shared" si="26"/>
        <v>0.888937028317665</v>
      </c>
      <c r="T188">
        <v>18.407</v>
      </c>
      <c r="U188" s="7">
        <f t="shared" si="27"/>
        <v>0.562449720215136</v>
      </c>
      <c r="V188">
        <f t="shared" si="28"/>
        <v>1.95463779150459</v>
      </c>
      <c r="Y188">
        <v>0.007617906</v>
      </c>
      <c r="Z188" s="8">
        <v>0.815421875775312</v>
      </c>
      <c r="AA188">
        <f t="shared" si="29"/>
        <v>1.34824133569924</v>
      </c>
      <c r="AD188" s="9">
        <v>0.859761</v>
      </c>
      <c r="AE188">
        <f t="shared" si="30"/>
        <v>1.27871057067451</v>
      </c>
      <c r="AH188">
        <v>9.8142</v>
      </c>
      <c r="AI188" s="10">
        <f t="shared" si="31"/>
        <v>1.05490126551324</v>
      </c>
      <c r="AJ188">
        <f t="shared" si="32"/>
        <v>1.04216907770872</v>
      </c>
    </row>
    <row r="189" spans="1:36">
      <c r="A189" s="1" t="s">
        <v>209</v>
      </c>
      <c r="B189" s="1">
        <v>10437072</v>
      </c>
      <c r="C189" s="2">
        <v>0.0769709</v>
      </c>
      <c r="E189">
        <v>5.026337</v>
      </c>
      <c r="F189">
        <v>2076.476808</v>
      </c>
      <c r="G189" s="3">
        <f t="shared" si="22"/>
        <v>2.076476808</v>
      </c>
      <c r="I189" t="s">
        <v>209</v>
      </c>
      <c r="J189">
        <v>7.66554</v>
      </c>
      <c r="K189" s="5">
        <f t="shared" si="23"/>
        <v>1.36155730711731</v>
      </c>
      <c r="L189">
        <f t="shared" si="24"/>
        <v>0.655705520943775</v>
      </c>
      <c r="O189">
        <v>0.0043008</v>
      </c>
      <c r="P189" s="6">
        <f t="shared" si="25"/>
        <v>2.42677455357143</v>
      </c>
      <c r="Q189" s="4">
        <f t="shared" si="26"/>
        <v>0.561056363935222</v>
      </c>
      <c r="T189">
        <v>22.015</v>
      </c>
      <c r="U189" s="7">
        <f t="shared" si="27"/>
        <v>0.474089121053827</v>
      </c>
      <c r="V189">
        <f t="shared" si="28"/>
        <v>2.87194379000044</v>
      </c>
      <c r="Y189">
        <v>0.007376274</v>
      </c>
      <c r="Z189" s="8">
        <v>0.848971065879603</v>
      </c>
      <c r="AA189">
        <f t="shared" si="29"/>
        <v>1.6037735110638</v>
      </c>
      <c r="AD189" s="9">
        <v>1.031442</v>
      </c>
      <c r="AE189">
        <f t="shared" si="30"/>
        <v>1.32005222505706</v>
      </c>
      <c r="AH189">
        <v>7.2223</v>
      </c>
      <c r="AI189" s="10">
        <f t="shared" si="31"/>
        <v>1.44511748335018</v>
      </c>
      <c r="AJ189">
        <f t="shared" si="32"/>
        <v>0.942177589576207</v>
      </c>
    </row>
    <row r="190" spans="1:36">
      <c r="A190" s="1" t="s">
        <v>210</v>
      </c>
      <c r="B190" s="1">
        <v>10478038</v>
      </c>
      <c r="C190" s="2">
        <v>0.475619</v>
      </c>
      <c r="E190">
        <v>9.858973</v>
      </c>
      <c r="F190">
        <v>1062.792037</v>
      </c>
      <c r="G190" s="3">
        <f t="shared" si="22"/>
        <v>1.062792037</v>
      </c>
      <c r="I190" t="s">
        <v>210</v>
      </c>
      <c r="J190">
        <v>10.2874</v>
      </c>
      <c r="K190" s="5">
        <f t="shared" si="23"/>
        <v>1.0185312129401</v>
      </c>
      <c r="L190">
        <f t="shared" si="24"/>
        <v>0.958354200521829</v>
      </c>
      <c r="O190">
        <v>0.005512</v>
      </c>
      <c r="P190" s="6">
        <f t="shared" si="25"/>
        <v>1.90095029027576</v>
      </c>
      <c r="Q190" s="4">
        <f t="shared" si="26"/>
        <v>0.535801077045706</v>
      </c>
      <c r="T190">
        <v>10.053</v>
      </c>
      <c r="U190" s="7">
        <f t="shared" si="27"/>
        <v>1.04227971749726</v>
      </c>
      <c r="V190">
        <f t="shared" si="28"/>
        <v>0.977214845344791</v>
      </c>
      <c r="Y190">
        <v>0.01871622</v>
      </c>
      <c r="Z190" s="8">
        <v>0.335902377723707</v>
      </c>
      <c r="AA190">
        <f t="shared" si="29"/>
        <v>3.03222388552987</v>
      </c>
      <c r="AD190" s="9">
        <v>1.240392</v>
      </c>
      <c r="AE190">
        <f t="shared" si="30"/>
        <v>0.821136554363541</v>
      </c>
      <c r="AH190">
        <v>12.2813</v>
      </c>
      <c r="AI190" s="10">
        <f t="shared" si="31"/>
        <v>0.85317010414207</v>
      </c>
      <c r="AJ190">
        <f t="shared" si="32"/>
        <v>1.19381962400607</v>
      </c>
    </row>
    <row r="191" spans="1:36">
      <c r="A191" s="1" t="s">
        <v>218</v>
      </c>
      <c r="B191" s="1">
        <v>10532754</v>
      </c>
      <c r="C191" s="2">
        <v>0.965479</v>
      </c>
      <c r="E191">
        <v>1.280385</v>
      </c>
      <c r="F191">
        <v>8226.242907</v>
      </c>
      <c r="G191" s="3">
        <f t="shared" si="22"/>
        <v>8.226242907</v>
      </c>
      <c r="I191" t="s">
        <v>218</v>
      </c>
      <c r="J191">
        <v>1.49156</v>
      </c>
      <c r="K191" s="5">
        <f t="shared" si="23"/>
        <v>7.0615690954437</v>
      </c>
      <c r="L191">
        <f t="shared" si="24"/>
        <v>0.858419715449292</v>
      </c>
      <c r="O191">
        <v>0.0010816</v>
      </c>
      <c r="P191" s="6">
        <f t="shared" si="25"/>
        <v>9.73812315088757</v>
      </c>
      <c r="Q191" s="4">
        <f t="shared" si="26"/>
        <v>0.725146826141758</v>
      </c>
      <c r="T191">
        <v>12.902</v>
      </c>
      <c r="U191" s="7">
        <f t="shared" si="27"/>
        <v>0.816365989769028</v>
      </c>
      <c r="V191">
        <f t="shared" si="28"/>
        <v>8.65000402263402</v>
      </c>
      <c r="Y191">
        <v>0.00449982</v>
      </c>
      <c r="Z191" s="8">
        <v>1.40442337693508</v>
      </c>
      <c r="AA191">
        <f t="shared" si="29"/>
        <v>5.02809139424494</v>
      </c>
      <c r="AD191" s="9">
        <v>3.06534</v>
      </c>
      <c r="AE191">
        <f t="shared" si="30"/>
        <v>2.3036821675389</v>
      </c>
      <c r="AH191">
        <v>1.2626</v>
      </c>
      <c r="AI191" s="10">
        <f t="shared" si="31"/>
        <v>8.34211468398543</v>
      </c>
      <c r="AJ191">
        <f t="shared" si="32"/>
        <v>0.846496285767921</v>
      </c>
    </row>
    <row r="192" spans="1:36">
      <c r="A192" s="1" t="s">
        <v>217</v>
      </c>
      <c r="B192" s="1">
        <v>10532754</v>
      </c>
      <c r="C192" s="2">
        <v>0.976687</v>
      </c>
      <c r="E192">
        <v>1.756339</v>
      </c>
      <c r="F192">
        <v>5996.995309</v>
      </c>
      <c r="G192" s="3">
        <f t="shared" si="22"/>
        <v>5.996995309</v>
      </c>
      <c r="I192" t="s">
        <v>217</v>
      </c>
      <c r="J192">
        <v>0.667568</v>
      </c>
      <c r="K192" s="5">
        <f t="shared" si="23"/>
        <v>15.7777994151907</v>
      </c>
      <c r="L192">
        <f t="shared" si="24"/>
        <v>2.63095076821423</v>
      </c>
      <c r="O192">
        <v>0.0011088</v>
      </c>
      <c r="P192" s="6">
        <f t="shared" si="25"/>
        <v>9.49923701298701</v>
      </c>
      <c r="Q192" s="4">
        <f t="shared" si="26"/>
        <v>1.66095438966517</v>
      </c>
      <c r="T192">
        <v>12.719</v>
      </c>
      <c r="U192" s="7">
        <f t="shared" si="27"/>
        <v>0.828111801242236</v>
      </c>
      <c r="V192">
        <f t="shared" si="28"/>
        <v>19.0527406945809</v>
      </c>
      <c r="Y192">
        <v>0.004561182</v>
      </c>
      <c r="Z192" s="8">
        <v>1.38552954036914</v>
      </c>
      <c r="AA192">
        <f t="shared" si="29"/>
        <v>11.3875590202047</v>
      </c>
      <c r="AD192" s="9">
        <v>2.992752</v>
      </c>
      <c r="AE192">
        <f t="shared" si="30"/>
        <v>5.27200363250636</v>
      </c>
      <c r="AH192">
        <v>1.2659</v>
      </c>
      <c r="AI192" s="10">
        <f t="shared" si="31"/>
        <v>8.32036811754483</v>
      </c>
      <c r="AJ192">
        <f t="shared" si="32"/>
        <v>1.89628622102917</v>
      </c>
    </row>
    <row r="193" spans="1:36">
      <c r="A193" s="1" t="s">
        <v>221</v>
      </c>
      <c r="B193" s="1">
        <v>10532754</v>
      </c>
      <c r="C193" s="2">
        <v>0.97417</v>
      </c>
      <c r="E193">
        <v>1.296665</v>
      </c>
      <c r="F193">
        <v>8122.958238</v>
      </c>
      <c r="G193" s="3">
        <f t="shared" si="22"/>
        <v>8.122958238</v>
      </c>
      <c r="I193" t="s">
        <v>221</v>
      </c>
      <c r="J193">
        <v>0.666959</v>
      </c>
      <c r="K193" s="5">
        <f t="shared" si="23"/>
        <v>15.7922061176174</v>
      </c>
      <c r="L193">
        <f t="shared" si="24"/>
        <v>1.94414468902966</v>
      </c>
      <c r="O193">
        <v>0.0010768</v>
      </c>
      <c r="P193" s="6">
        <f t="shared" si="25"/>
        <v>9.7815323179792</v>
      </c>
      <c r="Q193" s="4">
        <f t="shared" si="26"/>
        <v>1.61449204523816</v>
      </c>
      <c r="T193">
        <v>12.775</v>
      </c>
      <c r="U193" s="7">
        <f t="shared" si="27"/>
        <v>0.824481722113503</v>
      </c>
      <c r="V193">
        <f t="shared" si="28"/>
        <v>19.1541009267436</v>
      </c>
      <c r="Y193">
        <v>0.004590162</v>
      </c>
      <c r="Z193" s="8">
        <v>1.37678199592956</v>
      </c>
      <c r="AA193">
        <f t="shared" si="29"/>
        <v>11.470375240457</v>
      </c>
      <c r="AD193" s="9">
        <v>3.12762</v>
      </c>
      <c r="AE193">
        <f t="shared" si="30"/>
        <v>5.04927264744995</v>
      </c>
      <c r="AH193">
        <v>1.2521</v>
      </c>
      <c r="AI193" s="10">
        <f t="shared" si="31"/>
        <v>8.41207092085297</v>
      </c>
      <c r="AJ193">
        <f t="shared" si="32"/>
        <v>1.87732679220162</v>
      </c>
    </row>
    <row r="194" spans="1:36">
      <c r="A194" s="1" t="s">
        <v>219</v>
      </c>
      <c r="B194" s="1">
        <v>10532754</v>
      </c>
      <c r="C194" s="2">
        <v>0.965479</v>
      </c>
      <c r="E194">
        <v>1.300467</v>
      </c>
      <c r="F194">
        <v>8099.210912</v>
      </c>
      <c r="G194" s="3">
        <f t="shared" ref="G194:G257" si="33">F194/1000</f>
        <v>8.099210912</v>
      </c>
      <c r="I194" t="s">
        <v>219</v>
      </c>
      <c r="J194">
        <v>0.636571</v>
      </c>
      <c r="K194" s="5">
        <f t="shared" ref="K194:K257" si="34">B194/J194/1000000</f>
        <v>16.5460789134284</v>
      </c>
      <c r="L194">
        <f t="shared" ref="L194:L257" si="35">K194/G194</f>
        <v>2.04292480998529</v>
      </c>
      <c r="O194">
        <v>0.0010896</v>
      </c>
      <c r="P194" s="6">
        <f t="shared" ref="P194:P257" si="36">B194/O194/1000000000</f>
        <v>9.66662444933921</v>
      </c>
      <c r="Q194" s="4">
        <f t="shared" ref="Q194:Q257" si="37">K194/P194</f>
        <v>1.7116708112685</v>
      </c>
      <c r="T194">
        <v>12.746</v>
      </c>
      <c r="U194" s="7">
        <f t="shared" ref="U194:U257" si="38">B194/T194/1000000</f>
        <v>0.826357602385062</v>
      </c>
      <c r="V194">
        <f t="shared" ref="V194:V257" si="39">K194/U194</f>
        <v>20.0229039651508</v>
      </c>
      <c r="Y194">
        <v>0.004597218</v>
      </c>
      <c r="Z194" s="8">
        <v>1.37466885407653</v>
      </c>
      <c r="AA194">
        <f t="shared" ref="AA194:AA257" si="40">K194/Z194</f>
        <v>12.0364107067397</v>
      </c>
      <c r="AD194" s="9">
        <v>3.10194</v>
      </c>
      <c r="AE194">
        <f t="shared" ref="AE194:AE257" si="41">K194/AD194</f>
        <v>5.33410669240164</v>
      </c>
      <c r="AH194">
        <v>1.2493</v>
      </c>
      <c r="AI194" s="10">
        <f t="shared" ref="AI194:AI257" si="42">B194/AH194/1000000</f>
        <v>8.43092451772993</v>
      </c>
      <c r="AJ194">
        <f t="shared" ref="AJ194:AJ257" si="43">K194/AI194</f>
        <v>1.96254620458676</v>
      </c>
    </row>
    <row r="195" spans="1:36">
      <c r="A195" s="1" t="s">
        <v>220</v>
      </c>
      <c r="B195" s="1">
        <v>10532754</v>
      </c>
      <c r="C195" s="2">
        <v>0.976687</v>
      </c>
      <c r="E195">
        <v>1.286962</v>
      </c>
      <c r="F195">
        <v>8184.201171</v>
      </c>
      <c r="G195" s="3">
        <f t="shared" si="33"/>
        <v>8.184201171</v>
      </c>
      <c r="I195" t="s">
        <v>220</v>
      </c>
      <c r="J195">
        <v>0.687736</v>
      </c>
      <c r="K195" s="5">
        <f t="shared" si="34"/>
        <v>15.3151121942141</v>
      </c>
      <c r="L195">
        <f t="shared" si="35"/>
        <v>1.87130202132394</v>
      </c>
      <c r="O195">
        <v>0.0010864</v>
      </c>
      <c r="P195" s="6">
        <f t="shared" si="36"/>
        <v>9.69509756995582</v>
      </c>
      <c r="Q195" s="4">
        <f t="shared" si="37"/>
        <v>1.57967592215618</v>
      </c>
      <c r="T195">
        <v>12.724</v>
      </c>
      <c r="U195" s="7">
        <f t="shared" si="38"/>
        <v>0.827786387928324</v>
      </c>
      <c r="V195">
        <f t="shared" si="39"/>
        <v>18.501285376947</v>
      </c>
      <c r="Y195">
        <v>0.004656168</v>
      </c>
      <c r="Z195" s="8">
        <v>1.35726468632575</v>
      </c>
      <c r="AA195">
        <f t="shared" si="40"/>
        <v>11.2838065769423</v>
      </c>
      <c r="AD195" s="9">
        <v>3.11106</v>
      </c>
      <c r="AE195">
        <f t="shared" si="41"/>
        <v>4.92279550835216</v>
      </c>
      <c r="AH195">
        <v>1.2516</v>
      </c>
      <c r="AI195" s="10">
        <f t="shared" si="42"/>
        <v>8.41543144774688</v>
      </c>
      <c r="AJ195">
        <f t="shared" si="43"/>
        <v>1.81988437423663</v>
      </c>
    </row>
    <row r="196" spans="1:36">
      <c r="A196" s="1" t="s">
        <v>214</v>
      </c>
      <c r="B196" s="1">
        <v>10532754</v>
      </c>
      <c r="C196" s="2">
        <v>0.917254</v>
      </c>
      <c r="E196">
        <v>1.29686</v>
      </c>
      <c r="F196">
        <v>8121.737891</v>
      </c>
      <c r="G196" s="3">
        <f t="shared" si="33"/>
        <v>8.121737891</v>
      </c>
      <c r="I196" t="s">
        <v>214</v>
      </c>
      <c r="J196">
        <v>0.686179</v>
      </c>
      <c r="K196" s="5">
        <f t="shared" si="34"/>
        <v>15.3498635195773</v>
      </c>
      <c r="L196">
        <f t="shared" si="35"/>
        <v>1.88997277745038</v>
      </c>
      <c r="O196">
        <v>0.0011056</v>
      </c>
      <c r="P196" s="6">
        <f t="shared" si="36"/>
        <v>9.52673118668596</v>
      </c>
      <c r="Q196" s="4">
        <f t="shared" si="37"/>
        <v>1.611241381622</v>
      </c>
      <c r="T196">
        <v>14.492</v>
      </c>
      <c r="U196" s="7">
        <f t="shared" si="38"/>
        <v>0.726797819486613</v>
      </c>
      <c r="V196">
        <f t="shared" si="39"/>
        <v>21.1198535659063</v>
      </c>
      <c r="Y196">
        <v>0.00477189</v>
      </c>
      <c r="Z196" s="8">
        <v>1.32434997453839</v>
      </c>
      <c r="AA196">
        <f t="shared" si="40"/>
        <v>11.590488779167</v>
      </c>
      <c r="AD196" s="9">
        <v>3.02742</v>
      </c>
      <c r="AE196">
        <f t="shared" si="41"/>
        <v>5.07027882473435</v>
      </c>
      <c r="AH196">
        <v>1.2605</v>
      </c>
      <c r="AI196" s="10">
        <f t="shared" si="42"/>
        <v>8.35601269337564</v>
      </c>
      <c r="AJ196">
        <f t="shared" si="43"/>
        <v>1.83698422714773</v>
      </c>
    </row>
    <row r="197" spans="1:36">
      <c r="A197" s="1" t="s">
        <v>211</v>
      </c>
      <c r="B197" s="1">
        <v>10532754</v>
      </c>
      <c r="C197" s="2">
        <v>0.915044</v>
      </c>
      <c r="E197">
        <v>1.356136</v>
      </c>
      <c r="F197">
        <v>7766.740293</v>
      </c>
      <c r="G197" s="3">
        <f t="shared" si="33"/>
        <v>7.766740293</v>
      </c>
      <c r="I197" t="s">
        <v>211</v>
      </c>
      <c r="J197">
        <v>0.644862</v>
      </c>
      <c r="K197" s="5">
        <f t="shared" si="34"/>
        <v>16.3333457390884</v>
      </c>
      <c r="L197">
        <f t="shared" si="35"/>
        <v>2.10298595329745</v>
      </c>
      <c r="O197">
        <v>0.0010976</v>
      </c>
      <c r="P197" s="6">
        <f t="shared" si="36"/>
        <v>9.59616800291545</v>
      </c>
      <c r="Q197" s="4">
        <f t="shared" si="37"/>
        <v>1.70206959008284</v>
      </c>
      <c r="T197">
        <v>14.663</v>
      </c>
      <c r="U197" s="7">
        <f t="shared" si="38"/>
        <v>0.718321898656482</v>
      </c>
      <c r="V197">
        <f t="shared" si="39"/>
        <v>22.7381982501682</v>
      </c>
      <c r="Y197">
        <v>0.00480393</v>
      </c>
      <c r="Z197" s="8">
        <v>1.3155171703168</v>
      </c>
      <c r="AA197">
        <f t="shared" si="40"/>
        <v>12.4159122416889</v>
      </c>
      <c r="AD197" s="9">
        <v>3.06762</v>
      </c>
      <c r="AE197">
        <f t="shared" si="41"/>
        <v>5.32443579683545</v>
      </c>
      <c r="AH197">
        <v>1.2596</v>
      </c>
      <c r="AI197" s="10">
        <f t="shared" si="42"/>
        <v>8.36198316926008</v>
      </c>
      <c r="AJ197">
        <f t="shared" si="43"/>
        <v>1.95328612943545</v>
      </c>
    </row>
    <row r="198" spans="1:36">
      <c r="A198" s="1" t="s">
        <v>212</v>
      </c>
      <c r="B198" s="1">
        <v>10532754</v>
      </c>
      <c r="C198" s="2">
        <v>0.911765</v>
      </c>
      <c r="E198">
        <v>1.286116</v>
      </c>
      <c r="F198">
        <v>8189.582408</v>
      </c>
      <c r="G198" s="3">
        <f t="shared" si="33"/>
        <v>8.189582408</v>
      </c>
      <c r="I198" t="s">
        <v>212</v>
      </c>
      <c r="J198">
        <v>0.64012</v>
      </c>
      <c r="K198" s="5">
        <f t="shared" si="34"/>
        <v>16.4543429356996</v>
      </c>
      <c r="L198">
        <f t="shared" si="35"/>
        <v>2.00917972565074</v>
      </c>
      <c r="O198">
        <v>0.0010976</v>
      </c>
      <c r="P198" s="6">
        <f t="shared" si="36"/>
        <v>9.59616800291545</v>
      </c>
      <c r="Q198" s="4">
        <f t="shared" si="37"/>
        <v>1.71467849778167</v>
      </c>
      <c r="T198">
        <v>14.41</v>
      </c>
      <c r="U198" s="7">
        <f t="shared" si="38"/>
        <v>0.730933657182512</v>
      </c>
      <c r="V198">
        <f t="shared" si="39"/>
        <v>22.5114041117291</v>
      </c>
      <c r="Y198">
        <v>0.005056686</v>
      </c>
      <c r="Z198" s="8">
        <v>1.24976168186041</v>
      </c>
      <c r="AA198">
        <f t="shared" si="40"/>
        <v>13.1659845029057</v>
      </c>
      <c r="AD198" s="9">
        <v>3.05583</v>
      </c>
      <c r="AE198">
        <f t="shared" si="41"/>
        <v>5.38457405539561</v>
      </c>
      <c r="AH198">
        <v>1.3032</v>
      </c>
      <c r="AI198" s="10">
        <f t="shared" si="42"/>
        <v>8.08222375690608</v>
      </c>
      <c r="AJ198">
        <f t="shared" si="43"/>
        <v>2.03586827469849</v>
      </c>
    </row>
    <row r="199" spans="1:36">
      <c r="A199" s="1" t="s">
        <v>216</v>
      </c>
      <c r="B199" s="1">
        <v>10532754</v>
      </c>
      <c r="C199" s="2">
        <v>0.915044</v>
      </c>
      <c r="E199">
        <v>1.262987</v>
      </c>
      <c r="F199">
        <v>8339.56046</v>
      </c>
      <c r="G199" s="3">
        <f t="shared" si="33"/>
        <v>8.33956046</v>
      </c>
      <c r="I199" t="s">
        <v>216</v>
      </c>
      <c r="J199">
        <v>0.648505</v>
      </c>
      <c r="K199" s="5">
        <f t="shared" si="34"/>
        <v>16.2415925860248</v>
      </c>
      <c r="L199">
        <f t="shared" si="35"/>
        <v>1.9475358040662</v>
      </c>
      <c r="O199">
        <v>0.0011024</v>
      </c>
      <c r="P199" s="6">
        <f t="shared" si="36"/>
        <v>9.55438497822932</v>
      </c>
      <c r="Q199" s="4">
        <f t="shared" si="37"/>
        <v>1.6999097925228</v>
      </c>
      <c r="T199">
        <v>16.99</v>
      </c>
      <c r="U199" s="7">
        <f t="shared" si="38"/>
        <v>0.619938434373161</v>
      </c>
      <c r="V199">
        <f t="shared" si="39"/>
        <v>26.1987185912213</v>
      </c>
      <c r="Y199">
        <v>0.03259494</v>
      </c>
      <c r="Z199" s="8">
        <v>0.193884461821375</v>
      </c>
      <c r="AA199">
        <f t="shared" si="40"/>
        <v>83.7694389403319</v>
      </c>
      <c r="AD199" s="9">
        <v>3.11499</v>
      </c>
      <c r="AE199">
        <f t="shared" si="41"/>
        <v>5.21401114803732</v>
      </c>
      <c r="AH199">
        <v>1.2604</v>
      </c>
      <c r="AI199" s="10">
        <f t="shared" si="42"/>
        <v>8.35667565852111</v>
      </c>
      <c r="AJ199">
        <f t="shared" si="43"/>
        <v>1.94354708136406</v>
      </c>
    </row>
    <row r="200" spans="1:36">
      <c r="A200" s="1" t="s">
        <v>213</v>
      </c>
      <c r="B200" s="1">
        <v>10532754</v>
      </c>
      <c r="C200" s="2">
        <v>0.910555</v>
      </c>
      <c r="E200">
        <v>1.250212</v>
      </c>
      <c r="F200">
        <v>8424.771147</v>
      </c>
      <c r="G200" s="3">
        <f t="shared" si="33"/>
        <v>8.424771147</v>
      </c>
      <c r="I200" t="s">
        <v>213</v>
      </c>
      <c r="J200">
        <v>0.645351</v>
      </c>
      <c r="K200" s="5">
        <f t="shared" si="34"/>
        <v>16.320969518913</v>
      </c>
      <c r="L200">
        <f t="shared" si="35"/>
        <v>1.93725968743077</v>
      </c>
      <c r="O200">
        <v>0.0010992</v>
      </c>
      <c r="P200" s="6">
        <f t="shared" si="36"/>
        <v>9.58219978165939</v>
      </c>
      <c r="Q200" s="4">
        <f t="shared" si="37"/>
        <v>1.70325915664499</v>
      </c>
      <c r="T200">
        <v>14.381</v>
      </c>
      <c r="U200" s="7">
        <f t="shared" si="38"/>
        <v>0.732407621166817</v>
      </c>
      <c r="V200">
        <f t="shared" si="39"/>
        <v>22.2839973905673</v>
      </c>
      <c r="Y200">
        <v>0.03400398</v>
      </c>
      <c r="Z200" s="8">
        <v>0.185850373985633</v>
      </c>
      <c r="AA200">
        <f t="shared" si="40"/>
        <v>87.8177921782102</v>
      </c>
      <c r="AD200" s="9">
        <v>3.11427</v>
      </c>
      <c r="AE200">
        <f t="shared" si="41"/>
        <v>5.24070472981243</v>
      </c>
      <c r="AH200">
        <v>1.2543</v>
      </c>
      <c r="AI200" s="10">
        <f t="shared" si="42"/>
        <v>8.39731643147572</v>
      </c>
      <c r="AJ200">
        <f t="shared" si="43"/>
        <v>1.94359348633534</v>
      </c>
    </row>
    <row r="201" spans="1:36">
      <c r="A201" s="1" t="s">
        <v>215</v>
      </c>
      <c r="B201" s="1">
        <v>10532754</v>
      </c>
      <c r="C201" s="2">
        <v>0.912966</v>
      </c>
      <c r="E201">
        <v>1.801582</v>
      </c>
      <c r="F201">
        <v>5846.390289</v>
      </c>
      <c r="G201" s="3">
        <f t="shared" si="33"/>
        <v>5.846390289</v>
      </c>
      <c r="I201" t="s">
        <v>215</v>
      </c>
      <c r="J201">
        <v>0.692391</v>
      </c>
      <c r="K201" s="5">
        <f t="shared" si="34"/>
        <v>15.2121474715876</v>
      </c>
      <c r="L201">
        <f t="shared" si="35"/>
        <v>2.60197262235627</v>
      </c>
      <c r="O201">
        <v>0.0010928</v>
      </c>
      <c r="P201" s="6">
        <f t="shared" si="36"/>
        <v>9.63831808199122</v>
      </c>
      <c r="Q201" s="4">
        <f t="shared" si="37"/>
        <v>1.5782989669132</v>
      </c>
      <c r="T201">
        <v>14.997</v>
      </c>
      <c r="U201" s="7">
        <f t="shared" si="38"/>
        <v>0.702324064812963</v>
      </c>
      <c r="V201">
        <f t="shared" si="39"/>
        <v>21.6597269461908</v>
      </c>
      <c r="Y201">
        <v>0.03524094</v>
      </c>
      <c r="Z201" s="8">
        <v>0.179327010005976</v>
      </c>
      <c r="AA201">
        <f t="shared" si="40"/>
        <v>84.829092232568</v>
      </c>
      <c r="AD201" s="9">
        <v>3.09381</v>
      </c>
      <c r="AE201">
        <f t="shared" si="41"/>
        <v>4.916962409323</v>
      </c>
      <c r="AH201">
        <v>1.2713</v>
      </c>
      <c r="AI201" s="10">
        <f t="shared" si="42"/>
        <v>8.28502635097931</v>
      </c>
      <c r="AJ201">
        <f t="shared" si="43"/>
        <v>1.8361012780351</v>
      </c>
    </row>
    <row r="202" spans="1:36">
      <c r="A202" s="1" t="s">
        <v>222</v>
      </c>
      <c r="B202" s="1">
        <v>10675980</v>
      </c>
      <c r="C202" s="2">
        <v>0.000109393</v>
      </c>
      <c r="E202">
        <v>9.447007</v>
      </c>
      <c r="F202">
        <v>1130.0913</v>
      </c>
      <c r="G202" s="3">
        <f t="shared" si="33"/>
        <v>1.1300913</v>
      </c>
      <c r="I202" t="s">
        <v>222</v>
      </c>
      <c r="J202">
        <v>8.57819</v>
      </c>
      <c r="K202" s="5">
        <f t="shared" si="34"/>
        <v>1.24454925806027</v>
      </c>
      <c r="L202">
        <f t="shared" si="35"/>
        <v>1.10128204514119</v>
      </c>
      <c r="O202">
        <v>0.0171056</v>
      </c>
      <c r="P202" s="6">
        <f t="shared" si="36"/>
        <v>0.624121924983631</v>
      </c>
      <c r="Q202" s="4">
        <f t="shared" si="37"/>
        <v>1.99408033629472</v>
      </c>
      <c r="T202">
        <v>19.887</v>
      </c>
      <c r="U202" s="7">
        <f t="shared" si="38"/>
        <v>0.536832101372756</v>
      </c>
      <c r="V202">
        <f t="shared" si="39"/>
        <v>2.31832123093566</v>
      </c>
      <c r="Y202">
        <v>0.0080406</v>
      </c>
      <c r="Z202" s="8">
        <v>0.796655473472129</v>
      </c>
      <c r="AA202">
        <f t="shared" si="40"/>
        <v>1.56221767062749</v>
      </c>
      <c r="AD202" s="9">
        <v>0.646665</v>
      </c>
      <c r="AE202">
        <f t="shared" si="41"/>
        <v>1.92456566856141</v>
      </c>
      <c r="AH202">
        <v>16.9886</v>
      </c>
      <c r="AI202" s="10">
        <f t="shared" si="42"/>
        <v>0.628420234745653</v>
      </c>
      <c r="AJ202">
        <f t="shared" si="43"/>
        <v>1.98044109538259</v>
      </c>
    </row>
    <row r="203" spans="1:36">
      <c r="A203" s="1" t="s">
        <v>223</v>
      </c>
      <c r="B203" s="1">
        <v>10709208</v>
      </c>
      <c r="C203" s="2">
        <v>0.000190454</v>
      </c>
      <c r="E203">
        <v>9.614205</v>
      </c>
      <c r="F203">
        <v>1113.894335</v>
      </c>
      <c r="G203" s="3">
        <f t="shared" si="33"/>
        <v>1.113894335</v>
      </c>
      <c r="I203" t="s">
        <v>223</v>
      </c>
      <c r="J203">
        <v>8.58796</v>
      </c>
      <c r="K203" s="5">
        <f t="shared" si="34"/>
        <v>1.2470025477529</v>
      </c>
      <c r="L203">
        <f t="shared" si="35"/>
        <v>1.11949806060635</v>
      </c>
      <c r="O203">
        <v>0.0176352</v>
      </c>
      <c r="P203" s="6">
        <f t="shared" si="36"/>
        <v>0.607263200870985</v>
      </c>
      <c r="Q203" s="4">
        <f t="shared" si="37"/>
        <v>2.05347952249428</v>
      </c>
      <c r="T203">
        <v>20.026</v>
      </c>
      <c r="U203" s="7">
        <f t="shared" si="38"/>
        <v>0.534765205233197</v>
      </c>
      <c r="V203">
        <f t="shared" si="39"/>
        <v>2.33186926813818</v>
      </c>
      <c r="Y203">
        <v>0.007389756</v>
      </c>
      <c r="Z203" s="8">
        <v>0.869517856881878</v>
      </c>
      <c r="AA203">
        <f t="shared" si="40"/>
        <v>1.43413103926893</v>
      </c>
      <c r="AD203" s="9">
        <v>0.624315</v>
      </c>
      <c r="AE203">
        <f t="shared" si="41"/>
        <v>1.99739321937307</v>
      </c>
      <c r="AH203">
        <v>15.6217</v>
      </c>
      <c r="AI203" s="10">
        <f t="shared" si="42"/>
        <v>0.685534096801244</v>
      </c>
      <c r="AJ203">
        <f t="shared" si="43"/>
        <v>1.81902337691373</v>
      </c>
    </row>
    <row r="204" spans="1:36">
      <c r="A204" s="1" t="s">
        <v>224</v>
      </c>
      <c r="B204" s="1">
        <v>10836444</v>
      </c>
      <c r="C204" s="2">
        <v>0.00256749</v>
      </c>
      <c r="E204">
        <v>8.519236</v>
      </c>
      <c r="F204">
        <v>1271.997174</v>
      </c>
      <c r="G204" s="3">
        <f t="shared" si="33"/>
        <v>1.271997174</v>
      </c>
      <c r="I204" t="s">
        <v>224</v>
      </c>
      <c r="J204">
        <v>7.96985</v>
      </c>
      <c r="K204" s="5">
        <f t="shared" si="34"/>
        <v>1.3596797932207</v>
      </c>
      <c r="L204">
        <f t="shared" si="35"/>
        <v>1.06893302989422</v>
      </c>
      <c r="O204">
        <v>0.01284</v>
      </c>
      <c r="P204" s="6">
        <f t="shared" si="36"/>
        <v>0.843959813084112</v>
      </c>
      <c r="Q204" s="4">
        <f t="shared" si="37"/>
        <v>1.61107172656951</v>
      </c>
      <c r="T204">
        <v>19.631</v>
      </c>
      <c r="U204" s="7">
        <f t="shared" si="38"/>
        <v>0.552006724058886</v>
      </c>
      <c r="V204">
        <f t="shared" si="39"/>
        <v>2.46315802681355</v>
      </c>
      <c r="Y204">
        <v>0.007313994</v>
      </c>
      <c r="Z204" s="8">
        <v>0.888962501199755</v>
      </c>
      <c r="AA204">
        <f t="shared" si="40"/>
        <v>1.52951310250507</v>
      </c>
      <c r="AD204" s="9">
        <v>0.729492</v>
      </c>
      <c r="AE204">
        <f t="shared" si="41"/>
        <v>1.863872109935</v>
      </c>
      <c r="AH204">
        <v>16.7419</v>
      </c>
      <c r="AI204" s="10">
        <f t="shared" si="42"/>
        <v>0.647264886303227</v>
      </c>
      <c r="AJ204">
        <f t="shared" si="43"/>
        <v>2.10065434104782</v>
      </c>
    </row>
    <row r="205" spans="1:36">
      <c r="A205" s="1" t="s">
        <v>225</v>
      </c>
      <c r="B205" s="1">
        <v>10926058</v>
      </c>
      <c r="C205" s="2">
        <v>0</v>
      </c>
      <c r="E205">
        <v>9.774099</v>
      </c>
      <c r="F205">
        <v>1117.858381</v>
      </c>
      <c r="G205" s="3">
        <f t="shared" si="33"/>
        <v>1.117858381</v>
      </c>
      <c r="I205" t="s">
        <v>225</v>
      </c>
      <c r="J205">
        <v>7.17505</v>
      </c>
      <c r="K205" s="5">
        <f t="shared" si="34"/>
        <v>1.52278492832803</v>
      </c>
      <c r="L205">
        <f t="shared" si="35"/>
        <v>1.36223420981627</v>
      </c>
      <c r="O205">
        <v>0.0089712</v>
      </c>
      <c r="P205" s="6">
        <f t="shared" si="36"/>
        <v>1.21790373640093</v>
      </c>
      <c r="Q205" s="4">
        <f t="shared" si="37"/>
        <v>1.25033275029442</v>
      </c>
      <c r="T205">
        <v>9.812</v>
      </c>
      <c r="U205" s="7">
        <f t="shared" si="38"/>
        <v>1.11354035874439</v>
      </c>
      <c r="V205">
        <f t="shared" si="39"/>
        <v>1.36751660267176</v>
      </c>
      <c r="Y205">
        <v>0.005945184</v>
      </c>
      <c r="Z205" s="8">
        <v>1.10267988341488</v>
      </c>
      <c r="AA205">
        <f t="shared" si="40"/>
        <v>1.38098549835889</v>
      </c>
      <c r="AD205" s="9">
        <v>1.248192</v>
      </c>
      <c r="AE205">
        <f t="shared" si="41"/>
        <v>1.21999253987209</v>
      </c>
      <c r="AH205">
        <v>12.4915</v>
      </c>
      <c r="AI205" s="10">
        <f t="shared" si="42"/>
        <v>0.874679422006965</v>
      </c>
      <c r="AJ205">
        <f t="shared" si="43"/>
        <v>1.74096347760643</v>
      </c>
    </row>
    <row r="206" spans="1:36">
      <c r="A206" s="1" t="s">
        <v>226</v>
      </c>
      <c r="B206" s="1">
        <v>11033518</v>
      </c>
      <c r="C206" s="2">
        <v>9.71095e-6</v>
      </c>
      <c r="E206">
        <v>15.5452</v>
      </c>
      <c r="F206">
        <v>709.770095</v>
      </c>
      <c r="G206" s="3">
        <f t="shared" si="33"/>
        <v>0.709770095</v>
      </c>
      <c r="I206" t="s">
        <v>226</v>
      </c>
      <c r="J206">
        <v>14.8537</v>
      </c>
      <c r="K206" s="5">
        <f t="shared" si="34"/>
        <v>0.74281276718932</v>
      </c>
      <c r="L206">
        <f t="shared" si="35"/>
        <v>1.04655404957477</v>
      </c>
      <c r="O206">
        <v>0.016664</v>
      </c>
      <c r="P206" s="6">
        <f t="shared" si="36"/>
        <v>0.662117018722996</v>
      </c>
      <c r="Q206" s="4">
        <f t="shared" si="37"/>
        <v>1.121875357655</v>
      </c>
      <c r="T206">
        <v>37.815</v>
      </c>
      <c r="U206" s="7">
        <f t="shared" si="38"/>
        <v>0.291776226365199</v>
      </c>
      <c r="V206">
        <f t="shared" si="39"/>
        <v>2.54583033183651</v>
      </c>
      <c r="Y206">
        <v>0.02401578</v>
      </c>
      <c r="Z206" s="8">
        <v>0.275656705715992</v>
      </c>
      <c r="AA206">
        <f t="shared" si="40"/>
        <v>2.69470233005917</v>
      </c>
      <c r="AD206" s="9">
        <v>0.500049</v>
      </c>
      <c r="AE206">
        <f t="shared" si="41"/>
        <v>1.48547995734282</v>
      </c>
      <c r="AH206">
        <v>24.2044</v>
      </c>
      <c r="AI206" s="10">
        <f t="shared" si="42"/>
        <v>0.455847614483317</v>
      </c>
      <c r="AJ206">
        <f t="shared" si="43"/>
        <v>1.62951991759629</v>
      </c>
    </row>
    <row r="207" spans="1:36">
      <c r="A207" s="1" t="s">
        <v>227</v>
      </c>
      <c r="B207" s="1">
        <v>11039332</v>
      </c>
      <c r="C207" s="2">
        <v>0.00136599</v>
      </c>
      <c r="E207">
        <v>9.351134</v>
      </c>
      <c r="F207">
        <v>1180.534052</v>
      </c>
      <c r="G207" s="3">
        <f t="shared" si="33"/>
        <v>1.180534052</v>
      </c>
      <c r="I207" t="s">
        <v>227</v>
      </c>
      <c r="J207">
        <v>9.16243</v>
      </c>
      <c r="K207" s="5">
        <f t="shared" si="34"/>
        <v>1.20484762230107</v>
      </c>
      <c r="L207">
        <f t="shared" si="35"/>
        <v>1.02059539939562</v>
      </c>
      <c r="O207">
        <v>0.015184</v>
      </c>
      <c r="P207" s="6">
        <f t="shared" si="36"/>
        <v>0.727037144362487</v>
      </c>
      <c r="Q207" s="4">
        <f t="shared" si="37"/>
        <v>1.65720229240496</v>
      </c>
      <c r="T207">
        <v>20.452</v>
      </c>
      <c r="U207" s="7">
        <f t="shared" si="38"/>
        <v>0.539767846665363</v>
      </c>
      <c r="V207">
        <f t="shared" si="39"/>
        <v>2.23215893600279</v>
      </c>
      <c r="Y207">
        <v>0.007605414</v>
      </c>
      <c r="Z207" s="8">
        <v>0.870905804733312</v>
      </c>
      <c r="AA207">
        <f t="shared" si="40"/>
        <v>1.38344194716904</v>
      </c>
      <c r="AD207" s="9">
        <v>0.684606</v>
      </c>
      <c r="AE207">
        <f t="shared" si="41"/>
        <v>1.75991391004617</v>
      </c>
      <c r="AH207">
        <v>15.5083</v>
      </c>
      <c r="AI207" s="10">
        <f t="shared" si="42"/>
        <v>0.711833792227388</v>
      </c>
      <c r="AJ207">
        <f t="shared" si="43"/>
        <v>1.69259683293624</v>
      </c>
    </row>
    <row r="208" spans="1:36">
      <c r="A208" s="1" t="s">
        <v>228</v>
      </c>
      <c r="B208" s="1">
        <v>11075172</v>
      </c>
      <c r="C208" s="2">
        <v>4.95135e-5</v>
      </c>
      <c r="E208">
        <v>8.735079</v>
      </c>
      <c r="F208">
        <v>1267.896056</v>
      </c>
      <c r="G208" s="3">
        <f t="shared" si="33"/>
        <v>1.267896056</v>
      </c>
      <c r="I208" t="s">
        <v>228</v>
      </c>
      <c r="J208">
        <v>8.31065</v>
      </c>
      <c r="K208" s="5">
        <f t="shared" si="34"/>
        <v>1.33264810815039</v>
      </c>
      <c r="L208">
        <f t="shared" si="35"/>
        <v>1.05107047367484</v>
      </c>
      <c r="O208">
        <v>0.0140912</v>
      </c>
      <c r="P208" s="6">
        <f t="shared" si="36"/>
        <v>0.785963722039287</v>
      </c>
      <c r="Q208" s="4">
        <f t="shared" si="37"/>
        <v>1.69555931244848</v>
      </c>
      <c r="T208">
        <v>20.487</v>
      </c>
      <c r="U208" s="7">
        <f t="shared" si="38"/>
        <v>0.540595109093572</v>
      </c>
      <c r="V208">
        <f t="shared" si="39"/>
        <v>2.46515013867748</v>
      </c>
      <c r="Y208">
        <v>0.00749808</v>
      </c>
      <c r="Z208" s="8">
        <v>0.886240637603226</v>
      </c>
      <c r="AA208">
        <f t="shared" si="40"/>
        <v>1.50370909615975</v>
      </c>
      <c r="AD208" s="9">
        <v>0.702345</v>
      </c>
      <c r="AE208">
        <f t="shared" si="41"/>
        <v>1.89742663242478</v>
      </c>
      <c r="AH208">
        <v>15.8995</v>
      </c>
      <c r="AI208" s="10">
        <f t="shared" si="42"/>
        <v>0.696573602943489</v>
      </c>
      <c r="AJ208">
        <f t="shared" si="43"/>
        <v>1.91314758773381</v>
      </c>
    </row>
    <row r="209" spans="1:37">
      <c r="A209" s="1" t="s">
        <v>229</v>
      </c>
      <c r="B209" s="1">
        <v>11157328</v>
      </c>
      <c r="C209" s="2">
        <v>7.9583e-5</v>
      </c>
      <c r="E209">
        <v>8.792329</v>
      </c>
      <c r="F209">
        <v>1268.984405</v>
      </c>
      <c r="G209" s="3">
        <f t="shared" si="33"/>
        <v>1.268984405</v>
      </c>
      <c r="I209" t="s">
        <v>229</v>
      </c>
      <c r="J209">
        <v>7.22954</v>
      </c>
      <c r="K209" s="5">
        <f t="shared" si="34"/>
        <v>1.54329708390852</v>
      </c>
      <c r="L209">
        <f t="shared" si="35"/>
        <v>1.21616710010595</v>
      </c>
      <c r="O209">
        <v>0.0144</v>
      </c>
      <c r="P209" s="6">
        <f t="shared" si="36"/>
        <v>0.774814444444444</v>
      </c>
      <c r="Q209" s="4">
        <f t="shared" si="37"/>
        <v>1.99182797245745</v>
      </c>
      <c r="T209">
        <v>21.578</v>
      </c>
      <c r="U209" s="7">
        <f t="shared" si="38"/>
        <v>0.517069607934007</v>
      </c>
      <c r="V209">
        <f t="shared" si="39"/>
        <v>2.98469888817269</v>
      </c>
      <c r="Y209">
        <v>0.007327404</v>
      </c>
      <c r="Z209" s="8">
        <v>0.913610986919788</v>
      </c>
      <c r="AA209">
        <f t="shared" si="40"/>
        <v>1.68922780702507</v>
      </c>
      <c r="AD209" s="9">
        <v>0.741738</v>
      </c>
      <c r="AE209">
        <f t="shared" si="41"/>
        <v>2.08064988433722</v>
      </c>
      <c r="AH209">
        <v>16.7452</v>
      </c>
      <c r="AI209" s="10">
        <f t="shared" si="42"/>
        <v>0.666300074051071</v>
      </c>
      <c r="AJ209">
        <f t="shared" si="43"/>
        <v>2.31621928919406</v>
      </c>
    </row>
    <row r="210" spans="1:37">
      <c r="A210" s="1" t="s">
        <v>230</v>
      </c>
      <c r="B210" s="1">
        <v>11161552</v>
      </c>
      <c r="C210" s="2">
        <v>7.38171e-5</v>
      </c>
      <c r="E210">
        <v>3.740783</v>
      </c>
      <c r="F210">
        <v>2983.7479</v>
      </c>
      <c r="G210" s="3">
        <f t="shared" si="33"/>
        <v>2.9837479</v>
      </c>
      <c r="I210" t="s">
        <v>230</v>
      </c>
      <c r="J210">
        <v>6.18072</v>
      </c>
      <c r="K210" s="5">
        <f t="shared" si="34"/>
        <v>1.80586598325114</v>
      </c>
      <c r="L210">
        <f t="shared" si="35"/>
        <v>0.605234102804443</v>
      </c>
      <c r="O210">
        <v>0.0036688</v>
      </c>
      <c r="P210" s="6">
        <f t="shared" si="36"/>
        <v>3.0422895769734</v>
      </c>
      <c r="Q210" s="4">
        <f t="shared" si="37"/>
        <v>0.593587802068367</v>
      </c>
      <c r="T210">
        <v>78.808</v>
      </c>
      <c r="U210" s="7">
        <f t="shared" si="38"/>
        <v>0.14162968226576</v>
      </c>
      <c r="V210">
        <f t="shared" si="39"/>
        <v>12.7506180509714</v>
      </c>
      <c r="Y210">
        <v>0.002064528</v>
      </c>
      <c r="Z210" s="8">
        <v>3.24380739810746</v>
      </c>
      <c r="AA210">
        <f t="shared" si="40"/>
        <v>0.556711839397352</v>
      </c>
      <c r="AD210" s="9">
        <v>1.635963</v>
      </c>
      <c r="AE210">
        <f t="shared" si="41"/>
        <v>1.1038550280484</v>
      </c>
      <c r="AH210">
        <v>8.0693</v>
      </c>
      <c r="AI210" s="10">
        <f t="shared" si="42"/>
        <v>1.38321192668509</v>
      </c>
      <c r="AJ210">
        <f t="shared" si="43"/>
        <v>1.3055598700475</v>
      </c>
    </row>
    <row r="211" spans="1:37">
      <c r="A211" s="1" t="s">
        <v>231</v>
      </c>
      <c r="B211" s="1">
        <v>11242656</v>
      </c>
      <c r="C211" s="2">
        <v>0</v>
      </c>
      <c r="E211">
        <v>3.75024</v>
      </c>
      <c r="F211">
        <v>2997.850082</v>
      </c>
      <c r="G211" s="3">
        <f t="shared" si="33"/>
        <v>2.997850082</v>
      </c>
      <c r="I211" t="s">
        <v>231</v>
      </c>
      <c r="J211">
        <v>2.72466</v>
      </c>
      <c r="K211" s="5">
        <f t="shared" si="34"/>
        <v>4.12626015723063</v>
      </c>
      <c r="L211">
        <f t="shared" si="35"/>
        <v>1.37640643940334</v>
      </c>
      <c r="O211">
        <v>0.002928</v>
      </c>
      <c r="P211" s="6">
        <f t="shared" si="36"/>
        <v>3.83970491803279</v>
      </c>
      <c r="Q211" s="4">
        <f t="shared" si="37"/>
        <v>1.07462949505626</v>
      </c>
      <c r="T211">
        <v>11.921</v>
      </c>
      <c r="U211" s="7">
        <f t="shared" si="38"/>
        <v>0.943096720073819</v>
      </c>
      <c r="V211">
        <f t="shared" si="39"/>
        <v>4.37522479869048</v>
      </c>
      <c r="Y211">
        <v>0.004435542</v>
      </c>
      <c r="Z211" s="8">
        <v>1.52080480807081</v>
      </c>
      <c r="AA211">
        <f t="shared" si="40"/>
        <v>2.71320825350685</v>
      </c>
      <c r="AD211" s="9">
        <v>1.795272</v>
      </c>
      <c r="AE211">
        <f t="shared" si="41"/>
        <v>2.29840389491432</v>
      </c>
      <c r="AH211">
        <v>3.2436</v>
      </c>
      <c r="AI211" s="10">
        <f t="shared" si="42"/>
        <v>3.46610432852386</v>
      </c>
      <c r="AJ211">
        <f t="shared" si="43"/>
        <v>1.19046046112175</v>
      </c>
    </row>
    <row r="212" spans="1:37">
      <c r="A212" s="1" t="s">
        <v>232</v>
      </c>
      <c r="B212" s="1">
        <v>11620478</v>
      </c>
      <c r="C212" s="2">
        <v>0.963855</v>
      </c>
      <c r="E212">
        <v>1.812993</v>
      </c>
      <c r="F212">
        <v>6409.553197</v>
      </c>
      <c r="G212" s="3">
        <f t="shared" si="33"/>
        <v>6.409553197</v>
      </c>
      <c r="I212" t="s">
        <v>232</v>
      </c>
      <c r="J212">
        <v>2.72958</v>
      </c>
      <c r="K212" s="5">
        <f t="shared" si="34"/>
        <v>4.25724030803274</v>
      </c>
      <c r="L212">
        <f t="shared" si="35"/>
        <v>0.664202351893318</v>
      </c>
      <c r="M212">
        <f>AVERAGE(L212:L772,L773:L786,L787:L817,L818:L821)</f>
        <v>1.32870676452245</v>
      </c>
      <c r="O212">
        <v>0.0009872</v>
      </c>
      <c r="P212" s="6">
        <f t="shared" si="36"/>
        <v>11.7711487034036</v>
      </c>
      <c r="Q212" s="4">
        <f t="shared" si="37"/>
        <v>0.361667362744452</v>
      </c>
      <c r="R212" s="4" t="e">
        <f>AVERAGE(Q212:Q647,Q650:Q654,Q658:Q691,Q693:Q738,Q739:Q772,Q773:Q786,Q787:Q812,Q814:Q817,Q818,Q820:Q821)</f>
        <v>#DIV/0!</v>
      </c>
      <c r="T212">
        <v>2.971</v>
      </c>
      <c r="U212" s="7">
        <f t="shared" si="38"/>
        <v>3.91130191854594</v>
      </c>
      <c r="V212">
        <f t="shared" si="39"/>
        <v>1.08844584148477</v>
      </c>
      <c r="W212" t="e">
        <f>AVERAGE(V212:V647,V650:V654,V658:V691,V693:V698,V700:V738,V739:V772,V773:V786,V787:V812,V814:V817,V818,V820:V821)</f>
        <v>#DIV/0!</v>
      </c>
      <c r="Y212">
        <v>0.003342726</v>
      </c>
      <c r="Z212" s="8">
        <v>2.08580864839056</v>
      </c>
      <c r="AA212">
        <f t="shared" si="40"/>
        <v>2.04105027147034</v>
      </c>
      <c r="AB212" t="e">
        <f>AVERAGE(AA212:AA647,AA650:AA654,AA658:AA772,AA773:AA786,AA787:AA817,AA818:AA821)</f>
        <v>#DIV/0!</v>
      </c>
      <c r="AD212" s="9">
        <v>3.75843</v>
      </c>
      <c r="AE212">
        <f t="shared" si="41"/>
        <v>1.132717732679</v>
      </c>
      <c r="AF212" t="e">
        <f>AVERAGE(AE212:AE627,AE628:AE647,AE650:AE654,AE658:AE667,AE668:AE691,AE693:AE738,AE739:AE767,AE768:AE772,AE773:AE786,AE787:AE812,AE814:AE817,AE818,AE820:AE821)</f>
        <v>#DIV/0!</v>
      </c>
      <c r="AH212">
        <v>0.7474</v>
      </c>
      <c r="AI212" s="10">
        <f t="shared" si="42"/>
        <v>15.5478699491571</v>
      </c>
      <c r="AJ212">
        <f t="shared" si="43"/>
        <v>0.273815019160457</v>
      </c>
      <c r="AK212" t="e">
        <f>AVERAGE(AJ212:AJ647,AJ650:AJ654,AJ658:AJ691,AJ693:AJ698,AJ700:AJ738,AJ739:AJ772,AJ773:AJ786,AJ787:AJ812,AJ814:AJ817,AJ818,AJ820:AJ821)</f>
        <v>#DIV/0!</v>
      </c>
    </row>
    <row r="213" spans="1:37">
      <c r="A213" s="1" t="s">
        <v>233</v>
      </c>
      <c r="B213" s="1">
        <v>11809756</v>
      </c>
      <c r="C213" s="2">
        <v>0.000203662</v>
      </c>
      <c r="E213">
        <v>10.276481</v>
      </c>
      <c r="F213">
        <v>1149.202365</v>
      </c>
      <c r="G213" s="3">
        <f t="shared" si="33"/>
        <v>1.149202365</v>
      </c>
      <c r="I213" t="s">
        <v>233</v>
      </c>
      <c r="J213">
        <v>10.1504</v>
      </c>
      <c r="K213" s="5">
        <f t="shared" si="34"/>
        <v>1.163476907314</v>
      </c>
      <c r="L213">
        <f t="shared" si="35"/>
        <v>1.01242126082293</v>
      </c>
      <c r="O213">
        <v>0.0169888</v>
      </c>
      <c r="P213" s="6">
        <f t="shared" si="36"/>
        <v>0.695149510265587</v>
      </c>
      <c r="Q213" s="4">
        <f t="shared" si="37"/>
        <v>1.67370744010088</v>
      </c>
      <c r="T213">
        <v>22.417</v>
      </c>
      <c r="U213" s="7">
        <f t="shared" si="38"/>
        <v>0.526821430164607</v>
      </c>
      <c r="V213">
        <f t="shared" si="39"/>
        <v>2.20848439470366</v>
      </c>
      <c r="Y213">
        <v>0.00813537</v>
      </c>
      <c r="Z213" s="8">
        <v>0.870993402881492</v>
      </c>
      <c r="AA213">
        <f t="shared" si="40"/>
        <v>1.33580450031526</v>
      </c>
      <c r="AD213" s="9">
        <v>0.686322</v>
      </c>
      <c r="AE213">
        <f t="shared" si="41"/>
        <v>1.69523475469823</v>
      </c>
      <c r="AH213">
        <v>16.1525</v>
      </c>
      <c r="AI213" s="10">
        <f t="shared" si="42"/>
        <v>0.731141061755146</v>
      </c>
      <c r="AJ213">
        <f t="shared" si="43"/>
        <v>1.59131659836066</v>
      </c>
    </row>
    <row r="214" spans="1:37">
      <c r="A214" s="1" t="s">
        <v>234</v>
      </c>
      <c r="B214" s="1">
        <v>11970248</v>
      </c>
      <c r="C214" s="2">
        <v>8.28072e-5</v>
      </c>
      <c r="E214">
        <v>9.831398</v>
      </c>
      <c r="F214">
        <v>1217.553001</v>
      </c>
      <c r="G214" s="3">
        <f t="shared" si="33"/>
        <v>1.217553001</v>
      </c>
      <c r="I214" t="s">
        <v>234</v>
      </c>
      <c r="J214">
        <v>11.6317</v>
      </c>
      <c r="K214" s="5">
        <f t="shared" si="34"/>
        <v>1.02910563374227</v>
      </c>
      <c r="L214">
        <f t="shared" si="35"/>
        <v>0.845224505953374</v>
      </c>
      <c r="O214">
        <v>0.0207456</v>
      </c>
      <c r="P214" s="6">
        <f t="shared" si="36"/>
        <v>0.577001773870122</v>
      </c>
      <c r="Q214" s="4">
        <f t="shared" si="37"/>
        <v>1.7835398093142</v>
      </c>
      <c r="T214">
        <v>24.807</v>
      </c>
      <c r="U214" s="7">
        <f t="shared" si="38"/>
        <v>0.482535090901762</v>
      </c>
      <c r="V214">
        <f t="shared" si="39"/>
        <v>2.13270631120129</v>
      </c>
      <c r="Y214">
        <v>0.00750213</v>
      </c>
      <c r="Z214" s="8">
        <v>0.957347953181296</v>
      </c>
      <c r="AA214">
        <f t="shared" si="40"/>
        <v>1.07495464979324</v>
      </c>
      <c r="AD214" s="9">
        <v>0.688341</v>
      </c>
      <c r="AE214">
        <f t="shared" si="41"/>
        <v>1.4950520653895</v>
      </c>
      <c r="AH214">
        <v>19.1796</v>
      </c>
      <c r="AI214" s="10">
        <f t="shared" si="42"/>
        <v>0.624113537300048</v>
      </c>
      <c r="AJ214">
        <f t="shared" si="43"/>
        <v>1.64890772629968</v>
      </c>
    </row>
    <row r="215" spans="1:37">
      <c r="A215" s="1" t="s">
        <v>235</v>
      </c>
      <c r="B215" s="1">
        <v>12042262</v>
      </c>
      <c r="C215" s="2">
        <v>0.000832865</v>
      </c>
      <c r="E215">
        <v>12.694511</v>
      </c>
      <c r="F215">
        <v>948.619606</v>
      </c>
      <c r="G215" s="3">
        <f t="shared" si="33"/>
        <v>0.948619606</v>
      </c>
      <c r="I215" t="s">
        <v>235</v>
      </c>
      <c r="J215">
        <v>11.9448</v>
      </c>
      <c r="K215" s="5">
        <f t="shared" si="34"/>
        <v>1.00815936641886</v>
      </c>
      <c r="L215">
        <f t="shared" si="35"/>
        <v>1.06276463193705</v>
      </c>
      <c r="O215">
        <v>0.0266768</v>
      </c>
      <c r="P215" s="6">
        <f t="shared" si="36"/>
        <v>0.451413287950579</v>
      </c>
      <c r="Q215" s="4">
        <f t="shared" si="37"/>
        <v>2.23334003080839</v>
      </c>
      <c r="T215">
        <v>66.798</v>
      </c>
      <c r="U215" s="7">
        <f t="shared" si="38"/>
        <v>0.18027878080182</v>
      </c>
      <c r="V215">
        <f t="shared" si="39"/>
        <v>5.59222423146474</v>
      </c>
      <c r="Y215">
        <v>0.03725982</v>
      </c>
      <c r="Z215" s="8">
        <v>0.193918199282766</v>
      </c>
      <c r="AA215">
        <f t="shared" si="40"/>
        <v>5.19888989351015</v>
      </c>
      <c r="AD215" s="9">
        <v>0.429114</v>
      </c>
      <c r="AE215">
        <f t="shared" si="41"/>
        <v>2.34939751771991</v>
      </c>
      <c r="AH215">
        <v>19.1727</v>
      </c>
      <c r="AI215" s="10">
        <f t="shared" si="42"/>
        <v>0.628094217298555</v>
      </c>
      <c r="AJ215">
        <f t="shared" si="43"/>
        <v>1.60510849909584</v>
      </c>
    </row>
    <row r="216" spans="1:37">
      <c r="A216" s="1" t="s">
        <v>236</v>
      </c>
      <c r="B216" s="1">
        <v>12124540</v>
      </c>
      <c r="C216" s="2">
        <v>0.000118458</v>
      </c>
      <c r="E216">
        <v>9.727849</v>
      </c>
      <c r="F216">
        <v>1246.374247</v>
      </c>
      <c r="G216" s="3">
        <f t="shared" si="33"/>
        <v>1.246374247</v>
      </c>
      <c r="I216" t="s">
        <v>236</v>
      </c>
      <c r="J216">
        <v>10.3223</v>
      </c>
      <c r="K216" s="5">
        <f t="shared" si="34"/>
        <v>1.17459674684906</v>
      </c>
      <c r="L216">
        <f t="shared" si="35"/>
        <v>0.942410956962797</v>
      </c>
      <c r="O216">
        <v>0.0179376</v>
      </c>
      <c r="P216" s="6">
        <f t="shared" si="36"/>
        <v>0.675928775309963</v>
      </c>
      <c r="Q216" s="4">
        <f t="shared" si="37"/>
        <v>1.73775224513917</v>
      </c>
      <c r="T216">
        <v>22.625</v>
      </c>
      <c r="U216" s="7">
        <f t="shared" si="38"/>
        <v>0.535891270718232</v>
      </c>
      <c r="V216">
        <f t="shared" si="39"/>
        <v>2.19185646609767</v>
      </c>
      <c r="Y216">
        <v>0.011436642</v>
      </c>
      <c r="Z216" s="8">
        <v>0.636089159737622</v>
      </c>
      <c r="AA216">
        <f t="shared" si="40"/>
        <v>1.84659136045261</v>
      </c>
      <c r="AD216" s="9">
        <v>0.67686</v>
      </c>
      <c r="AE216">
        <f t="shared" si="41"/>
        <v>1.73536144379791</v>
      </c>
      <c r="AH216">
        <v>17.6902</v>
      </c>
      <c r="AI216" s="10">
        <f t="shared" si="42"/>
        <v>0.685381736780816</v>
      </c>
      <c r="AJ216">
        <f t="shared" si="43"/>
        <v>1.71378471852203</v>
      </c>
    </row>
    <row r="217" spans="1:37">
      <c r="A217" s="1" t="s">
        <v>237</v>
      </c>
      <c r="B217" s="1">
        <v>12171172</v>
      </c>
      <c r="C217" s="2">
        <v>3.59583e-5</v>
      </c>
      <c r="E217">
        <v>10.002251</v>
      </c>
      <c r="F217">
        <v>1216.843309</v>
      </c>
      <c r="G217" s="3">
        <f t="shared" si="33"/>
        <v>1.216843309</v>
      </c>
      <c r="I217" t="s">
        <v>237</v>
      </c>
      <c r="J217">
        <v>9.23618</v>
      </c>
      <c r="K217" s="5">
        <f t="shared" si="34"/>
        <v>1.31777119978173</v>
      </c>
      <c r="L217">
        <f t="shared" si="35"/>
        <v>1.08294238874903</v>
      </c>
      <c r="O217">
        <v>0.01792</v>
      </c>
      <c r="P217" s="6">
        <f t="shared" si="36"/>
        <v>0.679194866071429</v>
      </c>
      <c r="Q217" s="4">
        <f t="shared" si="37"/>
        <v>1.94019605507905</v>
      </c>
      <c r="T217">
        <v>22.272</v>
      </c>
      <c r="U217" s="7">
        <f t="shared" si="38"/>
        <v>0.546478627873563</v>
      </c>
      <c r="V217">
        <f t="shared" si="39"/>
        <v>2.41138652559825</v>
      </c>
      <c r="Y217">
        <v>0.007607394</v>
      </c>
      <c r="Z217" s="8">
        <v>0.959948071573524</v>
      </c>
      <c r="AA217">
        <f t="shared" si="40"/>
        <v>1.37275258819122</v>
      </c>
      <c r="AD217" s="9">
        <v>0.681405</v>
      </c>
      <c r="AE217">
        <f t="shared" si="41"/>
        <v>1.93390303825438</v>
      </c>
      <c r="AH217">
        <v>16.8239</v>
      </c>
      <c r="AI217" s="10">
        <f t="shared" si="42"/>
        <v>0.723445336693632</v>
      </c>
      <c r="AJ217">
        <f t="shared" si="43"/>
        <v>1.82152145150917</v>
      </c>
    </row>
    <row r="218" spans="1:37">
      <c r="A218" s="1" t="s">
        <v>238</v>
      </c>
      <c r="B218" s="1">
        <v>12535672</v>
      </c>
      <c r="C218" s="2">
        <v>0.000156182</v>
      </c>
      <c r="E218">
        <v>11.47736</v>
      </c>
      <c r="F218">
        <v>1092.208671</v>
      </c>
      <c r="G218" s="3">
        <f t="shared" si="33"/>
        <v>1.092208671</v>
      </c>
      <c r="I218" t="s">
        <v>238</v>
      </c>
      <c r="J218">
        <v>11.168</v>
      </c>
      <c r="K218" s="5">
        <f t="shared" si="34"/>
        <v>1.12246346704871</v>
      </c>
      <c r="L218">
        <f t="shared" si="35"/>
        <v>1.02770056386845</v>
      </c>
      <c r="O218">
        <v>0.0219552</v>
      </c>
      <c r="P218" s="6">
        <f t="shared" si="36"/>
        <v>0.570965967060195</v>
      </c>
      <c r="Q218" s="4">
        <f t="shared" si="37"/>
        <v>1.96590257879656</v>
      </c>
      <c r="T218">
        <v>26.875</v>
      </c>
      <c r="U218" s="7">
        <f t="shared" si="38"/>
        <v>0.466443609302326</v>
      </c>
      <c r="V218">
        <f t="shared" si="39"/>
        <v>2.40642908309456</v>
      </c>
      <c r="Y218">
        <v>0.007909416</v>
      </c>
      <c r="Z218" s="8">
        <v>0.9509429267597</v>
      </c>
      <c r="AA218">
        <f t="shared" si="40"/>
        <v>1.18036891117479</v>
      </c>
      <c r="AD218" s="9">
        <v>0.592176</v>
      </c>
      <c r="AE218">
        <f t="shared" si="41"/>
        <v>1.89548962985449</v>
      </c>
      <c r="AH218">
        <v>19.6587</v>
      </c>
      <c r="AI218" s="10">
        <f t="shared" si="42"/>
        <v>0.637665359357435</v>
      </c>
      <c r="AJ218">
        <f t="shared" si="43"/>
        <v>1.76027041547278</v>
      </c>
    </row>
    <row r="219" spans="1:37">
      <c r="A219" s="1" t="s">
        <v>239</v>
      </c>
      <c r="B219" s="1">
        <v>13101308</v>
      </c>
      <c r="C219" s="2">
        <v>0.0237259</v>
      </c>
      <c r="E219">
        <v>15.125224</v>
      </c>
      <c r="F219">
        <v>866.189353</v>
      </c>
      <c r="G219" s="3">
        <f t="shared" si="33"/>
        <v>0.866189353</v>
      </c>
      <c r="I219" t="s">
        <v>239</v>
      </c>
      <c r="J219">
        <v>11.6995</v>
      </c>
      <c r="K219" s="5">
        <f t="shared" si="34"/>
        <v>1.11981776999017</v>
      </c>
      <c r="L219">
        <f t="shared" si="35"/>
        <v>1.29280943723418</v>
      </c>
      <c r="O219">
        <v>0.0077872</v>
      </c>
      <c r="P219" s="6">
        <f t="shared" si="36"/>
        <v>1.68241575919458</v>
      </c>
      <c r="Q219" s="4">
        <f t="shared" si="37"/>
        <v>0.665601094063849</v>
      </c>
      <c r="T219">
        <v>112.072</v>
      </c>
      <c r="U219" s="7">
        <f t="shared" si="38"/>
        <v>0.116900813762581</v>
      </c>
      <c r="V219">
        <f t="shared" si="39"/>
        <v>9.57921278687123</v>
      </c>
      <c r="Y219">
        <v>0.09264798</v>
      </c>
      <c r="Z219" s="8">
        <v>0.0848457224863402</v>
      </c>
      <c r="AA219">
        <f t="shared" si="40"/>
        <v>13.1982819778623</v>
      </c>
      <c r="AD219" s="9">
        <v>0.838173</v>
      </c>
      <c r="AE219">
        <f t="shared" si="41"/>
        <v>1.33602224122009</v>
      </c>
      <c r="AH219">
        <v>11.242</v>
      </c>
      <c r="AI219" s="10">
        <f t="shared" si="42"/>
        <v>1.16538943248532</v>
      </c>
      <c r="AJ219">
        <f t="shared" si="43"/>
        <v>0.960895764776272</v>
      </c>
    </row>
    <row r="220" spans="1:37">
      <c r="A220" s="1" t="s">
        <v>240</v>
      </c>
      <c r="B220" s="1">
        <v>13122998</v>
      </c>
      <c r="C220" s="2">
        <v>0</v>
      </c>
      <c r="E220">
        <v>3.443655</v>
      </c>
      <c r="F220">
        <v>3810.77618</v>
      </c>
      <c r="G220" s="3">
        <f t="shared" si="33"/>
        <v>3.81077618</v>
      </c>
      <c r="I220" t="s">
        <v>240</v>
      </c>
      <c r="J220">
        <v>2.44555</v>
      </c>
      <c r="K220" s="5">
        <f t="shared" si="34"/>
        <v>5.36607225368526</v>
      </c>
      <c r="L220">
        <f t="shared" si="35"/>
        <v>1.40813104738292</v>
      </c>
      <c r="O220">
        <v>0.0030352</v>
      </c>
      <c r="P220" s="6">
        <f t="shared" si="36"/>
        <v>4.32360239852398</v>
      </c>
      <c r="Q220" s="4">
        <f t="shared" si="37"/>
        <v>1.24111140643209</v>
      </c>
      <c r="T220">
        <v>14.532</v>
      </c>
      <c r="U220" s="7">
        <f t="shared" si="38"/>
        <v>0.903041425818882</v>
      </c>
      <c r="V220">
        <f t="shared" si="39"/>
        <v>5.94222158614627</v>
      </c>
      <c r="Y220">
        <v>0.00490077</v>
      </c>
      <c r="Z220" s="8">
        <v>1.60664524146206</v>
      </c>
      <c r="AA220">
        <f t="shared" si="40"/>
        <v>3.33992353458321</v>
      </c>
      <c r="AD220" s="9">
        <v>1.892676</v>
      </c>
      <c r="AE220">
        <f t="shared" si="41"/>
        <v>2.83517741741601</v>
      </c>
      <c r="AH220">
        <v>3.5829</v>
      </c>
      <c r="AI220" s="10">
        <f t="shared" si="42"/>
        <v>3.66267492813084</v>
      </c>
      <c r="AJ220">
        <f t="shared" si="43"/>
        <v>1.46506920733577</v>
      </c>
    </row>
    <row r="221" spans="1:37">
      <c r="A221" s="1" t="s">
        <v>241</v>
      </c>
      <c r="B221" s="1">
        <v>13130804</v>
      </c>
      <c r="C221" s="2">
        <v>0</v>
      </c>
      <c r="E221">
        <v>7.510771</v>
      </c>
      <c r="F221">
        <v>1748.263118</v>
      </c>
      <c r="G221" s="3">
        <f t="shared" si="33"/>
        <v>1.748263118</v>
      </c>
      <c r="I221" t="s">
        <v>241</v>
      </c>
      <c r="J221">
        <v>5.81404</v>
      </c>
      <c r="K221" s="5">
        <f t="shared" si="34"/>
        <v>2.25846468204553</v>
      </c>
      <c r="L221">
        <f t="shared" si="35"/>
        <v>1.29183339669672</v>
      </c>
      <c r="O221">
        <v>0.0036016</v>
      </c>
      <c r="P221" s="6">
        <f t="shared" si="36"/>
        <v>3.64582518880498</v>
      </c>
      <c r="Q221" s="4">
        <f t="shared" si="37"/>
        <v>0.619465982346183</v>
      </c>
      <c r="T221">
        <v>11.316</v>
      </c>
      <c r="U221" s="7">
        <f t="shared" si="38"/>
        <v>1.16037504418522</v>
      </c>
      <c r="V221">
        <f t="shared" si="39"/>
        <v>1.94632303871318</v>
      </c>
      <c r="Y221">
        <v>0.02228058</v>
      </c>
      <c r="Z221" s="8">
        <v>0.353603110870543</v>
      </c>
      <c r="AA221">
        <f t="shared" si="40"/>
        <v>6.38700456137212</v>
      </c>
      <c r="AD221" s="9">
        <v>1.963485</v>
      </c>
      <c r="AE221">
        <f t="shared" si="41"/>
        <v>1.15023271481347</v>
      </c>
      <c r="AH221">
        <v>5.2913</v>
      </c>
      <c r="AI221" s="10">
        <f t="shared" si="42"/>
        <v>2.48158373178614</v>
      </c>
      <c r="AJ221">
        <f t="shared" si="43"/>
        <v>0.910090057859939</v>
      </c>
    </row>
    <row r="222" spans="1:37">
      <c r="A222" s="1" t="s">
        <v>242</v>
      </c>
      <c r="B222" s="1">
        <v>13239520</v>
      </c>
      <c r="C222" s="2">
        <v>3.39245e-5</v>
      </c>
      <c r="E222">
        <v>11.392958</v>
      </c>
      <c r="F222">
        <v>1162.079274</v>
      </c>
      <c r="G222" s="3">
        <f t="shared" si="33"/>
        <v>1.162079274</v>
      </c>
      <c r="I222" t="s">
        <v>242</v>
      </c>
      <c r="J222">
        <v>13.5131</v>
      </c>
      <c r="K222" s="5">
        <f t="shared" si="34"/>
        <v>0.979754460486491</v>
      </c>
      <c r="L222">
        <f t="shared" si="35"/>
        <v>0.84310466799229</v>
      </c>
      <c r="O222">
        <v>0.0202128</v>
      </c>
      <c r="P222" s="6">
        <f t="shared" si="36"/>
        <v>0.655006728409721</v>
      </c>
      <c r="Q222" s="4">
        <f t="shared" si="37"/>
        <v>1.49579297126492</v>
      </c>
      <c r="T222">
        <v>37.93</v>
      </c>
      <c r="U222" s="7">
        <f t="shared" si="38"/>
        <v>0.349051410493013</v>
      </c>
      <c r="V222">
        <f t="shared" si="39"/>
        <v>2.80690589132027</v>
      </c>
      <c r="Y222">
        <v>0.008492382</v>
      </c>
      <c r="Z222" s="8">
        <v>0.935392684879225</v>
      </c>
      <c r="AA222">
        <f t="shared" si="40"/>
        <v>1.04742583123044</v>
      </c>
      <c r="AD222" s="9">
        <v>0.682389</v>
      </c>
      <c r="AE222">
        <f t="shared" si="41"/>
        <v>1.43577118108072</v>
      </c>
      <c r="AH222">
        <v>18.4875</v>
      </c>
      <c r="AI222" s="10">
        <f t="shared" si="42"/>
        <v>0.716133603786342</v>
      </c>
      <c r="AJ222">
        <f t="shared" si="43"/>
        <v>1.36811686437605</v>
      </c>
    </row>
    <row r="223" spans="1:37">
      <c r="A223" s="1" t="s">
        <v>243</v>
      </c>
      <c r="B223" s="1">
        <v>13415824</v>
      </c>
      <c r="C223" s="2">
        <v>0.0558818</v>
      </c>
      <c r="E223">
        <v>4.445364</v>
      </c>
      <c r="F223">
        <v>3017.935768</v>
      </c>
      <c r="G223" s="3">
        <f t="shared" si="33"/>
        <v>3.017935768</v>
      </c>
      <c r="I223" t="s">
        <v>243</v>
      </c>
      <c r="J223">
        <v>2.30354</v>
      </c>
      <c r="K223" s="5">
        <f t="shared" si="34"/>
        <v>5.82400305616573</v>
      </c>
      <c r="L223">
        <f t="shared" si="35"/>
        <v>1.92979688895941</v>
      </c>
      <c r="O223">
        <v>0.00272</v>
      </c>
      <c r="P223" s="6">
        <f t="shared" si="36"/>
        <v>4.93228823529412</v>
      </c>
      <c r="Q223" s="4">
        <f t="shared" si="37"/>
        <v>1.18079130381934</v>
      </c>
      <c r="T223">
        <v>24.937</v>
      </c>
      <c r="U223" s="7">
        <f t="shared" si="38"/>
        <v>0.537988691502586</v>
      </c>
      <c r="V223">
        <f t="shared" si="39"/>
        <v>10.8255120379937</v>
      </c>
      <c r="Y223">
        <v>0.011646234</v>
      </c>
      <c r="Z223" s="8">
        <v>0.691167153261733</v>
      </c>
      <c r="AA223">
        <f t="shared" si="40"/>
        <v>8.42633077784627</v>
      </c>
      <c r="AD223" s="9">
        <v>1.990395</v>
      </c>
      <c r="AE223">
        <f t="shared" si="41"/>
        <v>2.92605390194696</v>
      </c>
      <c r="AH223">
        <v>3.7856</v>
      </c>
      <c r="AI223" s="10">
        <f t="shared" si="42"/>
        <v>3.54390955198647</v>
      </c>
      <c r="AJ223">
        <f t="shared" si="43"/>
        <v>1.64338366166856</v>
      </c>
    </row>
    <row r="224" spans="1:37">
      <c r="A224" s="1" t="s">
        <v>244</v>
      </c>
      <c r="B224" s="1">
        <v>13415824</v>
      </c>
      <c r="C224" s="2">
        <v>0.0558818</v>
      </c>
      <c r="E224">
        <v>2.601353</v>
      </c>
      <c r="F224">
        <v>5157.24909</v>
      </c>
      <c r="G224" s="3">
        <f t="shared" si="33"/>
        <v>5.15724909</v>
      </c>
      <c r="I224" t="s">
        <v>244</v>
      </c>
      <c r="J224">
        <v>2.22382</v>
      </c>
      <c r="K224" s="5">
        <f t="shared" si="34"/>
        <v>6.03278322885845</v>
      </c>
      <c r="L224">
        <f t="shared" si="35"/>
        <v>1.1697676655867</v>
      </c>
      <c r="O224">
        <v>0.0025376</v>
      </c>
      <c r="P224" s="6">
        <f t="shared" si="36"/>
        <v>5.286815889029</v>
      </c>
      <c r="Q224" s="4">
        <f t="shared" si="37"/>
        <v>1.14109954942396</v>
      </c>
      <c r="T224">
        <v>24.973</v>
      </c>
      <c r="U224" s="7">
        <f t="shared" si="38"/>
        <v>0.537213150202218</v>
      </c>
      <c r="V224">
        <f t="shared" si="39"/>
        <v>11.2297757912061</v>
      </c>
      <c r="Y224">
        <v>0.011646666</v>
      </c>
      <c r="Z224" s="8">
        <v>0.691141516379022</v>
      </c>
      <c r="AA224">
        <f t="shared" si="40"/>
        <v>8.72872354776916</v>
      </c>
      <c r="AD224" s="9">
        <v>1.979064</v>
      </c>
      <c r="AE224">
        <f t="shared" si="41"/>
        <v>3.0483012317229</v>
      </c>
      <c r="AH224">
        <v>3.8308</v>
      </c>
      <c r="AI224" s="10">
        <f t="shared" si="42"/>
        <v>3.50209460164979</v>
      </c>
      <c r="AJ224">
        <f t="shared" si="43"/>
        <v>1.7226214351881</v>
      </c>
    </row>
    <row r="225" spans="1:36">
      <c r="A225" s="1" t="s">
        <v>245</v>
      </c>
      <c r="B225" s="1">
        <v>13447552</v>
      </c>
      <c r="C225" s="2">
        <v>0.000104417</v>
      </c>
      <c r="E225">
        <v>4.109343</v>
      </c>
      <c r="F225">
        <v>3272.43374</v>
      </c>
      <c r="G225" s="3">
        <f t="shared" si="33"/>
        <v>3.27243374</v>
      </c>
      <c r="I225" t="s">
        <v>245</v>
      </c>
      <c r="J225">
        <v>6.33576</v>
      </c>
      <c r="K225" s="5">
        <f t="shared" si="34"/>
        <v>2.12248443754183</v>
      </c>
      <c r="L225">
        <f t="shared" si="35"/>
        <v>0.648595084324557</v>
      </c>
      <c r="O225">
        <v>0.0035312</v>
      </c>
      <c r="P225" s="6">
        <f t="shared" si="36"/>
        <v>3.80821024014499</v>
      </c>
      <c r="Q225" s="4">
        <f t="shared" si="37"/>
        <v>0.557344343851409</v>
      </c>
      <c r="T225">
        <v>68.918</v>
      </c>
      <c r="U225" s="7">
        <f t="shared" si="38"/>
        <v>0.19512394439769</v>
      </c>
      <c r="V225">
        <f t="shared" si="39"/>
        <v>10.8776216270818</v>
      </c>
      <c r="Y225">
        <v>0.002272518</v>
      </c>
      <c r="Z225" s="8">
        <v>3.55048065625883</v>
      </c>
      <c r="AA225">
        <f t="shared" si="40"/>
        <v>0.59780200007576</v>
      </c>
      <c r="AD225" s="9">
        <v>1.980771</v>
      </c>
      <c r="AE225">
        <f t="shared" si="41"/>
        <v>1.07154458417547</v>
      </c>
      <c r="AH225">
        <v>7.4526</v>
      </c>
      <c r="AI225" s="10">
        <f t="shared" si="42"/>
        <v>1.80441080965032</v>
      </c>
      <c r="AJ225">
        <f t="shared" si="43"/>
        <v>1.17627561650063</v>
      </c>
    </row>
    <row r="226" spans="1:36">
      <c r="A226" s="1" t="s">
        <v>247</v>
      </c>
      <c r="B226" s="1">
        <v>13781034</v>
      </c>
      <c r="C226" s="2">
        <v>0.00448766</v>
      </c>
      <c r="E226">
        <v>3.636262</v>
      </c>
      <c r="F226">
        <v>3789.89027</v>
      </c>
      <c r="G226" s="3">
        <f t="shared" si="33"/>
        <v>3.78989027</v>
      </c>
      <c r="I226" t="s">
        <v>247</v>
      </c>
      <c r="J226">
        <v>1.65692</v>
      </c>
      <c r="K226" s="5">
        <f t="shared" si="34"/>
        <v>8.31725973492987</v>
      </c>
      <c r="L226">
        <f t="shared" si="35"/>
        <v>2.19459117346157</v>
      </c>
      <c r="O226">
        <v>0.0021648</v>
      </c>
      <c r="P226" s="6">
        <f t="shared" si="36"/>
        <v>6.36596175166297</v>
      </c>
      <c r="Q226" s="4">
        <f t="shared" si="37"/>
        <v>1.30652053207155</v>
      </c>
      <c r="T226">
        <v>8.559</v>
      </c>
      <c r="U226" s="7">
        <f t="shared" si="38"/>
        <v>1.61012197686646</v>
      </c>
      <c r="V226">
        <f t="shared" si="39"/>
        <v>5.16560847838157</v>
      </c>
      <c r="Y226">
        <v>0.00797931</v>
      </c>
      <c r="Z226" s="8">
        <v>1.03625757114337</v>
      </c>
      <c r="AA226">
        <f t="shared" si="40"/>
        <v>8.02624749535282</v>
      </c>
      <c r="AD226" s="9">
        <v>2.378442</v>
      </c>
      <c r="AE226">
        <f t="shared" si="41"/>
        <v>3.49693611823617</v>
      </c>
      <c r="AH226">
        <v>2.7183</v>
      </c>
      <c r="AI226" s="10">
        <f t="shared" si="42"/>
        <v>5.06972519589449</v>
      </c>
      <c r="AJ226">
        <f t="shared" si="43"/>
        <v>1.64057407720349</v>
      </c>
    </row>
    <row r="227" spans="1:36">
      <c r="A227" s="1" t="s">
        <v>246</v>
      </c>
      <c r="B227" s="1">
        <v>13781034</v>
      </c>
      <c r="C227" s="2">
        <v>0.00664717</v>
      </c>
      <c r="E227">
        <v>3.236319</v>
      </c>
      <c r="F227">
        <v>4258.243505</v>
      </c>
      <c r="G227" s="3">
        <f t="shared" si="33"/>
        <v>4.258243505</v>
      </c>
      <c r="I227" t="s">
        <v>246</v>
      </c>
      <c r="J227">
        <v>1.65504</v>
      </c>
      <c r="K227" s="5">
        <f t="shared" si="34"/>
        <v>8.32670751160093</v>
      </c>
      <c r="L227">
        <f t="shared" si="35"/>
        <v>1.95543244575463</v>
      </c>
      <c r="O227">
        <v>0.002144</v>
      </c>
      <c r="P227" s="6">
        <f t="shared" si="36"/>
        <v>6.42772108208955</v>
      </c>
      <c r="Q227" s="4">
        <f t="shared" si="37"/>
        <v>1.2954369682908</v>
      </c>
      <c r="T227">
        <v>8.134</v>
      </c>
      <c r="U227" s="7">
        <f t="shared" si="38"/>
        <v>1.69425055323334</v>
      </c>
      <c r="V227">
        <f t="shared" si="39"/>
        <v>4.91468484145398</v>
      </c>
      <c r="Y227">
        <v>0.00899901</v>
      </c>
      <c r="Z227" s="8">
        <v>0.918836672033924</v>
      </c>
      <c r="AA227">
        <f t="shared" si="40"/>
        <v>9.06222810324826</v>
      </c>
      <c r="AD227" s="9">
        <v>2.420784</v>
      </c>
      <c r="AE227">
        <f t="shared" si="41"/>
        <v>3.43967388730301</v>
      </c>
      <c r="AH227">
        <v>2.7099</v>
      </c>
      <c r="AI227" s="10">
        <f t="shared" si="42"/>
        <v>5.08544005313849</v>
      </c>
      <c r="AJ227">
        <f t="shared" si="43"/>
        <v>1.63736223897912</v>
      </c>
    </row>
    <row r="228" spans="1:36">
      <c r="A228" s="1" t="s">
        <v>248</v>
      </c>
      <c r="B228" s="1">
        <v>13880252</v>
      </c>
      <c r="C228" s="2">
        <v>0.00072831</v>
      </c>
      <c r="E228">
        <v>10.884247</v>
      </c>
      <c r="F228">
        <v>1275.260624</v>
      </c>
      <c r="G228" s="3">
        <f t="shared" si="33"/>
        <v>1.275260624</v>
      </c>
      <c r="I228" t="s">
        <v>248</v>
      </c>
      <c r="J228">
        <v>10.3923</v>
      </c>
      <c r="K228" s="5">
        <f t="shared" si="34"/>
        <v>1.33562849417357</v>
      </c>
      <c r="L228">
        <f t="shared" si="35"/>
        <v>1.04733767281563</v>
      </c>
      <c r="O228">
        <v>0.0213712</v>
      </c>
      <c r="P228" s="6">
        <f t="shared" si="36"/>
        <v>0.649483978438272</v>
      </c>
      <c r="Q228" s="4">
        <f t="shared" si="37"/>
        <v>2.05644563763556</v>
      </c>
      <c r="T228">
        <v>25.636</v>
      </c>
      <c r="U228" s="7">
        <f t="shared" si="38"/>
        <v>0.541435949446091</v>
      </c>
      <c r="V228">
        <f t="shared" si="39"/>
        <v>2.46682640031562</v>
      </c>
      <c r="Y228">
        <v>0.008407422</v>
      </c>
      <c r="Z228" s="8">
        <v>0.990571330902624</v>
      </c>
      <c r="AA228">
        <f t="shared" si="40"/>
        <v>1.34834156057851</v>
      </c>
      <c r="AD228" s="9">
        <v>0.672171</v>
      </c>
      <c r="AE228">
        <f t="shared" si="41"/>
        <v>1.98703677215109</v>
      </c>
      <c r="AH228">
        <v>20.6066</v>
      </c>
      <c r="AI228" s="10">
        <f t="shared" si="42"/>
        <v>0.673582832684674</v>
      </c>
      <c r="AJ228">
        <f t="shared" si="43"/>
        <v>1.98287193402808</v>
      </c>
    </row>
    <row r="229" spans="1:36">
      <c r="A229" s="1" t="s">
        <v>249</v>
      </c>
      <c r="B229" s="1">
        <v>13887484</v>
      </c>
      <c r="C229" s="2">
        <v>0</v>
      </c>
      <c r="E229">
        <v>6.439533</v>
      </c>
      <c r="F229">
        <v>2156.597973</v>
      </c>
      <c r="G229" s="3">
        <f t="shared" si="33"/>
        <v>2.156597973</v>
      </c>
      <c r="I229" t="s">
        <v>249</v>
      </c>
      <c r="J229">
        <v>5.91549</v>
      </c>
      <c r="K229" s="5">
        <f t="shared" si="34"/>
        <v>2.34764727858554</v>
      </c>
      <c r="L229">
        <f t="shared" si="35"/>
        <v>1.08858828023462</v>
      </c>
      <c r="O229">
        <v>0.005936</v>
      </c>
      <c r="P229" s="6">
        <f t="shared" si="36"/>
        <v>2.33953571428571</v>
      </c>
      <c r="Q229" s="4">
        <f t="shared" si="37"/>
        <v>1.00346716840025</v>
      </c>
      <c r="T229">
        <v>24.592</v>
      </c>
      <c r="U229" s="7">
        <f t="shared" si="38"/>
        <v>0.564715517241379</v>
      </c>
      <c r="V229">
        <f t="shared" si="39"/>
        <v>4.15722112622961</v>
      </c>
      <c r="Y229">
        <v>0.007491204</v>
      </c>
      <c r="Z229" s="8">
        <v>1.11230322922724</v>
      </c>
      <c r="AA229">
        <f t="shared" si="40"/>
        <v>2.11061805530902</v>
      </c>
      <c r="AD229" s="9">
        <v>0.978687</v>
      </c>
      <c r="AE229">
        <f t="shared" si="41"/>
        <v>2.39877231289017</v>
      </c>
      <c r="AH229">
        <v>7.5242</v>
      </c>
      <c r="AI229" s="10">
        <f t="shared" si="42"/>
        <v>1.84570904547992</v>
      </c>
      <c r="AJ229">
        <f t="shared" si="43"/>
        <v>1.27194873121246</v>
      </c>
    </row>
    <row r="230" spans="1:36">
      <c r="A230" s="1" t="s">
        <v>250</v>
      </c>
      <c r="B230" s="1">
        <v>13969156</v>
      </c>
      <c r="C230" s="2">
        <v>0</v>
      </c>
      <c r="E230">
        <v>7.492309</v>
      </c>
      <c r="F230">
        <v>1864.466141</v>
      </c>
      <c r="G230" s="3">
        <f t="shared" si="33"/>
        <v>1.864466141</v>
      </c>
      <c r="I230" t="s">
        <v>250</v>
      </c>
      <c r="J230">
        <v>6.09709</v>
      </c>
      <c r="K230" s="5">
        <f t="shared" si="34"/>
        <v>2.2911185499968</v>
      </c>
      <c r="L230">
        <f t="shared" si="35"/>
        <v>1.22883355166105</v>
      </c>
      <c r="O230">
        <v>0.0075776</v>
      </c>
      <c r="P230" s="6">
        <f t="shared" si="36"/>
        <v>1.84348025760135</v>
      </c>
      <c r="Q230" s="4">
        <f t="shared" si="37"/>
        <v>1.24282239560184</v>
      </c>
      <c r="T230">
        <v>22.892</v>
      </c>
      <c r="U230" s="7">
        <f t="shared" si="38"/>
        <v>0.610219989515988</v>
      </c>
      <c r="V230">
        <f t="shared" si="39"/>
        <v>3.754578003605</v>
      </c>
      <c r="Y230">
        <v>0.006989562</v>
      </c>
      <c r="Z230" s="8">
        <v>1.19914432406494</v>
      </c>
      <c r="AA230">
        <f t="shared" si="40"/>
        <v>1.91062785689567</v>
      </c>
      <c r="AD230" s="9">
        <v>1.345977</v>
      </c>
      <c r="AE230">
        <f t="shared" si="41"/>
        <v>1.70219740010179</v>
      </c>
      <c r="AH230">
        <v>10.3491</v>
      </c>
      <c r="AI230" s="10">
        <f t="shared" si="42"/>
        <v>1.34979428162835</v>
      </c>
      <c r="AJ230">
        <f t="shared" si="43"/>
        <v>1.697383505902</v>
      </c>
    </row>
    <row r="231" spans="1:36">
      <c r="A231" s="1" t="s">
        <v>251</v>
      </c>
      <c r="B231" s="1">
        <v>13973776</v>
      </c>
      <c r="C231" s="2">
        <v>0.957786</v>
      </c>
      <c r="E231">
        <v>1.872178</v>
      </c>
      <c r="F231">
        <v>7463.915319</v>
      </c>
      <c r="G231" s="3">
        <f t="shared" si="33"/>
        <v>7.463915319</v>
      </c>
      <c r="I231" t="s">
        <v>251</v>
      </c>
      <c r="J231">
        <v>1.26059</v>
      </c>
      <c r="K231" s="5">
        <f t="shared" si="34"/>
        <v>11.085107766998</v>
      </c>
      <c r="L231">
        <f t="shared" si="35"/>
        <v>1.4851599051211</v>
      </c>
      <c r="O231">
        <v>0.0014096</v>
      </c>
      <c r="P231" s="6">
        <f t="shared" si="36"/>
        <v>9.91329171396141</v>
      </c>
      <c r="Q231" s="4">
        <f t="shared" si="37"/>
        <v>1.11820655407389</v>
      </c>
      <c r="T231">
        <v>7.563</v>
      </c>
      <c r="U231" s="7">
        <f t="shared" si="38"/>
        <v>1.84764987438847</v>
      </c>
      <c r="V231">
        <f t="shared" si="39"/>
        <v>5.99957162915777</v>
      </c>
      <c r="Y231">
        <v>0.005074398</v>
      </c>
      <c r="Z231" s="8">
        <v>1.65226803258239</v>
      </c>
      <c r="AA231">
        <f t="shared" si="40"/>
        <v>6.70902513902219</v>
      </c>
      <c r="AD231" s="9">
        <v>3.01146</v>
      </c>
      <c r="AE231">
        <f t="shared" si="41"/>
        <v>3.6809745993631</v>
      </c>
      <c r="AH231">
        <v>1.6958</v>
      </c>
      <c r="AI231" s="10">
        <f t="shared" si="42"/>
        <v>8.24022644179738</v>
      </c>
      <c r="AJ231">
        <f t="shared" si="43"/>
        <v>1.34524310045296</v>
      </c>
    </row>
    <row r="232" spans="1:36">
      <c r="A232" s="1" t="s">
        <v>252</v>
      </c>
      <c r="B232" s="1">
        <v>14271848</v>
      </c>
      <c r="C232" s="2">
        <v>0.000890525</v>
      </c>
      <c r="E232">
        <v>13.905207</v>
      </c>
      <c r="F232">
        <v>1026.367199</v>
      </c>
      <c r="G232" s="3">
        <f t="shared" si="33"/>
        <v>1.026367199</v>
      </c>
      <c r="I232" t="s">
        <v>252</v>
      </c>
      <c r="J232">
        <v>10.4603</v>
      </c>
      <c r="K232" s="5">
        <f t="shared" si="34"/>
        <v>1.36438228349091</v>
      </c>
      <c r="L232">
        <f t="shared" si="35"/>
        <v>1.32933153438676</v>
      </c>
      <c r="O232">
        <v>0.020456</v>
      </c>
      <c r="P232" s="6">
        <f t="shared" si="36"/>
        <v>0.697685177942902</v>
      </c>
      <c r="Q232" s="4">
        <f t="shared" si="37"/>
        <v>1.95558444786478</v>
      </c>
      <c r="T232">
        <v>36.904</v>
      </c>
      <c r="U232" s="7">
        <f t="shared" si="38"/>
        <v>0.386729026663776</v>
      </c>
      <c r="V232">
        <f t="shared" si="39"/>
        <v>3.52800588893244</v>
      </c>
      <c r="Y232">
        <v>0.008102412</v>
      </c>
      <c r="Z232" s="8">
        <v>1.05685921673694</v>
      </c>
      <c r="AA232">
        <f t="shared" si="40"/>
        <v>1.2909782702217</v>
      </c>
      <c r="AD232" s="9">
        <v>0.711729</v>
      </c>
      <c r="AE232">
        <f t="shared" si="41"/>
        <v>1.9169968955753</v>
      </c>
      <c r="AH232">
        <v>30.1474</v>
      </c>
      <c r="AI232" s="10">
        <f t="shared" si="42"/>
        <v>0.473402283447329</v>
      </c>
      <c r="AJ232">
        <f t="shared" si="43"/>
        <v>2.88207795187518</v>
      </c>
    </row>
    <row r="233" spans="1:36">
      <c r="A233" s="1" t="s">
        <v>253</v>
      </c>
      <c r="B233" s="1">
        <v>14293332</v>
      </c>
      <c r="C233" s="2">
        <v>0.0509864</v>
      </c>
      <c r="E233">
        <v>8.005822</v>
      </c>
      <c r="F233">
        <v>1785.367104</v>
      </c>
      <c r="G233" s="3">
        <f t="shared" si="33"/>
        <v>1.785367104</v>
      </c>
      <c r="I233" t="s">
        <v>253</v>
      </c>
      <c r="J233">
        <v>7.18441</v>
      </c>
      <c r="K233" s="5">
        <f t="shared" si="34"/>
        <v>1.98949280455876</v>
      </c>
      <c r="L233">
        <f t="shared" si="35"/>
        <v>1.11433262106232</v>
      </c>
      <c r="O233">
        <v>0.0115664</v>
      </c>
      <c r="P233" s="6">
        <f t="shared" si="36"/>
        <v>1.23576324526214</v>
      </c>
      <c r="Q233" s="4">
        <f t="shared" si="37"/>
        <v>1.60993039094372</v>
      </c>
      <c r="T233">
        <v>32.426</v>
      </c>
      <c r="U233" s="7">
        <f t="shared" si="38"/>
        <v>0.440798495034849</v>
      </c>
      <c r="V233">
        <f t="shared" si="39"/>
        <v>4.51338384084427</v>
      </c>
      <c r="Y233">
        <v>0.02624508</v>
      </c>
      <c r="Z233" s="8">
        <v>0.326765976708777</v>
      </c>
      <c r="AA233">
        <f t="shared" si="40"/>
        <v>6.08843314899902</v>
      </c>
      <c r="AD233" s="9">
        <v>1.220199</v>
      </c>
      <c r="AE233">
        <f t="shared" si="41"/>
        <v>1.63046585397854</v>
      </c>
      <c r="AH233">
        <v>12.3533</v>
      </c>
      <c r="AI233" s="10">
        <f t="shared" si="42"/>
        <v>1.15704564772166</v>
      </c>
      <c r="AJ233">
        <f t="shared" si="43"/>
        <v>1.71945921794552</v>
      </c>
    </row>
    <row r="234" spans="1:36">
      <c r="A234" s="1" t="s">
        <v>254</v>
      </c>
      <c r="B234" s="1">
        <v>14310872</v>
      </c>
      <c r="C234" s="2">
        <v>6.14402e-5</v>
      </c>
      <c r="E234">
        <v>11.264459</v>
      </c>
      <c r="F234">
        <v>1270.444735</v>
      </c>
      <c r="G234" s="3">
        <f t="shared" si="33"/>
        <v>1.270444735</v>
      </c>
      <c r="I234" t="s">
        <v>254</v>
      </c>
      <c r="J234">
        <v>11.0892</v>
      </c>
      <c r="K234" s="5">
        <f t="shared" si="34"/>
        <v>1.29052339212928</v>
      </c>
      <c r="L234">
        <f t="shared" si="35"/>
        <v>1.01580443176797</v>
      </c>
      <c r="O234">
        <v>0.0233648</v>
      </c>
      <c r="P234" s="6">
        <f t="shared" si="36"/>
        <v>0.612497089639115</v>
      </c>
      <c r="Q234" s="4">
        <f t="shared" si="37"/>
        <v>2.10698697832125</v>
      </c>
      <c r="T234">
        <v>26.567</v>
      </c>
      <c r="U234" s="7">
        <f t="shared" si="38"/>
        <v>0.538670982798208</v>
      </c>
      <c r="V234">
        <f t="shared" si="39"/>
        <v>2.39575442773149</v>
      </c>
      <c r="Y234">
        <v>0.008436528</v>
      </c>
      <c r="Z234" s="8">
        <v>1.0177792570593</v>
      </c>
      <c r="AA234">
        <f t="shared" si="40"/>
        <v>1.2679796558814</v>
      </c>
      <c r="AD234" s="9">
        <v>0.6606</v>
      </c>
      <c r="AE234">
        <f t="shared" si="41"/>
        <v>1.95356250700769</v>
      </c>
      <c r="AH234">
        <v>20.8362</v>
      </c>
      <c r="AI234" s="10">
        <f t="shared" si="42"/>
        <v>0.686827348556839</v>
      </c>
      <c r="AJ234">
        <f t="shared" si="43"/>
        <v>1.87896331565848</v>
      </c>
    </row>
    <row r="235" spans="1:36">
      <c r="A235" s="1" t="s">
        <v>255</v>
      </c>
      <c r="B235" s="1">
        <v>14374580</v>
      </c>
      <c r="C235" s="2">
        <v>0.035795</v>
      </c>
      <c r="E235">
        <v>8.00513</v>
      </c>
      <c r="F235">
        <v>1795.671112</v>
      </c>
      <c r="G235" s="3">
        <f t="shared" si="33"/>
        <v>1.795671112</v>
      </c>
      <c r="I235" t="s">
        <v>255</v>
      </c>
      <c r="J235">
        <v>9.58088</v>
      </c>
      <c r="K235" s="5">
        <f t="shared" si="34"/>
        <v>1.50034026101986</v>
      </c>
      <c r="L235">
        <f t="shared" si="35"/>
        <v>0.835531769149419</v>
      </c>
      <c r="O235">
        <v>0.0075344</v>
      </c>
      <c r="P235" s="6">
        <f t="shared" si="36"/>
        <v>1.90785994903377</v>
      </c>
      <c r="Q235" s="4">
        <f t="shared" si="37"/>
        <v>0.786399579161831</v>
      </c>
      <c r="T235">
        <v>128.234</v>
      </c>
      <c r="U235" s="7">
        <f t="shared" si="38"/>
        <v>0.112096479872733</v>
      </c>
      <c r="V235">
        <f t="shared" si="39"/>
        <v>13.38436552801</v>
      </c>
      <c r="Y235">
        <v>0.02676276</v>
      </c>
      <c r="Z235" s="8">
        <v>0.322266761724127</v>
      </c>
      <c r="AA235">
        <f t="shared" si="40"/>
        <v>4.6555848732058</v>
      </c>
      <c r="AD235" s="9">
        <v>0.957</v>
      </c>
      <c r="AE235">
        <f t="shared" si="41"/>
        <v>1.56775366877729</v>
      </c>
      <c r="AH235">
        <v>19.7939</v>
      </c>
      <c r="AI235" s="10">
        <f t="shared" si="42"/>
        <v>0.726212621060024</v>
      </c>
      <c r="AJ235">
        <f t="shared" si="43"/>
        <v>2.06597932548993</v>
      </c>
    </row>
    <row r="236" spans="1:36">
      <c r="A236" s="1" t="s">
        <v>256</v>
      </c>
      <c r="B236" s="1">
        <v>14486894</v>
      </c>
      <c r="C236" s="2">
        <v>0.0125889</v>
      </c>
      <c r="E236">
        <v>6.767922</v>
      </c>
      <c r="F236">
        <v>2140.523306</v>
      </c>
      <c r="G236" s="3">
        <f t="shared" si="33"/>
        <v>2.140523306</v>
      </c>
      <c r="I236" t="s">
        <v>256</v>
      </c>
      <c r="J236">
        <v>4.4757</v>
      </c>
      <c r="K236" s="5">
        <f t="shared" si="34"/>
        <v>3.23678843532855</v>
      </c>
      <c r="L236">
        <f t="shared" si="35"/>
        <v>1.51214818649984</v>
      </c>
      <c r="O236">
        <v>0.0055968</v>
      </c>
      <c r="P236" s="6">
        <f t="shared" si="36"/>
        <v>2.58842445683248</v>
      </c>
      <c r="Q236" s="4">
        <f t="shared" si="37"/>
        <v>1.25048595750385</v>
      </c>
      <c r="T236">
        <v>22.067</v>
      </c>
      <c r="U236" s="7">
        <f t="shared" si="38"/>
        <v>0.656495853536956</v>
      </c>
      <c r="V236">
        <f t="shared" si="39"/>
        <v>4.93040194829859</v>
      </c>
      <c r="Y236">
        <v>0.008535204</v>
      </c>
      <c r="Z236" s="8">
        <v>1.01838648496275</v>
      </c>
      <c r="AA236">
        <f t="shared" si="40"/>
        <v>3.17834975534553</v>
      </c>
      <c r="AD236" s="9">
        <v>1.383807</v>
      </c>
      <c r="AE236">
        <f t="shared" si="41"/>
        <v>2.3390461497366</v>
      </c>
      <c r="AH236">
        <v>6.9455</v>
      </c>
      <c r="AI236" s="10">
        <f t="shared" si="42"/>
        <v>2.08579569505435</v>
      </c>
      <c r="AJ236">
        <f t="shared" si="43"/>
        <v>1.55182429564091</v>
      </c>
    </row>
    <row r="237" spans="1:36">
      <c r="A237" s="1" t="s">
        <v>257</v>
      </c>
      <c r="B237" s="1">
        <v>14661300</v>
      </c>
      <c r="C237" s="2">
        <v>0.0239135</v>
      </c>
      <c r="E237">
        <v>2.46319</v>
      </c>
      <c r="F237">
        <v>5952.159651</v>
      </c>
      <c r="G237" s="3">
        <f t="shared" si="33"/>
        <v>5.952159651</v>
      </c>
      <c r="I237" t="s">
        <v>257</v>
      </c>
      <c r="J237">
        <v>1.7224</v>
      </c>
      <c r="K237" s="5">
        <f t="shared" si="34"/>
        <v>8.51213423130516</v>
      </c>
      <c r="L237">
        <f t="shared" si="35"/>
        <v>1.43009171971304</v>
      </c>
      <c r="O237">
        <v>0.0022096</v>
      </c>
      <c r="P237" s="6">
        <f t="shared" si="36"/>
        <v>6.63527335264301</v>
      </c>
      <c r="Q237" s="4">
        <f t="shared" si="37"/>
        <v>1.28286112401301</v>
      </c>
      <c r="T237">
        <v>15.373</v>
      </c>
      <c r="U237" s="7">
        <f t="shared" si="38"/>
        <v>0.953704546932934</v>
      </c>
      <c r="V237">
        <f t="shared" si="39"/>
        <v>8.92533673943335</v>
      </c>
      <c r="Y237">
        <v>0.007417656</v>
      </c>
      <c r="Z237" s="8">
        <v>1.1859245022956</v>
      </c>
      <c r="AA237">
        <f t="shared" si="40"/>
        <v>7.17763585694382</v>
      </c>
      <c r="AD237" s="9">
        <v>1.716741</v>
      </c>
      <c r="AE237">
        <f t="shared" si="41"/>
        <v>4.95831009529402</v>
      </c>
      <c r="AH237">
        <v>2.9293</v>
      </c>
      <c r="AI237" s="10">
        <f t="shared" si="42"/>
        <v>5.00505240159765</v>
      </c>
      <c r="AJ237">
        <f t="shared" si="43"/>
        <v>1.70070831398049</v>
      </c>
    </row>
    <row r="238" spans="1:36">
      <c r="A238" s="1" t="s">
        <v>258</v>
      </c>
      <c r="B238" s="1">
        <v>14809786</v>
      </c>
      <c r="C238" s="2">
        <v>0.000122986</v>
      </c>
      <c r="E238">
        <v>6.597979</v>
      </c>
      <c r="F238">
        <v>2244.594381</v>
      </c>
      <c r="G238" s="3">
        <f t="shared" si="33"/>
        <v>2.244594381</v>
      </c>
      <c r="I238" t="s">
        <v>258</v>
      </c>
      <c r="J238">
        <v>9.47117</v>
      </c>
      <c r="K238" s="5">
        <f t="shared" si="34"/>
        <v>1.56367016957778</v>
      </c>
      <c r="L238">
        <f t="shared" si="35"/>
        <v>0.696638191209025</v>
      </c>
      <c r="O238">
        <v>0.0040416</v>
      </c>
      <c r="P238" s="6">
        <f t="shared" si="36"/>
        <v>3.66433739113222</v>
      </c>
      <c r="Q238" s="4">
        <f t="shared" si="37"/>
        <v>0.426726581826744</v>
      </c>
      <c r="T238">
        <v>28.067</v>
      </c>
      <c r="U238" s="7">
        <f t="shared" si="38"/>
        <v>0.527658317597178</v>
      </c>
      <c r="V238">
        <f t="shared" si="39"/>
        <v>2.96341423498892</v>
      </c>
      <c r="Y238">
        <v>0.00697761</v>
      </c>
      <c r="Z238" s="8">
        <v>1.27348355669061</v>
      </c>
      <c r="AA238">
        <f t="shared" si="40"/>
        <v>1.22786836262046</v>
      </c>
      <c r="AD238" s="9">
        <v>1.787664</v>
      </c>
      <c r="AE238">
        <f t="shared" si="41"/>
        <v>0.874700262229245</v>
      </c>
      <c r="AH238">
        <v>5.7238</v>
      </c>
      <c r="AI238" s="10">
        <f t="shared" si="42"/>
        <v>2.58740452147175</v>
      </c>
      <c r="AJ238">
        <f t="shared" si="43"/>
        <v>0.604339273817279</v>
      </c>
    </row>
    <row r="239" spans="1:36">
      <c r="A239" s="1" t="s">
        <v>259</v>
      </c>
      <c r="B239" s="1">
        <v>14875950</v>
      </c>
      <c r="C239" s="2">
        <v>0.525705</v>
      </c>
      <c r="E239">
        <v>2.299045</v>
      </c>
      <c r="F239">
        <v>6470.491721</v>
      </c>
      <c r="G239" s="3">
        <f t="shared" si="33"/>
        <v>6.470491721</v>
      </c>
      <c r="I239" t="s">
        <v>259</v>
      </c>
      <c r="J239">
        <v>1.38512</v>
      </c>
      <c r="K239" s="5">
        <f t="shared" si="34"/>
        <v>10.739827596165</v>
      </c>
      <c r="L239">
        <f t="shared" si="35"/>
        <v>1.65981629515247</v>
      </c>
      <c r="O239">
        <v>0.001872</v>
      </c>
      <c r="P239" s="6">
        <f t="shared" si="36"/>
        <v>7.94655448717949</v>
      </c>
      <c r="Q239" s="4">
        <f t="shared" si="37"/>
        <v>1.351507450618</v>
      </c>
      <c r="T239">
        <v>9.324</v>
      </c>
      <c r="U239" s="7">
        <f t="shared" si="38"/>
        <v>1.59544723294723</v>
      </c>
      <c r="V239">
        <f t="shared" si="39"/>
        <v>6.73154672519349</v>
      </c>
      <c r="Y239">
        <v>0.00600444</v>
      </c>
      <c r="Z239" s="8">
        <v>1.48649499370466</v>
      </c>
      <c r="AA239">
        <f t="shared" si="40"/>
        <v>7.22493357976204</v>
      </c>
      <c r="AD239" s="9">
        <v>2.845233</v>
      </c>
      <c r="AE239">
        <f t="shared" si="41"/>
        <v>3.77467419932391</v>
      </c>
      <c r="AH239">
        <v>1.8713</v>
      </c>
      <c r="AI239" s="10">
        <f t="shared" si="42"/>
        <v>7.94952706674504</v>
      </c>
      <c r="AJ239">
        <f t="shared" si="43"/>
        <v>1.35100207924223</v>
      </c>
    </row>
    <row r="240" spans="1:36">
      <c r="A240" s="1" t="s">
        <v>261</v>
      </c>
      <c r="B240" s="1">
        <v>14947884</v>
      </c>
      <c r="C240" s="2">
        <v>0.036922</v>
      </c>
      <c r="E240">
        <v>7.911735</v>
      </c>
      <c r="F240">
        <v>1889.330693</v>
      </c>
      <c r="G240" s="3">
        <f t="shared" si="33"/>
        <v>1.889330693</v>
      </c>
      <c r="I240" t="s">
        <v>261</v>
      </c>
      <c r="J240">
        <v>9.22824</v>
      </c>
      <c r="K240" s="5">
        <f t="shared" si="34"/>
        <v>1.61979792463135</v>
      </c>
      <c r="L240">
        <f t="shared" si="35"/>
        <v>0.857339549202649</v>
      </c>
      <c r="O240">
        <v>0.011536</v>
      </c>
      <c r="P240" s="6">
        <f t="shared" si="36"/>
        <v>1.29575970873786</v>
      </c>
      <c r="Q240" s="4">
        <f t="shared" si="37"/>
        <v>1.25007585411736</v>
      </c>
      <c r="T240">
        <v>137.487</v>
      </c>
      <c r="U240" s="7">
        <f t="shared" si="38"/>
        <v>0.108722162822667</v>
      </c>
      <c r="V240">
        <f t="shared" si="39"/>
        <v>14.8985071909703</v>
      </c>
      <c r="Y240">
        <v>0.02785428</v>
      </c>
      <c r="Z240" s="8">
        <v>0.321987515024621</v>
      </c>
      <c r="AA240">
        <f t="shared" si="40"/>
        <v>5.03062339080908</v>
      </c>
      <c r="AD240" s="9">
        <v>0.984021</v>
      </c>
      <c r="AE240">
        <f t="shared" si="41"/>
        <v>1.64610097206396</v>
      </c>
      <c r="AH240">
        <v>14.1486</v>
      </c>
      <c r="AI240" s="10">
        <f t="shared" si="42"/>
        <v>1.05649209109028</v>
      </c>
      <c r="AJ240">
        <f t="shared" si="43"/>
        <v>1.5331850927154</v>
      </c>
    </row>
    <row r="241" spans="1:36">
      <c r="A241" s="1" t="s">
        <v>260</v>
      </c>
      <c r="B241" s="1">
        <v>14947884</v>
      </c>
      <c r="C241" s="2">
        <v>0.036922</v>
      </c>
      <c r="E241">
        <v>10.139058</v>
      </c>
      <c r="F241">
        <v>1474.28721</v>
      </c>
      <c r="G241" s="3">
        <f t="shared" si="33"/>
        <v>1.47428721</v>
      </c>
      <c r="I241" t="s">
        <v>260</v>
      </c>
      <c r="J241">
        <v>9.22757</v>
      </c>
      <c r="K241" s="5">
        <f t="shared" si="34"/>
        <v>1.61991553572609</v>
      </c>
      <c r="L241">
        <f t="shared" si="35"/>
        <v>1.09877880289424</v>
      </c>
      <c r="O241">
        <v>0.0083552</v>
      </c>
      <c r="P241" s="6">
        <f t="shared" si="36"/>
        <v>1.78905160857909</v>
      </c>
      <c r="Q241" s="4">
        <f t="shared" si="37"/>
        <v>0.905460484179475</v>
      </c>
      <c r="T241">
        <v>137.119</v>
      </c>
      <c r="U241" s="7">
        <f t="shared" si="38"/>
        <v>0.109013951385293</v>
      </c>
      <c r="V241">
        <f t="shared" si="39"/>
        <v>14.859708460624</v>
      </c>
      <c r="Y241">
        <v>0.02813274</v>
      </c>
      <c r="Z241" s="8">
        <v>0.318800458113927</v>
      </c>
      <c r="AA241">
        <f t="shared" si="40"/>
        <v>5.08128358820361</v>
      </c>
      <c r="AD241" s="9">
        <v>0.977055</v>
      </c>
      <c r="AE241">
        <f t="shared" si="41"/>
        <v>1.65795736752393</v>
      </c>
      <c r="AH241">
        <v>12.8863</v>
      </c>
      <c r="AI241" s="10">
        <f t="shared" si="42"/>
        <v>1.15998261719811</v>
      </c>
      <c r="AJ241">
        <f t="shared" si="43"/>
        <v>1.39649983690181</v>
      </c>
    </row>
    <row r="242" spans="1:36">
      <c r="A242" s="1" t="s">
        <v>262</v>
      </c>
      <c r="B242" s="1">
        <v>15017656</v>
      </c>
      <c r="C242" s="2">
        <v>0.000623899</v>
      </c>
      <c r="E242">
        <v>12.790806</v>
      </c>
      <c r="F242">
        <v>1174.097711</v>
      </c>
      <c r="G242" s="3">
        <f t="shared" si="33"/>
        <v>1.174097711</v>
      </c>
      <c r="I242" t="s">
        <v>262</v>
      </c>
      <c r="J242">
        <v>14.9849</v>
      </c>
      <c r="K242" s="5">
        <f t="shared" si="34"/>
        <v>1.00218593384007</v>
      </c>
      <c r="L242">
        <f t="shared" si="35"/>
        <v>0.853579667561473</v>
      </c>
      <c r="O242">
        <v>0.0239824</v>
      </c>
      <c r="P242" s="6">
        <f t="shared" si="36"/>
        <v>0.626194876242578</v>
      </c>
      <c r="Q242" s="4">
        <f t="shared" si="37"/>
        <v>1.60043777402585</v>
      </c>
      <c r="T242">
        <v>28.308</v>
      </c>
      <c r="U242" s="7">
        <f t="shared" si="38"/>
        <v>0.530509255334181</v>
      </c>
      <c r="V242">
        <f t="shared" si="39"/>
        <v>1.88910169570701</v>
      </c>
      <c r="Y242">
        <v>0.008969166</v>
      </c>
      <c r="Z242" s="8">
        <v>1.00461889098719</v>
      </c>
      <c r="AA242">
        <f t="shared" si="40"/>
        <v>0.997578228750274</v>
      </c>
      <c r="AD242" s="9">
        <v>0.668502</v>
      </c>
      <c r="AE242">
        <f t="shared" si="41"/>
        <v>1.49915173603081</v>
      </c>
      <c r="AH242">
        <v>18.97</v>
      </c>
      <c r="AI242" s="10">
        <f t="shared" si="42"/>
        <v>0.791652925672114</v>
      </c>
      <c r="AJ242">
        <f t="shared" si="43"/>
        <v>1.26594104732097</v>
      </c>
    </row>
    <row r="243" spans="1:36">
      <c r="A243" s="1" t="s">
        <v>263</v>
      </c>
      <c r="B243" s="1">
        <v>15113794</v>
      </c>
      <c r="C243" s="2">
        <v>0.00491152</v>
      </c>
      <c r="E243">
        <v>11.417765</v>
      </c>
      <c r="F243">
        <v>1323.70865</v>
      </c>
      <c r="G243" s="3">
        <f t="shared" si="33"/>
        <v>1.32370865</v>
      </c>
      <c r="I243" t="s">
        <v>263</v>
      </c>
      <c r="J243">
        <v>12.9154</v>
      </c>
      <c r="K243" s="5">
        <f t="shared" si="34"/>
        <v>1.17021493720675</v>
      </c>
      <c r="L243">
        <f t="shared" si="35"/>
        <v>0.884042676012388</v>
      </c>
      <c r="O243">
        <v>0.0206368</v>
      </c>
      <c r="P243" s="6">
        <f t="shared" si="36"/>
        <v>0.732371007132889</v>
      </c>
      <c r="Q243" s="4">
        <f t="shared" si="37"/>
        <v>1.59784443377673</v>
      </c>
      <c r="T243">
        <v>52.364</v>
      </c>
      <c r="U243" s="7">
        <f t="shared" si="38"/>
        <v>0.288629478267512</v>
      </c>
      <c r="V243">
        <f t="shared" si="39"/>
        <v>4.05438468804683</v>
      </c>
      <c r="Y243">
        <v>0.03237606</v>
      </c>
      <c r="Z243" s="8">
        <v>0.280092030963619</v>
      </c>
      <c r="AA243">
        <f t="shared" si="40"/>
        <v>4.17796583923069</v>
      </c>
      <c r="AD243" s="9">
        <v>0.901641</v>
      </c>
      <c r="AE243">
        <f t="shared" si="41"/>
        <v>1.29787236517277</v>
      </c>
      <c r="AH243">
        <v>21.8488</v>
      </c>
      <c r="AI243" s="10">
        <f t="shared" si="42"/>
        <v>0.691744809783604</v>
      </c>
      <c r="AJ243">
        <f t="shared" si="43"/>
        <v>1.69168589435867</v>
      </c>
    </row>
    <row r="244" spans="1:36">
      <c r="A244" s="1" t="s">
        <v>264</v>
      </c>
      <c r="B244" s="1">
        <v>15297700</v>
      </c>
      <c r="C244" s="2">
        <v>0.340764</v>
      </c>
      <c r="E244">
        <v>1.19242</v>
      </c>
      <c r="F244">
        <v>12829.121872</v>
      </c>
      <c r="G244" s="3">
        <f t="shared" si="33"/>
        <v>12.829121872</v>
      </c>
      <c r="I244" t="s">
        <v>264</v>
      </c>
      <c r="J244">
        <v>0.531981</v>
      </c>
      <c r="K244" s="5">
        <f t="shared" si="34"/>
        <v>28.7561021916196</v>
      </c>
      <c r="L244">
        <f t="shared" si="35"/>
        <v>2.24147080981285</v>
      </c>
      <c r="O244">
        <v>0.001416</v>
      </c>
      <c r="P244" s="6">
        <f t="shared" si="36"/>
        <v>10.8034604519774</v>
      </c>
      <c r="Q244" s="4">
        <f t="shared" si="37"/>
        <v>2.6617491978097</v>
      </c>
      <c r="T244">
        <v>15.682</v>
      </c>
      <c r="U244" s="7">
        <f t="shared" si="38"/>
        <v>0.975494197168728</v>
      </c>
      <c r="V244">
        <f t="shared" si="39"/>
        <v>29.4784964124659</v>
      </c>
      <c r="Y244">
        <v>0.004498164</v>
      </c>
      <c r="Z244" s="8">
        <v>2.04052586788743</v>
      </c>
      <c r="AA244">
        <f t="shared" si="40"/>
        <v>14.0924957846239</v>
      </c>
      <c r="AD244" s="9">
        <v>3.55107</v>
      </c>
      <c r="AE244">
        <f t="shared" si="41"/>
        <v>8.09786971014923</v>
      </c>
      <c r="AH244">
        <v>1.3352</v>
      </c>
      <c r="AI244" s="10">
        <f t="shared" si="42"/>
        <v>11.4572348711803</v>
      </c>
      <c r="AJ244">
        <f t="shared" si="43"/>
        <v>2.50986407409287</v>
      </c>
    </row>
    <row r="245" spans="1:36">
      <c r="A245" s="1" t="s">
        <v>266</v>
      </c>
      <c r="B245" s="1">
        <v>15427584</v>
      </c>
      <c r="C245" s="2">
        <v>0.160908</v>
      </c>
      <c r="E245">
        <v>7.525657</v>
      </c>
      <c r="F245">
        <v>2049.998216</v>
      </c>
      <c r="G245" s="3">
        <f t="shared" si="33"/>
        <v>2.049998216</v>
      </c>
      <c r="I245" t="s">
        <v>266</v>
      </c>
      <c r="J245">
        <v>8.52272</v>
      </c>
      <c r="K245" s="5">
        <f t="shared" si="34"/>
        <v>1.8101714006796</v>
      </c>
      <c r="L245">
        <f t="shared" si="35"/>
        <v>0.883011207791019</v>
      </c>
      <c r="O245">
        <v>0.008112</v>
      </c>
      <c r="P245" s="6">
        <f t="shared" si="36"/>
        <v>1.9018224852071</v>
      </c>
      <c r="Q245" s="4">
        <f t="shared" si="37"/>
        <v>0.951808812210186</v>
      </c>
      <c r="T245">
        <v>27.023</v>
      </c>
      <c r="U245" s="7">
        <f t="shared" si="38"/>
        <v>0.570905672945269</v>
      </c>
      <c r="V245">
        <f t="shared" si="39"/>
        <v>3.17070137233184</v>
      </c>
      <c r="Y245">
        <v>0.005210658</v>
      </c>
      <c r="Z245" s="8">
        <v>1.77646477661746</v>
      </c>
      <c r="AA245">
        <f t="shared" si="40"/>
        <v>1.01897398952447</v>
      </c>
      <c r="AD245" s="9">
        <v>1.433208</v>
      </c>
      <c r="AE245">
        <f t="shared" si="41"/>
        <v>1.2630207204255</v>
      </c>
      <c r="AH245">
        <v>10.0372</v>
      </c>
      <c r="AI245" s="10">
        <f t="shared" si="42"/>
        <v>1.53704060893476</v>
      </c>
      <c r="AJ245">
        <f t="shared" si="43"/>
        <v>1.17769913830326</v>
      </c>
    </row>
    <row r="246" spans="1:36">
      <c r="A246" s="1" t="s">
        <v>265</v>
      </c>
      <c r="B246" s="1">
        <v>15427584</v>
      </c>
      <c r="C246" s="2">
        <v>0.15506</v>
      </c>
      <c r="E246">
        <v>7.429766</v>
      </c>
      <c r="F246">
        <v>2076.456191</v>
      </c>
      <c r="G246" s="3">
        <f t="shared" si="33"/>
        <v>2.076456191</v>
      </c>
      <c r="I246" t="s">
        <v>265</v>
      </c>
      <c r="J246">
        <v>7.99313</v>
      </c>
      <c r="K246" s="5">
        <f t="shared" si="34"/>
        <v>1.9301054780793</v>
      </c>
      <c r="L246">
        <f t="shared" si="35"/>
        <v>0.929518998014488</v>
      </c>
      <c r="O246">
        <v>0.0083856</v>
      </c>
      <c r="P246" s="6">
        <f t="shared" si="36"/>
        <v>1.83977103606182</v>
      </c>
      <c r="Q246" s="4">
        <f t="shared" si="37"/>
        <v>1.04910091541111</v>
      </c>
      <c r="T246">
        <v>27.032</v>
      </c>
      <c r="U246" s="7">
        <f t="shared" si="38"/>
        <v>0.570715596330275</v>
      </c>
      <c r="V246">
        <f t="shared" si="39"/>
        <v>3.38190421024054</v>
      </c>
      <c r="Y246">
        <v>0.005230026</v>
      </c>
      <c r="Z246" s="8">
        <v>1.76988611528891</v>
      </c>
      <c r="AA246">
        <f t="shared" si="40"/>
        <v>1.0905252385486</v>
      </c>
      <c r="AD246" s="9">
        <v>1.436079</v>
      </c>
      <c r="AE246">
        <f t="shared" si="41"/>
        <v>1.34401065545788</v>
      </c>
      <c r="AH246">
        <v>9.9686</v>
      </c>
      <c r="AI246" s="10">
        <f t="shared" si="42"/>
        <v>1.54761792026965</v>
      </c>
      <c r="AJ246">
        <f t="shared" si="43"/>
        <v>1.24714598661601</v>
      </c>
    </row>
    <row r="247" spans="1:36">
      <c r="A247" s="1" t="s">
        <v>267</v>
      </c>
      <c r="B247" s="1">
        <v>15489024</v>
      </c>
      <c r="C247" s="2">
        <v>0.0313791</v>
      </c>
      <c r="E247">
        <v>8.305161</v>
      </c>
      <c r="F247">
        <v>1864.987874</v>
      </c>
      <c r="G247" s="3">
        <f t="shared" si="33"/>
        <v>1.864987874</v>
      </c>
      <c r="I247" t="s">
        <v>267</v>
      </c>
      <c r="J247">
        <v>1.86857</v>
      </c>
      <c r="K247" s="5">
        <f t="shared" si="34"/>
        <v>8.2892393648619</v>
      </c>
      <c r="L247">
        <f t="shared" si="35"/>
        <v>4.44466126585759</v>
      </c>
      <c r="O247">
        <v>0.0022384</v>
      </c>
      <c r="P247" s="6">
        <f t="shared" si="36"/>
        <v>6.91968548963545</v>
      </c>
      <c r="Q247" s="4">
        <f t="shared" si="37"/>
        <v>1.19792140513869</v>
      </c>
      <c r="T247">
        <v>7.058</v>
      </c>
      <c r="U247" s="7">
        <f t="shared" si="38"/>
        <v>2.19453442901672</v>
      </c>
      <c r="V247">
        <f t="shared" si="39"/>
        <v>3.77722001316515</v>
      </c>
      <c r="Y247">
        <v>0.00661806</v>
      </c>
      <c r="Z247" s="8">
        <v>1.40425055076563</v>
      </c>
      <c r="AA247">
        <f t="shared" si="40"/>
        <v>5.90296322856517</v>
      </c>
      <c r="AD247" s="9">
        <v>0.907338</v>
      </c>
      <c r="AE247">
        <f t="shared" si="41"/>
        <v>9.13577891024282</v>
      </c>
      <c r="AH247">
        <v>2.7437</v>
      </c>
      <c r="AI247" s="10">
        <f t="shared" si="42"/>
        <v>5.6453052447425</v>
      </c>
      <c r="AJ247">
        <f t="shared" si="43"/>
        <v>1.46834210117898</v>
      </c>
    </row>
    <row r="248" spans="1:36">
      <c r="A248" s="1" t="s">
        <v>268</v>
      </c>
      <c r="B248" s="1">
        <v>15522442</v>
      </c>
      <c r="C248" s="2">
        <v>0</v>
      </c>
      <c r="E248">
        <v>4.053293</v>
      </c>
      <c r="F248">
        <v>3829.588245</v>
      </c>
      <c r="G248" s="3">
        <f t="shared" si="33"/>
        <v>3.829588245</v>
      </c>
      <c r="I248" t="s">
        <v>268</v>
      </c>
      <c r="J248">
        <v>1.86466</v>
      </c>
      <c r="K248" s="5">
        <f t="shared" si="34"/>
        <v>8.32454281209443</v>
      </c>
      <c r="L248">
        <f t="shared" si="35"/>
        <v>2.17374356706968</v>
      </c>
      <c r="O248">
        <v>0.0026112</v>
      </c>
      <c r="P248" s="6">
        <f t="shared" si="36"/>
        <v>5.94456265318627</v>
      </c>
      <c r="Q248" s="4">
        <f t="shared" si="37"/>
        <v>1.40036253257967</v>
      </c>
      <c r="T248">
        <v>15.234</v>
      </c>
      <c r="U248" s="7">
        <f t="shared" si="38"/>
        <v>1.01893409478797</v>
      </c>
      <c r="V248">
        <f t="shared" si="39"/>
        <v>8.1698540216447</v>
      </c>
      <c r="Y248">
        <v>0.004142124</v>
      </c>
      <c r="Z248" s="8">
        <v>2.2484757095635</v>
      </c>
      <c r="AA248">
        <f t="shared" si="40"/>
        <v>3.70230497785119</v>
      </c>
      <c r="AD248" s="9">
        <v>2.504898</v>
      </c>
      <c r="AE248">
        <f t="shared" si="41"/>
        <v>3.32330610351976</v>
      </c>
      <c r="AH248">
        <v>3.0511</v>
      </c>
      <c r="AI248" s="10">
        <f t="shared" si="42"/>
        <v>5.08749041329357</v>
      </c>
      <c r="AJ248">
        <f t="shared" si="43"/>
        <v>1.63627685476173</v>
      </c>
    </row>
    <row r="249" spans="1:36">
      <c r="A249" s="1" t="s">
        <v>269</v>
      </c>
      <c r="B249" s="1">
        <v>15550332</v>
      </c>
      <c r="C249" s="2">
        <v>0.000603696</v>
      </c>
      <c r="E249">
        <v>13.03416</v>
      </c>
      <c r="F249">
        <v>1193.044412</v>
      </c>
      <c r="G249" s="3">
        <f t="shared" si="33"/>
        <v>1.193044412</v>
      </c>
      <c r="I249" t="s">
        <v>269</v>
      </c>
      <c r="J249">
        <v>11.8039</v>
      </c>
      <c r="K249" s="5">
        <f t="shared" si="34"/>
        <v>1.31738933742238</v>
      </c>
      <c r="L249">
        <f t="shared" si="35"/>
        <v>1.10422489236082</v>
      </c>
      <c r="O249">
        <v>0.0242032</v>
      </c>
      <c r="P249" s="6">
        <f t="shared" si="36"/>
        <v>0.642490745025451</v>
      </c>
      <c r="Q249" s="4">
        <f t="shared" si="37"/>
        <v>2.05044095595523</v>
      </c>
      <c r="T249">
        <v>33.126</v>
      </c>
      <c r="U249" s="7">
        <f t="shared" si="38"/>
        <v>0.469429813439594</v>
      </c>
      <c r="V249">
        <f t="shared" si="39"/>
        <v>2.80636060962902</v>
      </c>
      <c r="Y249">
        <v>0.009267696</v>
      </c>
      <c r="Z249" s="8">
        <v>1.00674420050032</v>
      </c>
      <c r="AA249">
        <f t="shared" si="40"/>
        <v>1.30856411863875</v>
      </c>
      <c r="AD249" s="9">
        <v>0.669846</v>
      </c>
      <c r="AE249">
        <f t="shared" si="41"/>
        <v>1.96670479098536</v>
      </c>
      <c r="AH249">
        <v>18.2985</v>
      </c>
      <c r="AI249" s="10">
        <f t="shared" si="42"/>
        <v>0.849814574965161</v>
      </c>
      <c r="AJ249">
        <f t="shared" si="43"/>
        <v>1.55020798210761</v>
      </c>
    </row>
    <row r="250" spans="1:36">
      <c r="A250" s="1" t="s">
        <v>270</v>
      </c>
      <c r="B250" s="1">
        <v>15615390</v>
      </c>
      <c r="C250" s="2">
        <v>0</v>
      </c>
      <c r="E250">
        <v>2.601664</v>
      </c>
      <c r="F250">
        <v>6002.077683</v>
      </c>
      <c r="G250" s="3">
        <f t="shared" si="33"/>
        <v>6.002077683</v>
      </c>
      <c r="I250" t="s">
        <v>270</v>
      </c>
      <c r="J250">
        <v>2.03295</v>
      </c>
      <c r="K250" s="5">
        <f t="shared" si="34"/>
        <v>7.68114808529477</v>
      </c>
      <c r="L250">
        <f t="shared" si="35"/>
        <v>1.27974819570405</v>
      </c>
      <c r="O250">
        <v>0.0027712</v>
      </c>
      <c r="P250" s="6">
        <f t="shared" si="36"/>
        <v>5.63488380484988</v>
      </c>
      <c r="Q250" s="4">
        <f t="shared" si="37"/>
        <v>1.36314223173221</v>
      </c>
      <c r="T250">
        <v>11.535</v>
      </c>
      <c r="U250" s="7">
        <f t="shared" si="38"/>
        <v>1.35373992197659</v>
      </c>
      <c r="V250">
        <f t="shared" si="39"/>
        <v>5.67402051206375</v>
      </c>
      <c r="Y250">
        <v>0.0045225</v>
      </c>
      <c r="Z250" s="8">
        <v>2.07169353233831</v>
      </c>
      <c r="AA250">
        <f t="shared" si="40"/>
        <v>3.70766619936545</v>
      </c>
      <c r="AD250" s="9">
        <v>2.564943</v>
      </c>
      <c r="AE250">
        <f t="shared" si="41"/>
        <v>2.99466619152736</v>
      </c>
      <c r="AH250">
        <v>2.5832</v>
      </c>
      <c r="AI250" s="10">
        <f t="shared" si="42"/>
        <v>6.04497909569526</v>
      </c>
      <c r="AJ250">
        <f t="shared" si="43"/>
        <v>1.27066578125384</v>
      </c>
    </row>
    <row r="251" spans="1:36">
      <c r="A251" s="1" t="s">
        <v>271</v>
      </c>
      <c r="B251" s="1">
        <v>15630000</v>
      </c>
      <c r="C251" s="2">
        <v>0.000441419</v>
      </c>
      <c r="E251">
        <v>13.477427</v>
      </c>
      <c r="F251">
        <v>1159.716908</v>
      </c>
      <c r="G251" s="3">
        <f t="shared" si="33"/>
        <v>1.159716908</v>
      </c>
      <c r="I251" t="s">
        <v>271</v>
      </c>
      <c r="J251">
        <v>11.8998</v>
      </c>
      <c r="K251" s="5">
        <f t="shared" si="34"/>
        <v>1.31346745323451</v>
      </c>
      <c r="L251">
        <f t="shared" si="35"/>
        <v>1.1325759279475</v>
      </c>
      <c r="O251">
        <v>0.0222752</v>
      </c>
      <c r="P251" s="6">
        <f t="shared" si="36"/>
        <v>0.701677201551501</v>
      </c>
      <c r="Q251" s="4">
        <f t="shared" si="37"/>
        <v>1.87189700667238</v>
      </c>
      <c r="T251">
        <v>29.691</v>
      </c>
      <c r="U251" s="7">
        <f t="shared" si="38"/>
        <v>0.526422148125695</v>
      </c>
      <c r="V251">
        <f t="shared" si="39"/>
        <v>2.49508395099077</v>
      </c>
      <c r="Y251">
        <v>0.00908037</v>
      </c>
      <c r="Z251" s="8">
        <v>1.03277729872241</v>
      </c>
      <c r="AA251">
        <f t="shared" si="40"/>
        <v>1.27178187868704</v>
      </c>
      <c r="AD251" s="9">
        <v>0.657924</v>
      </c>
      <c r="AE251">
        <f t="shared" si="41"/>
        <v>1.99638172985711</v>
      </c>
      <c r="AH251">
        <v>14.9934</v>
      </c>
      <c r="AI251" s="10">
        <f t="shared" si="42"/>
        <v>1.04245868182</v>
      </c>
      <c r="AJ251">
        <f t="shared" si="43"/>
        <v>1.25997075581102</v>
      </c>
    </row>
    <row r="252" spans="1:36">
      <c r="A252" s="1" t="s">
        <v>272</v>
      </c>
      <c r="B252" s="1">
        <v>15656860</v>
      </c>
      <c r="C252" s="2">
        <v>0</v>
      </c>
      <c r="E252">
        <v>3.401532</v>
      </c>
      <c r="F252">
        <v>4602.88425</v>
      </c>
      <c r="G252" s="3">
        <f t="shared" si="33"/>
        <v>4.60288425</v>
      </c>
      <c r="I252" t="s">
        <v>272</v>
      </c>
      <c r="J252">
        <v>2.25967</v>
      </c>
      <c r="K252" s="5">
        <f t="shared" si="34"/>
        <v>6.92882589050614</v>
      </c>
      <c r="L252">
        <f t="shared" si="35"/>
        <v>1.50532264427595</v>
      </c>
      <c r="O252">
        <v>0.002104</v>
      </c>
      <c r="P252" s="6">
        <f t="shared" si="36"/>
        <v>7.44147338403042</v>
      </c>
      <c r="Q252" s="4">
        <f t="shared" si="37"/>
        <v>0.931109409781074</v>
      </c>
      <c r="T252">
        <v>15.91</v>
      </c>
      <c r="U252" s="7">
        <f t="shared" si="38"/>
        <v>0.98408925204274</v>
      </c>
      <c r="V252">
        <f t="shared" si="39"/>
        <v>7.04085109772666</v>
      </c>
      <c r="Y252">
        <v>0.005897826</v>
      </c>
      <c r="Z252" s="8">
        <v>1.59280996082285</v>
      </c>
      <c r="AA252">
        <f t="shared" si="40"/>
        <v>4.35006438993305</v>
      </c>
      <c r="AD252" s="9">
        <v>2.351196</v>
      </c>
      <c r="AE252">
        <f t="shared" si="41"/>
        <v>2.94693674644995</v>
      </c>
      <c r="AH252">
        <v>1.995</v>
      </c>
      <c r="AI252" s="10">
        <f t="shared" si="42"/>
        <v>7.84805012531328</v>
      </c>
      <c r="AJ252">
        <f t="shared" si="43"/>
        <v>0.882872277810477</v>
      </c>
    </row>
    <row r="253" spans="1:36">
      <c r="A253" s="1" t="s">
        <v>273</v>
      </c>
      <c r="B253" s="1">
        <v>15671020</v>
      </c>
      <c r="C253" s="2">
        <v>0</v>
      </c>
      <c r="E253">
        <v>4.717993</v>
      </c>
      <c r="F253">
        <v>3321.54341</v>
      </c>
      <c r="G253" s="3">
        <f t="shared" si="33"/>
        <v>3.32154341</v>
      </c>
      <c r="I253" t="s">
        <v>273</v>
      </c>
      <c r="J253">
        <v>3.09198</v>
      </c>
      <c r="K253" s="5">
        <f t="shared" si="34"/>
        <v>5.06827987244419</v>
      </c>
      <c r="L253">
        <f t="shared" si="35"/>
        <v>1.52588096762047</v>
      </c>
      <c r="O253">
        <v>0.0066432</v>
      </c>
      <c r="P253" s="6">
        <f t="shared" si="36"/>
        <v>2.35895652697495</v>
      </c>
      <c r="Q253" s="4">
        <f t="shared" si="37"/>
        <v>2.14852618710341</v>
      </c>
      <c r="T253">
        <v>21.108</v>
      </c>
      <c r="U253" s="7">
        <f t="shared" si="38"/>
        <v>0.742420883077506</v>
      </c>
      <c r="V253">
        <f t="shared" si="39"/>
        <v>6.82669357499078</v>
      </c>
      <c r="Y253">
        <v>0.006742656</v>
      </c>
      <c r="Z253" s="8">
        <v>1.39449676803918</v>
      </c>
      <c r="AA253">
        <f t="shared" si="40"/>
        <v>3.63448663962898</v>
      </c>
      <c r="AD253" s="9">
        <v>1.41762</v>
      </c>
      <c r="AE253">
        <f t="shared" si="41"/>
        <v>3.57520342012965</v>
      </c>
      <c r="AH253">
        <v>5.7786</v>
      </c>
      <c r="AI253" s="10">
        <f t="shared" si="42"/>
        <v>2.71190599799259</v>
      </c>
      <c r="AJ253">
        <f t="shared" si="43"/>
        <v>1.86889954010052</v>
      </c>
    </row>
    <row r="254" spans="1:36">
      <c r="A254" s="1" t="s">
        <v>274</v>
      </c>
      <c r="B254" s="1">
        <v>15759436</v>
      </c>
      <c r="C254" s="2">
        <v>9.3214e-5</v>
      </c>
      <c r="E254">
        <v>5.622184</v>
      </c>
      <c r="F254">
        <v>2803.0806</v>
      </c>
      <c r="G254" s="3">
        <f t="shared" si="33"/>
        <v>2.8030806</v>
      </c>
      <c r="I254" t="s">
        <v>274</v>
      </c>
      <c r="J254">
        <v>8.22097</v>
      </c>
      <c r="K254" s="5">
        <f t="shared" si="34"/>
        <v>1.91698011305235</v>
      </c>
      <c r="L254">
        <f t="shared" si="35"/>
        <v>0.683883336445036</v>
      </c>
      <c r="O254">
        <v>0.0053872</v>
      </c>
      <c r="P254" s="6">
        <f t="shared" si="36"/>
        <v>2.92534823284823</v>
      </c>
      <c r="Q254" s="4">
        <f t="shared" si="37"/>
        <v>0.655299800388519</v>
      </c>
      <c r="T254">
        <v>119.067</v>
      </c>
      <c r="U254" s="7">
        <f t="shared" si="38"/>
        <v>0.132357714564069</v>
      </c>
      <c r="V254">
        <f t="shared" si="39"/>
        <v>14.4833273932395</v>
      </c>
      <c r="Y254">
        <v>0.001883538</v>
      </c>
      <c r="Z254" s="8">
        <v>5.02015972069584</v>
      </c>
      <c r="AA254">
        <f t="shared" si="40"/>
        <v>0.381856398940758</v>
      </c>
      <c r="AD254" s="9">
        <v>1.713546</v>
      </c>
      <c r="AE254">
        <f t="shared" si="41"/>
        <v>1.11872112744703</v>
      </c>
      <c r="AH254">
        <v>12.5331</v>
      </c>
      <c r="AI254" s="10">
        <f t="shared" si="42"/>
        <v>1.25742521802268</v>
      </c>
      <c r="AJ254">
        <f t="shared" si="43"/>
        <v>1.52452812745941</v>
      </c>
    </row>
    <row r="255" spans="1:36">
      <c r="A255" s="1" t="s">
        <v>275</v>
      </c>
      <c r="B255" s="1">
        <v>15919468</v>
      </c>
      <c r="C255" s="2">
        <v>0.651475</v>
      </c>
      <c r="E255">
        <v>1.25382</v>
      </c>
      <c r="F255">
        <v>12696.772578</v>
      </c>
      <c r="G255" s="3">
        <f t="shared" si="33"/>
        <v>12.696772578</v>
      </c>
      <c r="I255" t="s">
        <v>275</v>
      </c>
      <c r="J255">
        <v>1.56196</v>
      </c>
      <c r="K255" s="5">
        <f t="shared" si="34"/>
        <v>10.1919818689339</v>
      </c>
      <c r="L255">
        <f t="shared" si="35"/>
        <v>0.802722251369123</v>
      </c>
      <c r="O255">
        <v>0.0014416</v>
      </c>
      <c r="P255" s="6">
        <f t="shared" si="36"/>
        <v>11.0429162042175</v>
      </c>
      <c r="Q255" s="4">
        <f t="shared" si="37"/>
        <v>0.922942969090117</v>
      </c>
      <c r="T255">
        <v>14.841</v>
      </c>
      <c r="U255" s="7">
        <f t="shared" si="38"/>
        <v>1.07266814904656</v>
      </c>
      <c r="V255">
        <f t="shared" si="39"/>
        <v>9.50152372659991</v>
      </c>
      <c r="Y255">
        <v>0.004120272</v>
      </c>
      <c r="Z255" s="8">
        <v>2.31821607893848</v>
      </c>
      <c r="AA255">
        <f t="shared" si="40"/>
        <v>4.39647622218238</v>
      </c>
      <c r="AD255" s="9">
        <v>3.56073</v>
      </c>
      <c r="AE255">
        <f t="shared" si="41"/>
        <v>2.86232931700351</v>
      </c>
      <c r="AH255">
        <v>1.2584</v>
      </c>
      <c r="AI255" s="10">
        <f t="shared" si="42"/>
        <v>12.650562619199</v>
      </c>
      <c r="AJ255">
        <f t="shared" si="43"/>
        <v>0.80565443417245</v>
      </c>
    </row>
    <row r="256" spans="1:36">
      <c r="A256" s="1" t="s">
        <v>276</v>
      </c>
      <c r="B256" s="1">
        <v>16184776</v>
      </c>
      <c r="C256" s="2">
        <v>0.000377624</v>
      </c>
      <c r="E256">
        <v>12.846377</v>
      </c>
      <c r="F256">
        <v>1259.870818</v>
      </c>
      <c r="G256" s="3">
        <f t="shared" si="33"/>
        <v>1.259870818</v>
      </c>
      <c r="I256" t="s">
        <v>276</v>
      </c>
      <c r="J256">
        <v>14.0565</v>
      </c>
      <c r="K256" s="5">
        <f t="shared" si="34"/>
        <v>1.15140867214456</v>
      </c>
      <c r="L256">
        <f t="shared" si="35"/>
        <v>0.913910105460161</v>
      </c>
      <c r="O256">
        <v>0.0237728</v>
      </c>
      <c r="P256" s="6">
        <f t="shared" si="36"/>
        <v>0.68081067438417</v>
      </c>
      <c r="Q256" s="4">
        <f t="shared" si="37"/>
        <v>1.69123181446306</v>
      </c>
      <c r="T256">
        <v>30.658</v>
      </c>
      <c r="U256" s="7">
        <f t="shared" si="38"/>
        <v>0.527913627764368</v>
      </c>
      <c r="V256">
        <f t="shared" si="39"/>
        <v>2.18105502792302</v>
      </c>
      <c r="Y256">
        <v>0.00894933</v>
      </c>
      <c r="Z256" s="8">
        <v>1.08509414671266</v>
      </c>
      <c r="AA256">
        <f t="shared" si="40"/>
        <v>1.06111407533881</v>
      </c>
      <c r="AD256" s="9">
        <v>0.683094</v>
      </c>
      <c r="AE256">
        <f t="shared" si="41"/>
        <v>1.68557866434863</v>
      </c>
      <c r="AH256">
        <v>24.7147</v>
      </c>
      <c r="AI256" s="10">
        <f t="shared" si="42"/>
        <v>0.654864351984851</v>
      </c>
      <c r="AJ256">
        <f t="shared" si="43"/>
        <v>1.75823996016078</v>
      </c>
    </row>
    <row r="257" spans="1:36">
      <c r="A257" s="1" t="s">
        <v>277</v>
      </c>
      <c r="B257" s="1">
        <v>16297916</v>
      </c>
      <c r="C257" s="2">
        <v>0</v>
      </c>
      <c r="E257">
        <v>2.831475</v>
      </c>
      <c r="F257">
        <v>5755.981804</v>
      </c>
      <c r="G257" s="3">
        <f t="shared" si="33"/>
        <v>5.755981804</v>
      </c>
      <c r="I257" t="s">
        <v>277</v>
      </c>
      <c r="J257">
        <v>1.74879</v>
      </c>
      <c r="K257" s="5">
        <f t="shared" si="34"/>
        <v>9.31953865243969</v>
      </c>
      <c r="L257">
        <f t="shared" si="35"/>
        <v>1.61910495373062</v>
      </c>
      <c r="O257">
        <v>0.0035632</v>
      </c>
      <c r="P257" s="6">
        <f t="shared" si="36"/>
        <v>4.57395487202515</v>
      </c>
      <c r="Q257" s="4">
        <f t="shared" si="37"/>
        <v>2.03752308739185</v>
      </c>
      <c r="T257">
        <v>17.365</v>
      </c>
      <c r="U257" s="7">
        <f t="shared" si="38"/>
        <v>0.938549726461273</v>
      </c>
      <c r="V257">
        <f t="shared" si="39"/>
        <v>9.92972283693297</v>
      </c>
      <c r="Y257">
        <v>0.009981072</v>
      </c>
      <c r="Z257" s="8">
        <v>0.979729391792785</v>
      </c>
      <c r="AA257">
        <f t="shared" si="40"/>
        <v>9.51235997461102</v>
      </c>
      <c r="AD257" s="9">
        <v>1.637457</v>
      </c>
      <c r="AE257">
        <f t="shared" si="41"/>
        <v>5.69147076988262</v>
      </c>
      <c r="AH257">
        <v>3.4321</v>
      </c>
      <c r="AI257" s="10">
        <f t="shared" si="42"/>
        <v>4.7486716587512</v>
      </c>
      <c r="AJ257">
        <f t="shared" si="43"/>
        <v>1.9625569679607</v>
      </c>
    </row>
    <row r="258" spans="1:36">
      <c r="A258" s="1" t="s">
        <v>278</v>
      </c>
      <c r="B258" s="1">
        <v>16522808</v>
      </c>
      <c r="C258" s="2">
        <v>6.41139e-5</v>
      </c>
      <c r="E258">
        <v>13.781059</v>
      </c>
      <c r="F258">
        <v>1198.950549</v>
      </c>
      <c r="G258" s="3">
        <f t="shared" ref="G258:G321" si="44">F258/1000</f>
        <v>1.198950549</v>
      </c>
      <c r="I258" t="s">
        <v>278</v>
      </c>
      <c r="J258">
        <v>13.1477</v>
      </c>
      <c r="K258" s="5">
        <f t="shared" ref="K258:K321" si="45">B258/J258/1000000</f>
        <v>1.25670710466469</v>
      </c>
      <c r="L258">
        <f t="shared" ref="L258:L321" si="46">K258/G258</f>
        <v>1.04817259203298</v>
      </c>
      <c r="O258">
        <v>0.0236992</v>
      </c>
      <c r="P258" s="6">
        <f t="shared" ref="P258:P321" si="47">B258/O258/1000000000</f>
        <v>0.697188428301377</v>
      </c>
      <c r="Q258" s="4">
        <f t="shared" ref="Q258:Q321" si="48">K258/P258</f>
        <v>1.80253580474151</v>
      </c>
      <c r="T258">
        <v>30.899</v>
      </c>
      <c r="U258" s="7">
        <f t="shared" ref="U258:U321" si="49">B258/T258/1000000</f>
        <v>0.534736010874138</v>
      </c>
      <c r="V258">
        <f t="shared" ref="V258:V321" si="50">K258/U258</f>
        <v>2.35014489226252</v>
      </c>
      <c r="Y258">
        <v>0.009226458</v>
      </c>
      <c r="Z258" s="8">
        <v>1.07448435791937</v>
      </c>
      <c r="AA258">
        <f t="shared" ref="AA258:AA321" si="51">K258/Z258</f>
        <v>1.16959087901306</v>
      </c>
      <c r="AD258" s="9">
        <v>0.669405</v>
      </c>
      <c r="AE258">
        <f t="shared" ref="AE258:AE321" si="52">K258/AD258</f>
        <v>1.87734944415517</v>
      </c>
      <c r="AH258">
        <v>18.4465</v>
      </c>
      <c r="AI258" s="10">
        <f t="shared" ref="AI258:AI321" si="53">B258/AH258/1000000</f>
        <v>0.895715067899059</v>
      </c>
      <c r="AJ258">
        <f t="shared" ref="AJ258:AJ321" si="54">K258/AI258</f>
        <v>1.40302106071784</v>
      </c>
    </row>
    <row r="259" spans="1:36">
      <c r="A259" s="1" t="s">
        <v>280</v>
      </c>
      <c r="B259" s="1">
        <v>16638718</v>
      </c>
      <c r="C259" s="2">
        <v>0.456</v>
      </c>
      <c r="E259">
        <v>1.454613</v>
      </c>
      <c r="F259">
        <v>11438.584815</v>
      </c>
      <c r="G259" s="3">
        <f t="shared" si="44"/>
        <v>11.438584815</v>
      </c>
      <c r="I259" t="s">
        <v>280</v>
      </c>
      <c r="J259">
        <v>0.640801</v>
      </c>
      <c r="K259" s="5">
        <f t="shared" si="45"/>
        <v>25.9654994296201</v>
      </c>
      <c r="L259">
        <f t="shared" si="46"/>
        <v>2.26999229796069</v>
      </c>
      <c r="O259">
        <v>0.0014528</v>
      </c>
      <c r="P259" s="6">
        <f t="shared" si="47"/>
        <v>11.4528620594714</v>
      </c>
      <c r="Q259" s="4">
        <f t="shared" si="48"/>
        <v>2.26716250442805</v>
      </c>
      <c r="T259">
        <v>7.904</v>
      </c>
      <c r="U259" s="7">
        <f t="shared" si="49"/>
        <v>2.10510096153846</v>
      </c>
      <c r="V259">
        <f t="shared" si="50"/>
        <v>12.3345625240909</v>
      </c>
      <c r="Y259">
        <v>0.003971574</v>
      </c>
      <c r="Z259" s="8">
        <v>2.51367110369843</v>
      </c>
      <c r="AA259">
        <f t="shared" si="51"/>
        <v>10.329712344394</v>
      </c>
      <c r="AD259" s="9">
        <v>3.36246</v>
      </c>
      <c r="AE259">
        <f t="shared" si="52"/>
        <v>7.72217347704363</v>
      </c>
      <c r="AH259">
        <v>1.3776</v>
      </c>
      <c r="AI259" s="10">
        <f t="shared" si="53"/>
        <v>12.0780473286876</v>
      </c>
      <c r="AJ259">
        <f t="shared" si="54"/>
        <v>2.14980937919885</v>
      </c>
    </row>
    <row r="260" spans="1:36">
      <c r="A260" s="1" t="s">
        <v>279</v>
      </c>
      <c r="B260" s="1">
        <v>16638718</v>
      </c>
      <c r="C260" s="2">
        <v>0.462247</v>
      </c>
      <c r="E260">
        <v>1.369476</v>
      </c>
      <c r="F260">
        <v>12149.694881</v>
      </c>
      <c r="G260" s="3">
        <f t="shared" si="44"/>
        <v>12.149694881</v>
      </c>
      <c r="I260" t="s">
        <v>279</v>
      </c>
      <c r="J260">
        <v>0.70503</v>
      </c>
      <c r="K260" s="5">
        <f t="shared" si="45"/>
        <v>23.6000141837936</v>
      </c>
      <c r="L260">
        <f t="shared" si="46"/>
        <v>1.94243677844946</v>
      </c>
      <c r="O260">
        <v>0.0014496</v>
      </c>
      <c r="P260" s="6">
        <f t="shared" si="47"/>
        <v>11.4781443156733</v>
      </c>
      <c r="Q260" s="4">
        <f t="shared" si="48"/>
        <v>2.05608271988426</v>
      </c>
      <c r="T260">
        <v>7.844</v>
      </c>
      <c r="U260" s="7">
        <f t="shared" si="49"/>
        <v>2.12120321264661</v>
      </c>
      <c r="V260">
        <f t="shared" si="50"/>
        <v>11.1257676978285</v>
      </c>
      <c r="Y260">
        <v>0.004109796</v>
      </c>
      <c r="Z260" s="8">
        <v>2.42913049698817</v>
      </c>
      <c r="AA260">
        <f t="shared" si="51"/>
        <v>9.71541636526106</v>
      </c>
      <c r="AD260" s="9">
        <v>3.37398</v>
      </c>
      <c r="AE260">
        <f t="shared" si="52"/>
        <v>6.99471075222544</v>
      </c>
      <c r="AH260">
        <v>1.3543</v>
      </c>
      <c r="AI260" s="10">
        <f t="shared" si="53"/>
        <v>12.2858436092446</v>
      </c>
      <c r="AJ260">
        <f t="shared" si="54"/>
        <v>1.9209111669007</v>
      </c>
    </row>
    <row r="261" spans="1:36">
      <c r="A261" s="1" t="s">
        <v>282</v>
      </c>
      <c r="B261" s="1">
        <v>16644806</v>
      </c>
      <c r="C261" s="2">
        <v>0.005064</v>
      </c>
      <c r="E261">
        <v>4.289914</v>
      </c>
      <c r="F261">
        <v>3879.985693</v>
      </c>
      <c r="G261" s="3">
        <f t="shared" si="44"/>
        <v>3.879985693</v>
      </c>
      <c r="I261" t="s">
        <v>282</v>
      </c>
      <c r="J261">
        <v>2.13076</v>
      </c>
      <c r="K261" s="5">
        <f t="shared" si="45"/>
        <v>7.81167564624829</v>
      </c>
      <c r="L261">
        <f t="shared" si="46"/>
        <v>2.01332588940768</v>
      </c>
      <c r="O261">
        <v>0.0065792</v>
      </c>
      <c r="P261" s="6">
        <f t="shared" si="47"/>
        <v>2.52991336332685</v>
      </c>
      <c r="Q261" s="4">
        <f t="shared" si="48"/>
        <v>3.08772456775986</v>
      </c>
      <c r="T261">
        <v>14.26</v>
      </c>
      <c r="U261" s="7">
        <f t="shared" si="49"/>
        <v>1.16723744740533</v>
      </c>
      <c r="V261">
        <f t="shared" si="50"/>
        <v>6.69244776511667</v>
      </c>
      <c r="Y261">
        <v>0.009881046</v>
      </c>
      <c r="Z261" s="8">
        <v>1.01071117369558</v>
      </c>
      <c r="AA261">
        <f t="shared" si="51"/>
        <v>7.728890161257</v>
      </c>
      <c r="AD261" s="9">
        <v>2.388369</v>
      </c>
      <c r="AE261">
        <f t="shared" si="52"/>
        <v>3.27071555787581</v>
      </c>
      <c r="AH261">
        <v>5.0905</v>
      </c>
      <c r="AI261" s="10">
        <f t="shared" si="53"/>
        <v>3.26977821432079</v>
      </c>
      <c r="AJ261">
        <f t="shared" si="54"/>
        <v>2.38905367099063</v>
      </c>
    </row>
    <row r="262" spans="1:36">
      <c r="A262" s="1" t="s">
        <v>281</v>
      </c>
      <c r="B262" s="1">
        <v>16644806</v>
      </c>
      <c r="C262" s="2">
        <v>0.00508559</v>
      </c>
      <c r="E262">
        <v>3.456146</v>
      </c>
      <c r="F262">
        <v>4816.002032</v>
      </c>
      <c r="G262" s="3">
        <f t="shared" si="44"/>
        <v>4.816002032</v>
      </c>
      <c r="I262" t="s">
        <v>281</v>
      </c>
      <c r="J262">
        <v>1.99521</v>
      </c>
      <c r="K262" s="5">
        <f t="shared" si="45"/>
        <v>8.34238300730249</v>
      </c>
      <c r="L262">
        <f t="shared" si="46"/>
        <v>1.7322216543663</v>
      </c>
      <c r="O262">
        <v>0.0025456</v>
      </c>
      <c r="P262" s="6">
        <f t="shared" si="47"/>
        <v>6.53865729101194</v>
      </c>
      <c r="Q262" s="4">
        <f t="shared" si="48"/>
        <v>1.27585567434004</v>
      </c>
      <c r="T262">
        <v>9.776</v>
      </c>
      <c r="U262" s="7">
        <f t="shared" si="49"/>
        <v>1.70261927168576</v>
      </c>
      <c r="V262">
        <f t="shared" si="50"/>
        <v>4.89973486500168</v>
      </c>
      <c r="Y262">
        <v>0.014624676</v>
      </c>
      <c r="Z262" s="8">
        <v>0.682878964292952</v>
      </c>
      <c r="AA262">
        <f t="shared" si="51"/>
        <v>12.2164884899334</v>
      </c>
      <c r="AD262" s="9">
        <v>2.39271</v>
      </c>
      <c r="AE262">
        <f t="shared" si="52"/>
        <v>3.48658341683802</v>
      </c>
      <c r="AH262">
        <v>5.1109</v>
      </c>
      <c r="AI262" s="10">
        <f t="shared" si="53"/>
        <v>3.25672699524546</v>
      </c>
      <c r="AJ262">
        <f t="shared" si="54"/>
        <v>2.56158499606558</v>
      </c>
    </row>
    <row r="263" spans="1:36">
      <c r="A263" s="1" t="s">
        <v>283</v>
      </c>
      <c r="B263" s="1">
        <v>16832024</v>
      </c>
      <c r="C263" s="2">
        <v>2.3625e-5</v>
      </c>
      <c r="E263">
        <v>15.49703</v>
      </c>
      <c r="F263">
        <v>1086.145142</v>
      </c>
      <c r="G263" s="3">
        <f t="shared" si="44"/>
        <v>1.086145142</v>
      </c>
      <c r="I263" t="s">
        <v>283</v>
      </c>
      <c r="J263">
        <v>14.324</v>
      </c>
      <c r="K263" s="5">
        <f t="shared" si="45"/>
        <v>1.17509243228149</v>
      </c>
      <c r="L263">
        <f t="shared" si="46"/>
        <v>1.0818926374036</v>
      </c>
      <c r="O263">
        <v>0.0275008</v>
      </c>
      <c r="P263" s="6">
        <f t="shared" si="47"/>
        <v>0.612055794740517</v>
      </c>
      <c r="Q263" s="4">
        <f t="shared" si="48"/>
        <v>1.91991063948618</v>
      </c>
      <c r="T263">
        <v>31.544</v>
      </c>
      <c r="U263" s="7">
        <f t="shared" si="49"/>
        <v>0.533604615774791</v>
      </c>
      <c r="V263">
        <f t="shared" si="50"/>
        <v>2.20217816252443</v>
      </c>
      <c r="Y263">
        <v>0.009184284</v>
      </c>
      <c r="Z263" s="8">
        <v>1.09961913198677</v>
      </c>
      <c r="AA263">
        <f t="shared" si="51"/>
        <v>1.06863585590617</v>
      </c>
      <c r="AD263" s="9">
        <v>0.65655</v>
      </c>
      <c r="AE263">
        <f t="shared" si="52"/>
        <v>1.7897988459089</v>
      </c>
      <c r="AH263">
        <v>18.838</v>
      </c>
      <c r="AI263" s="10">
        <f t="shared" si="53"/>
        <v>0.893514385815904</v>
      </c>
      <c r="AJ263">
        <f t="shared" si="54"/>
        <v>1.31513543702876</v>
      </c>
    </row>
    <row r="264" spans="1:36">
      <c r="A264" s="1" t="s">
        <v>284</v>
      </c>
      <c r="B264" s="1">
        <v>17315502</v>
      </c>
      <c r="C264" s="2">
        <v>0.0409683</v>
      </c>
      <c r="E264">
        <v>2.670149</v>
      </c>
      <c r="F264">
        <v>6484.843796</v>
      </c>
      <c r="G264" s="3">
        <f t="shared" si="44"/>
        <v>6.484843796</v>
      </c>
      <c r="I264" t="s">
        <v>284</v>
      </c>
      <c r="J264">
        <v>2.27117</v>
      </c>
      <c r="K264" s="5">
        <f t="shared" si="45"/>
        <v>7.62404487554873</v>
      </c>
      <c r="L264">
        <f t="shared" si="46"/>
        <v>1.17567132152842</v>
      </c>
      <c r="O264">
        <v>0.0060976</v>
      </c>
      <c r="P264" s="6">
        <f t="shared" si="47"/>
        <v>2.83972415376542</v>
      </c>
      <c r="Q264" s="4">
        <f t="shared" si="48"/>
        <v>2.68478361373213</v>
      </c>
      <c r="T264">
        <v>22.957</v>
      </c>
      <c r="U264" s="7">
        <f t="shared" si="49"/>
        <v>0.75425804765431</v>
      </c>
      <c r="V264">
        <f t="shared" si="50"/>
        <v>10.1080060057151</v>
      </c>
      <c r="Y264">
        <v>0.005432868</v>
      </c>
      <c r="Z264" s="8">
        <v>1.9123051029401</v>
      </c>
      <c r="AA264">
        <f t="shared" si="51"/>
        <v>3.98683497932784</v>
      </c>
      <c r="AD264" s="9">
        <v>1.909935</v>
      </c>
      <c r="AE264">
        <f t="shared" si="52"/>
        <v>3.99178237769805</v>
      </c>
      <c r="AH264">
        <v>4.1946</v>
      </c>
      <c r="AI264" s="10">
        <f t="shared" si="53"/>
        <v>4.128046059219</v>
      </c>
      <c r="AJ264">
        <f t="shared" si="54"/>
        <v>1.84688948867764</v>
      </c>
    </row>
    <row r="265" spans="1:36">
      <c r="A265" s="1" t="s">
        <v>285</v>
      </c>
      <c r="B265" s="1">
        <v>17352626</v>
      </c>
      <c r="C265" s="2">
        <v>0.00912369</v>
      </c>
      <c r="E265">
        <v>10.272301</v>
      </c>
      <c r="F265">
        <v>1689.263746</v>
      </c>
      <c r="G265" s="3">
        <f t="shared" si="44"/>
        <v>1.689263746</v>
      </c>
      <c r="I265" t="s">
        <v>285</v>
      </c>
      <c r="J265">
        <v>11.9207</v>
      </c>
      <c r="K265" s="5">
        <f t="shared" si="45"/>
        <v>1.45567173068696</v>
      </c>
      <c r="L265">
        <f t="shared" si="46"/>
        <v>0.861719630302749</v>
      </c>
      <c r="O265">
        <v>0.014592</v>
      </c>
      <c r="P265" s="6">
        <f t="shared" si="47"/>
        <v>1.1891876370614</v>
      </c>
      <c r="Q265" s="4">
        <f t="shared" si="48"/>
        <v>1.22408918939324</v>
      </c>
      <c r="T265">
        <v>42.57</v>
      </c>
      <c r="U265" s="7">
        <f t="shared" si="49"/>
        <v>0.407625698848955</v>
      </c>
      <c r="V265">
        <f t="shared" si="50"/>
        <v>3.57109901264188</v>
      </c>
      <c r="Y265">
        <v>0.02912598</v>
      </c>
      <c r="Z265" s="8">
        <v>0.357466962485039</v>
      </c>
      <c r="AA265">
        <f t="shared" si="51"/>
        <v>4.07218535824239</v>
      </c>
      <c r="AD265" s="9">
        <v>0.852267</v>
      </c>
      <c r="AE265">
        <f t="shared" si="52"/>
        <v>1.70799964176362</v>
      </c>
      <c r="AH265">
        <v>20.1083</v>
      </c>
      <c r="AI265" s="10">
        <f t="shared" si="53"/>
        <v>0.862958380370295</v>
      </c>
      <c r="AJ265">
        <f t="shared" si="54"/>
        <v>1.68683886013405</v>
      </c>
    </row>
    <row r="266" spans="1:36">
      <c r="A266" s="1" t="s">
        <v>286</v>
      </c>
      <c r="B266" s="1">
        <v>17597124</v>
      </c>
      <c r="C266" s="2">
        <v>0</v>
      </c>
      <c r="E266">
        <v>13.40584</v>
      </c>
      <c r="F266">
        <v>1312.646171</v>
      </c>
      <c r="G266" s="3">
        <f t="shared" si="44"/>
        <v>1.312646171</v>
      </c>
      <c r="I266" t="s">
        <v>286</v>
      </c>
      <c r="J266">
        <v>14.6726</v>
      </c>
      <c r="K266" s="5">
        <f t="shared" si="45"/>
        <v>1.19931873015008</v>
      </c>
      <c r="L266">
        <f t="shared" si="46"/>
        <v>0.913664898162473</v>
      </c>
      <c r="O266">
        <v>0.0059664</v>
      </c>
      <c r="P266" s="6">
        <f t="shared" si="47"/>
        <v>2.94937047465809</v>
      </c>
      <c r="Q266" s="4">
        <f t="shared" si="48"/>
        <v>0.406635497457847</v>
      </c>
      <c r="T266">
        <v>33.574</v>
      </c>
      <c r="U266" s="7">
        <f t="shared" si="49"/>
        <v>0.524129504974087</v>
      </c>
      <c r="V266">
        <f t="shared" si="50"/>
        <v>2.28821067840737</v>
      </c>
      <c r="Y266">
        <v>0.02522016</v>
      </c>
      <c r="Z266" s="8">
        <v>0.418644227475163</v>
      </c>
      <c r="AA266">
        <f t="shared" si="51"/>
        <v>2.86476834371549</v>
      </c>
      <c r="AD266" s="9">
        <v>1.494147</v>
      </c>
      <c r="AE266">
        <f t="shared" si="52"/>
        <v>0.802677869145456</v>
      </c>
      <c r="AH266">
        <v>9.3691</v>
      </c>
      <c r="AI266" s="10">
        <f t="shared" si="53"/>
        <v>1.87820857926588</v>
      </c>
      <c r="AJ266">
        <f t="shared" si="54"/>
        <v>0.638543952673691</v>
      </c>
    </row>
    <row r="267" spans="1:36">
      <c r="A267" s="1" t="s">
        <v>289</v>
      </c>
      <c r="B267" s="1">
        <v>17853682</v>
      </c>
      <c r="C267" s="2">
        <v>0.824324</v>
      </c>
      <c r="E267">
        <v>1.397931</v>
      </c>
      <c r="F267">
        <v>12771.507495</v>
      </c>
      <c r="G267" s="3">
        <f t="shared" si="44"/>
        <v>12.771507495</v>
      </c>
      <c r="I267" t="s">
        <v>289</v>
      </c>
      <c r="J267">
        <v>0.719395</v>
      </c>
      <c r="K267" s="5">
        <f t="shared" si="45"/>
        <v>24.817634262123</v>
      </c>
      <c r="L267">
        <f t="shared" si="46"/>
        <v>1.94320320227186</v>
      </c>
      <c r="O267">
        <v>0.0014496</v>
      </c>
      <c r="P267" s="6">
        <f t="shared" si="47"/>
        <v>12.3162817328918</v>
      </c>
      <c r="Q267" s="4">
        <f t="shared" si="48"/>
        <v>2.0150265153358</v>
      </c>
      <c r="T267">
        <v>6.185</v>
      </c>
      <c r="U267" s="7">
        <f t="shared" si="49"/>
        <v>2.88660986257074</v>
      </c>
      <c r="V267">
        <f t="shared" si="50"/>
        <v>8.59750206770967</v>
      </c>
      <c r="Y267">
        <v>0.003723264</v>
      </c>
      <c r="Z267" s="8">
        <v>2.87710170431106</v>
      </c>
      <c r="AA267">
        <f t="shared" si="51"/>
        <v>8.62591483121233</v>
      </c>
      <c r="AD267" s="9">
        <v>3.31569</v>
      </c>
      <c r="AE267">
        <f t="shared" si="52"/>
        <v>7.48490789613113</v>
      </c>
      <c r="AH267">
        <v>1.4267</v>
      </c>
      <c r="AI267" s="10">
        <f t="shared" si="53"/>
        <v>12.5139707016191</v>
      </c>
      <c r="AJ267">
        <f t="shared" si="54"/>
        <v>1.98319421180297</v>
      </c>
    </row>
    <row r="268" spans="1:36">
      <c r="A268" s="1" t="s">
        <v>288</v>
      </c>
      <c r="B268" s="1">
        <v>17853682</v>
      </c>
      <c r="C268" s="2">
        <v>0.824324</v>
      </c>
      <c r="E268">
        <v>1.38682</v>
      </c>
      <c r="F268">
        <v>12873.826912</v>
      </c>
      <c r="G268" s="3">
        <f t="shared" si="44"/>
        <v>12.873826912</v>
      </c>
      <c r="I268" t="s">
        <v>288</v>
      </c>
      <c r="J268">
        <v>0.706723</v>
      </c>
      <c r="K268" s="5">
        <f t="shared" si="45"/>
        <v>25.2626304789854</v>
      </c>
      <c r="L268">
        <f t="shared" si="46"/>
        <v>1.96232485116275</v>
      </c>
      <c r="O268">
        <v>0.0014448</v>
      </c>
      <c r="P268" s="6">
        <f t="shared" si="47"/>
        <v>12.3571996124031</v>
      </c>
      <c r="Q268" s="4">
        <f t="shared" si="48"/>
        <v>2.04436533125425</v>
      </c>
      <c r="T268">
        <v>6.174</v>
      </c>
      <c r="U268" s="7">
        <f t="shared" si="49"/>
        <v>2.89175283446712</v>
      </c>
      <c r="V268">
        <f t="shared" si="50"/>
        <v>8.73609603762719</v>
      </c>
      <c r="Y268">
        <v>0.003735684</v>
      </c>
      <c r="Z268" s="8">
        <v>2.86753622629751</v>
      </c>
      <c r="AA268">
        <f t="shared" si="51"/>
        <v>8.80987317520444</v>
      </c>
      <c r="AD268" s="9">
        <v>3.35556</v>
      </c>
      <c r="AE268">
        <f t="shared" si="52"/>
        <v>7.52858851547444</v>
      </c>
      <c r="AH268">
        <v>1.4143</v>
      </c>
      <c r="AI268" s="10">
        <f t="shared" si="53"/>
        <v>12.6236880435551</v>
      </c>
      <c r="AJ268">
        <f t="shared" si="54"/>
        <v>2.0012083942365</v>
      </c>
    </row>
    <row r="269" spans="1:36">
      <c r="A269" s="1" t="s">
        <v>287</v>
      </c>
      <c r="B269" s="1">
        <v>17853682</v>
      </c>
      <c r="C269" s="2">
        <v>0.830909</v>
      </c>
      <c r="E269">
        <v>1.397527</v>
      </c>
      <c r="F269">
        <v>12775.200006</v>
      </c>
      <c r="G269" s="3">
        <f t="shared" si="44"/>
        <v>12.775200006</v>
      </c>
      <c r="I269" t="s">
        <v>287</v>
      </c>
      <c r="J269">
        <v>0.738464</v>
      </c>
      <c r="K269" s="5">
        <f t="shared" si="45"/>
        <v>24.1767804523985</v>
      </c>
      <c r="L269">
        <f t="shared" si="46"/>
        <v>1.89247764739837</v>
      </c>
      <c r="O269">
        <v>0.001456</v>
      </c>
      <c r="P269" s="6">
        <f t="shared" si="47"/>
        <v>12.2621442307692</v>
      </c>
      <c r="Q269" s="4">
        <f t="shared" si="48"/>
        <v>1.97166009446635</v>
      </c>
      <c r="T269">
        <v>6.232</v>
      </c>
      <c r="U269" s="7">
        <f t="shared" si="49"/>
        <v>2.86483985879332</v>
      </c>
      <c r="V269">
        <f t="shared" si="50"/>
        <v>8.43913853620488</v>
      </c>
      <c r="Y269">
        <v>0.003894678</v>
      </c>
      <c r="Z269" s="8">
        <v>2.75047364634509</v>
      </c>
      <c r="AA269">
        <f t="shared" si="51"/>
        <v>8.79004257485808</v>
      </c>
      <c r="AD269" s="9">
        <v>3.32922</v>
      </c>
      <c r="AE269">
        <f t="shared" si="52"/>
        <v>7.26199543809015</v>
      </c>
      <c r="AH269">
        <v>1.4475</v>
      </c>
      <c r="AI269" s="10">
        <f t="shared" si="53"/>
        <v>12.3341499136442</v>
      </c>
      <c r="AJ269">
        <f t="shared" si="54"/>
        <v>1.96014971616761</v>
      </c>
    </row>
    <row r="270" spans="1:36">
      <c r="A270" s="1" t="s">
        <v>290</v>
      </c>
      <c r="B270" s="1">
        <v>17999304</v>
      </c>
      <c r="C270" s="2">
        <v>0.0898876</v>
      </c>
      <c r="E270">
        <v>2.436161</v>
      </c>
      <c r="F270">
        <v>7388.389327</v>
      </c>
      <c r="G270" s="3">
        <f t="shared" si="44"/>
        <v>7.388389327</v>
      </c>
      <c r="I270" t="s">
        <v>290</v>
      </c>
      <c r="J270">
        <v>1.48349</v>
      </c>
      <c r="K270" s="5">
        <f t="shared" si="45"/>
        <v>12.1330807757383</v>
      </c>
      <c r="L270">
        <f t="shared" si="46"/>
        <v>1.64218211016566</v>
      </c>
      <c r="O270">
        <v>0.0022384</v>
      </c>
      <c r="P270" s="6">
        <f t="shared" si="47"/>
        <v>8.04114724803431</v>
      </c>
      <c r="Q270" s="4">
        <f t="shared" si="48"/>
        <v>1.50887434360865</v>
      </c>
      <c r="T270">
        <v>12.546</v>
      </c>
      <c r="U270" s="7">
        <f t="shared" si="49"/>
        <v>1.43466475370636</v>
      </c>
      <c r="V270">
        <f t="shared" si="50"/>
        <v>8.4570843079495</v>
      </c>
      <c r="Y270">
        <v>0.006218334</v>
      </c>
      <c r="Z270" s="8">
        <v>1.73673244312705</v>
      </c>
      <c r="AA270">
        <f t="shared" si="51"/>
        <v>6.98615427134662</v>
      </c>
      <c r="AD270" s="9">
        <v>2.906187</v>
      </c>
      <c r="AE270">
        <f t="shared" si="52"/>
        <v>4.17491399408857</v>
      </c>
      <c r="AH270">
        <v>2.7316</v>
      </c>
      <c r="AI270" s="10">
        <f t="shared" si="53"/>
        <v>6.5892897935276</v>
      </c>
      <c r="AJ270">
        <f t="shared" si="54"/>
        <v>1.84133361195559</v>
      </c>
    </row>
    <row r="271" spans="1:36">
      <c r="A271" s="1" t="s">
        <v>291</v>
      </c>
      <c r="B271" s="1">
        <v>18139536</v>
      </c>
      <c r="C271" s="2">
        <v>0.0645319</v>
      </c>
      <c r="E271">
        <v>5.094233</v>
      </c>
      <c r="F271">
        <v>3560.798216</v>
      </c>
      <c r="G271" s="3">
        <f t="shared" si="44"/>
        <v>3.560798216</v>
      </c>
      <c r="I271" t="s">
        <v>291</v>
      </c>
      <c r="J271">
        <v>7.86014</v>
      </c>
      <c r="K271" s="5">
        <f t="shared" si="45"/>
        <v>2.30778790199666</v>
      </c>
      <c r="L271">
        <f t="shared" si="46"/>
        <v>0.648109710802174</v>
      </c>
      <c r="O271">
        <v>0.0110176</v>
      </c>
      <c r="P271" s="6">
        <f t="shared" si="47"/>
        <v>1.64641446413012</v>
      </c>
      <c r="Q271" s="4">
        <f t="shared" si="48"/>
        <v>1.40170531313692</v>
      </c>
      <c r="T271">
        <v>52.253</v>
      </c>
      <c r="U271" s="7">
        <f t="shared" si="49"/>
        <v>0.347148221154766</v>
      </c>
      <c r="V271">
        <f t="shared" si="50"/>
        <v>6.64784596712018</v>
      </c>
      <c r="Y271">
        <v>0.03398004</v>
      </c>
      <c r="Z271" s="8">
        <v>0.320297492292534</v>
      </c>
      <c r="AA271">
        <f t="shared" si="51"/>
        <v>7.20513883976621</v>
      </c>
      <c r="AD271" s="9">
        <v>1.191132</v>
      </c>
      <c r="AE271">
        <f t="shared" si="52"/>
        <v>1.93747452171267</v>
      </c>
      <c r="AH271">
        <v>22.2081</v>
      </c>
      <c r="AI271" s="10">
        <f t="shared" si="53"/>
        <v>0.816798195253083</v>
      </c>
      <c r="AJ271">
        <f t="shared" si="54"/>
        <v>2.82540768993936</v>
      </c>
    </row>
    <row r="272" spans="1:36">
      <c r="A272" s="1" t="s">
        <v>292</v>
      </c>
      <c r="B272" s="1">
        <v>18237000</v>
      </c>
      <c r="C272" s="2">
        <v>2.49838e-5</v>
      </c>
      <c r="E272">
        <v>14.532128</v>
      </c>
      <c r="F272">
        <v>1254.943507</v>
      </c>
      <c r="G272" s="3">
        <f t="shared" si="44"/>
        <v>1.254943507</v>
      </c>
      <c r="I272" t="s">
        <v>292</v>
      </c>
      <c r="J272">
        <v>16.6062</v>
      </c>
      <c r="K272" s="5">
        <f t="shared" si="45"/>
        <v>1.09820428514651</v>
      </c>
      <c r="L272">
        <f t="shared" si="46"/>
        <v>0.87510256758236</v>
      </c>
      <c r="O272">
        <v>0.0349632</v>
      </c>
      <c r="P272" s="6">
        <f t="shared" si="47"/>
        <v>0.521605573860516</v>
      </c>
      <c r="Q272" s="4">
        <f t="shared" si="48"/>
        <v>2.10543050186075</v>
      </c>
      <c r="T272">
        <v>34.821</v>
      </c>
      <c r="U272" s="7">
        <f t="shared" si="49"/>
        <v>0.523735676746791</v>
      </c>
      <c r="V272">
        <f t="shared" si="50"/>
        <v>2.09686743505438</v>
      </c>
      <c r="Y272">
        <v>0.00976095</v>
      </c>
      <c r="Z272" s="8">
        <v>1.12101793370522</v>
      </c>
      <c r="AA272">
        <f t="shared" si="51"/>
        <v>0.979649167178527</v>
      </c>
      <c r="AD272" s="9">
        <v>0.609048</v>
      </c>
      <c r="AE272">
        <f t="shared" si="52"/>
        <v>1.80314898849764</v>
      </c>
      <c r="AH272">
        <v>27.6228</v>
      </c>
      <c r="AI272" s="10">
        <f t="shared" si="53"/>
        <v>0.660215474173509</v>
      </c>
      <c r="AJ272">
        <f t="shared" si="54"/>
        <v>1.66340282545074</v>
      </c>
    </row>
    <row r="273" spans="1:36">
      <c r="A273" s="1" t="s">
        <v>293</v>
      </c>
      <c r="B273" s="1">
        <v>18389380</v>
      </c>
      <c r="C273" s="2">
        <v>0.545894</v>
      </c>
      <c r="E273">
        <v>2.017024</v>
      </c>
      <c r="F273">
        <v>9117.086543</v>
      </c>
      <c r="G273" s="3">
        <f t="shared" si="44"/>
        <v>9.117086543</v>
      </c>
      <c r="I273" t="s">
        <v>293</v>
      </c>
      <c r="J273">
        <v>1.14044</v>
      </c>
      <c r="K273" s="5">
        <f t="shared" si="45"/>
        <v>16.1248114762723</v>
      </c>
      <c r="L273">
        <f t="shared" si="46"/>
        <v>1.76863643886903</v>
      </c>
      <c r="O273">
        <v>0.0016976</v>
      </c>
      <c r="P273" s="6">
        <f t="shared" si="47"/>
        <v>10.8325754005655</v>
      </c>
      <c r="Q273" s="4">
        <f t="shared" si="48"/>
        <v>1.48854827961138</v>
      </c>
      <c r="T273">
        <v>9.438</v>
      </c>
      <c r="U273" s="7">
        <f t="shared" si="49"/>
        <v>1.94844034753126</v>
      </c>
      <c r="V273">
        <f t="shared" si="50"/>
        <v>8.27575321805619</v>
      </c>
      <c r="Y273">
        <v>0.00438948</v>
      </c>
      <c r="Z273" s="8">
        <v>2.51365264222641</v>
      </c>
      <c r="AA273">
        <f t="shared" si="51"/>
        <v>6.4148924976325</v>
      </c>
      <c r="AD273" s="9">
        <v>3.34482</v>
      </c>
      <c r="AE273">
        <f t="shared" si="52"/>
        <v>4.82083085973903</v>
      </c>
      <c r="AH273">
        <v>1.645</v>
      </c>
      <c r="AI273" s="10">
        <f t="shared" si="53"/>
        <v>11.1789544072948</v>
      </c>
      <c r="AJ273">
        <f t="shared" si="54"/>
        <v>1.44242573041984</v>
      </c>
    </row>
    <row r="274" spans="1:36">
      <c r="A274" s="1" t="s">
        <v>294</v>
      </c>
      <c r="B274" s="1">
        <v>18479770</v>
      </c>
      <c r="C274" s="2">
        <v>0.0177293</v>
      </c>
      <c r="E274">
        <v>8.292111</v>
      </c>
      <c r="F274">
        <v>2228.596639</v>
      </c>
      <c r="G274" s="3">
        <f t="shared" si="44"/>
        <v>2.228596639</v>
      </c>
      <c r="I274" t="s">
        <v>294</v>
      </c>
      <c r="J274">
        <v>6.92924</v>
      </c>
      <c r="K274" s="5">
        <f t="shared" si="45"/>
        <v>2.66692595436152</v>
      </c>
      <c r="L274">
        <f t="shared" si="46"/>
        <v>1.19668400628936</v>
      </c>
      <c r="O274">
        <v>0.0078048</v>
      </c>
      <c r="P274" s="6">
        <f t="shared" si="47"/>
        <v>2.36774420869209</v>
      </c>
      <c r="Q274" s="4">
        <f t="shared" si="48"/>
        <v>1.12635729170876</v>
      </c>
      <c r="T274">
        <v>22.194</v>
      </c>
      <c r="U274" s="7">
        <f t="shared" si="49"/>
        <v>0.832647111832027</v>
      </c>
      <c r="V274">
        <f t="shared" si="50"/>
        <v>3.20294866392274</v>
      </c>
      <c r="Y274">
        <v>0.010814418</v>
      </c>
      <c r="Z274" s="8">
        <v>1.02528513323602</v>
      </c>
      <c r="AA274">
        <f t="shared" si="51"/>
        <v>2.6011553936651</v>
      </c>
      <c r="AD274" s="9">
        <v>1.708428</v>
      </c>
      <c r="AE274">
        <f t="shared" si="52"/>
        <v>1.5610408834095</v>
      </c>
      <c r="AH274">
        <v>6.9534</v>
      </c>
      <c r="AI274" s="10">
        <f t="shared" si="53"/>
        <v>2.65765956222855</v>
      </c>
      <c r="AJ274">
        <f t="shared" si="54"/>
        <v>1.00348667386322</v>
      </c>
    </row>
    <row r="275" spans="1:36">
      <c r="A275" s="1" t="s">
        <v>295</v>
      </c>
      <c r="B275" s="1">
        <v>18632682</v>
      </c>
      <c r="C275" s="2">
        <v>0</v>
      </c>
      <c r="E275">
        <v>3.618123</v>
      </c>
      <c r="F275">
        <v>5149.819735</v>
      </c>
      <c r="G275" s="3">
        <f t="shared" si="44"/>
        <v>5.149819735</v>
      </c>
      <c r="I275" t="s">
        <v>295</v>
      </c>
      <c r="J275">
        <v>2.35497</v>
      </c>
      <c r="K275" s="5">
        <f t="shared" si="45"/>
        <v>7.91206766965184</v>
      </c>
      <c r="L275">
        <f t="shared" si="46"/>
        <v>1.53637759704066</v>
      </c>
      <c r="O275">
        <v>0.0031696</v>
      </c>
      <c r="P275" s="6">
        <f t="shared" si="47"/>
        <v>5.87855943967693</v>
      </c>
      <c r="Q275" s="4">
        <f t="shared" si="48"/>
        <v>1.34591948092757</v>
      </c>
      <c r="T275">
        <v>17.798</v>
      </c>
      <c r="U275" s="7">
        <f t="shared" si="49"/>
        <v>1.0468975165749</v>
      </c>
      <c r="V275">
        <f t="shared" si="50"/>
        <v>7.55763343057449</v>
      </c>
      <c r="Y275">
        <v>0.004380228</v>
      </c>
      <c r="Z275" s="8">
        <v>2.55228933288404</v>
      </c>
      <c r="AA275">
        <f t="shared" si="51"/>
        <v>3.0999885348858</v>
      </c>
      <c r="AD275" s="9">
        <v>2.523282</v>
      </c>
      <c r="AE275">
        <f t="shared" si="52"/>
        <v>3.13562561364597</v>
      </c>
      <c r="AH275">
        <v>4.2168</v>
      </c>
      <c r="AI275" s="10">
        <f t="shared" si="53"/>
        <v>4.4186781445646</v>
      </c>
      <c r="AJ275">
        <f t="shared" si="54"/>
        <v>1.79059605854852</v>
      </c>
    </row>
    <row r="276" spans="1:36">
      <c r="A276" s="1" t="s">
        <v>296</v>
      </c>
      <c r="B276" s="1">
        <v>18918676</v>
      </c>
      <c r="C276" s="2">
        <v>9.63391e-5</v>
      </c>
      <c r="E276">
        <v>7.609098</v>
      </c>
      <c r="F276">
        <v>2486.323217</v>
      </c>
      <c r="G276" s="3">
        <f t="shared" si="44"/>
        <v>2.486323217</v>
      </c>
      <c r="I276" t="s">
        <v>296</v>
      </c>
      <c r="J276">
        <v>14.2116</v>
      </c>
      <c r="K276" s="5">
        <f t="shared" si="45"/>
        <v>1.33121365644966</v>
      </c>
      <c r="L276">
        <f t="shared" si="46"/>
        <v>0.535414562092174</v>
      </c>
      <c r="O276">
        <v>0.0056304</v>
      </c>
      <c r="P276" s="6">
        <f t="shared" si="47"/>
        <v>3.36009448707019</v>
      </c>
      <c r="Q276" s="4">
        <f t="shared" si="48"/>
        <v>0.396183399476484</v>
      </c>
      <c r="T276">
        <v>113.226</v>
      </c>
      <c r="U276" s="7">
        <f t="shared" si="49"/>
        <v>0.16708773603236</v>
      </c>
      <c r="V276">
        <f t="shared" si="50"/>
        <v>7.96715359283965</v>
      </c>
      <c r="Y276">
        <v>0.001829196</v>
      </c>
      <c r="Z276" s="8">
        <v>6.20557097216482</v>
      </c>
      <c r="AA276">
        <f t="shared" si="51"/>
        <v>0.21451912522165</v>
      </c>
      <c r="AD276" s="9">
        <v>1.829409</v>
      </c>
      <c r="AE276">
        <f t="shared" si="52"/>
        <v>0.727674159496133</v>
      </c>
      <c r="AH276">
        <v>16.4819</v>
      </c>
      <c r="AI276" s="10">
        <f t="shared" si="53"/>
        <v>1.14784557605616</v>
      </c>
      <c r="AJ276">
        <f t="shared" si="54"/>
        <v>1.15974978186833</v>
      </c>
    </row>
    <row r="277" spans="1:36">
      <c r="A277" s="1" t="s">
        <v>297</v>
      </c>
      <c r="B277" s="1">
        <v>18927696</v>
      </c>
      <c r="C277" s="2">
        <v>0.000479407</v>
      </c>
      <c r="E277">
        <v>16.576872</v>
      </c>
      <c r="F277">
        <v>1141.813462</v>
      </c>
      <c r="G277" s="3">
        <f t="shared" si="44"/>
        <v>1.141813462</v>
      </c>
      <c r="I277" t="s">
        <v>297</v>
      </c>
      <c r="J277">
        <v>14.8953</v>
      </c>
      <c r="K277" s="5">
        <f t="shared" si="45"/>
        <v>1.27071599766369</v>
      </c>
      <c r="L277">
        <f t="shared" si="46"/>
        <v>1.1128928147667</v>
      </c>
      <c r="O277">
        <v>0.024416</v>
      </c>
      <c r="P277" s="6">
        <f t="shared" si="47"/>
        <v>0.775216906946265</v>
      </c>
      <c r="Q277" s="4">
        <f t="shared" si="48"/>
        <v>1.63917477325062</v>
      </c>
      <c r="T277">
        <v>35.386</v>
      </c>
      <c r="U277" s="7">
        <f t="shared" si="49"/>
        <v>0.534892217261064</v>
      </c>
      <c r="V277">
        <f t="shared" si="50"/>
        <v>2.37564869455466</v>
      </c>
      <c r="Y277">
        <v>0.009997938</v>
      </c>
      <c r="Z277" s="8">
        <v>1.13589598175144</v>
      </c>
      <c r="AA277">
        <f t="shared" si="51"/>
        <v>1.11869045940666</v>
      </c>
      <c r="AD277" s="9">
        <v>0.681552</v>
      </c>
      <c r="AE277">
        <f t="shared" si="52"/>
        <v>1.86444467577484</v>
      </c>
      <c r="AH277">
        <v>20.472</v>
      </c>
      <c r="AI277" s="10">
        <f t="shared" si="53"/>
        <v>0.924565064478312</v>
      </c>
      <c r="AJ277">
        <f t="shared" si="54"/>
        <v>1.37439326498963</v>
      </c>
    </row>
    <row r="278" spans="1:36">
      <c r="A278" s="1" t="s">
        <v>298</v>
      </c>
      <c r="B278" s="1">
        <v>19165264</v>
      </c>
      <c r="C278" s="2">
        <v>0.0703475</v>
      </c>
      <c r="E278">
        <v>8.705362</v>
      </c>
      <c r="F278">
        <v>2201.547122</v>
      </c>
      <c r="G278" s="3">
        <f t="shared" si="44"/>
        <v>2.201547122</v>
      </c>
      <c r="I278" t="s">
        <v>298</v>
      </c>
      <c r="J278">
        <v>7.93675</v>
      </c>
      <c r="K278" s="5">
        <f t="shared" si="45"/>
        <v>2.41474961413677</v>
      </c>
      <c r="L278">
        <f t="shared" si="46"/>
        <v>1.09684212070968</v>
      </c>
      <c r="O278">
        <v>0.0090816</v>
      </c>
      <c r="P278" s="6">
        <f t="shared" si="47"/>
        <v>2.11034002818887</v>
      </c>
      <c r="Q278" s="4">
        <f t="shared" si="48"/>
        <v>1.14424670047564</v>
      </c>
      <c r="T278">
        <v>6375.247</v>
      </c>
      <c r="U278" s="7">
        <f t="shared" si="49"/>
        <v>0.00300619944607636</v>
      </c>
      <c r="V278">
        <f t="shared" si="50"/>
        <v>803.256622673009</v>
      </c>
      <c r="Y278">
        <v>0.0213417</v>
      </c>
      <c r="Z278" s="8">
        <v>0.538811734772769</v>
      </c>
      <c r="AA278">
        <f t="shared" si="51"/>
        <v>4.48162031058053</v>
      </c>
      <c r="AD278" s="9">
        <v>1.293279</v>
      </c>
      <c r="AE278">
        <f t="shared" si="52"/>
        <v>1.86715288359029</v>
      </c>
      <c r="AH278">
        <v>9.0158</v>
      </c>
      <c r="AI278" s="10">
        <f t="shared" si="53"/>
        <v>2.1257419197409</v>
      </c>
      <c r="AJ278">
        <f t="shared" si="54"/>
        <v>1.13595615333732</v>
      </c>
    </row>
    <row r="279" spans="1:36">
      <c r="A279" s="1" t="s">
        <v>299</v>
      </c>
      <c r="B279" s="1">
        <v>19219980</v>
      </c>
      <c r="C279" s="2">
        <v>0.144195</v>
      </c>
      <c r="E279">
        <v>8.700316</v>
      </c>
      <c r="F279">
        <v>2209.112958</v>
      </c>
      <c r="G279" s="3">
        <f t="shared" si="44"/>
        <v>2.209112958</v>
      </c>
      <c r="I279" t="s">
        <v>299</v>
      </c>
      <c r="J279">
        <v>11.8662</v>
      </c>
      <c r="K279" s="5">
        <f t="shared" si="45"/>
        <v>1.61972493300298</v>
      </c>
      <c r="L279">
        <f t="shared" si="46"/>
        <v>0.733201499333645</v>
      </c>
      <c r="O279">
        <v>0.0094592</v>
      </c>
      <c r="P279" s="6">
        <f t="shared" si="47"/>
        <v>2.03188218876861</v>
      </c>
      <c r="Q279" s="4">
        <f t="shared" si="48"/>
        <v>0.797154944295562</v>
      </c>
      <c r="T279">
        <v>42.162</v>
      </c>
      <c r="U279" s="7">
        <f t="shared" si="49"/>
        <v>0.455860253308667</v>
      </c>
      <c r="V279">
        <f t="shared" si="50"/>
        <v>3.55311725742024</v>
      </c>
      <c r="Y279">
        <v>0.009274086</v>
      </c>
      <c r="Z279" s="8">
        <v>1.24346356072178</v>
      </c>
      <c r="AA279">
        <f t="shared" si="51"/>
        <v>1.30259139404358</v>
      </c>
      <c r="AD279" s="9">
        <v>0.998403</v>
      </c>
      <c r="AE279">
        <f t="shared" si="52"/>
        <v>1.62231577128973</v>
      </c>
      <c r="AH279">
        <v>17.5144</v>
      </c>
      <c r="AI279" s="10">
        <f t="shared" si="53"/>
        <v>1.09738158315443</v>
      </c>
      <c r="AJ279">
        <f t="shared" si="54"/>
        <v>1.47599062884495</v>
      </c>
    </row>
    <row r="280" spans="1:36">
      <c r="A280" s="1" t="s">
        <v>300</v>
      </c>
      <c r="B280" s="1">
        <v>19302814</v>
      </c>
      <c r="C280" s="2">
        <v>0.997254</v>
      </c>
      <c r="E280">
        <v>2.287647</v>
      </c>
      <c r="F280">
        <v>8437.847901</v>
      </c>
      <c r="G280" s="3">
        <f t="shared" si="44"/>
        <v>8.437847901</v>
      </c>
      <c r="I280" t="s">
        <v>300</v>
      </c>
      <c r="J280">
        <v>0.890926</v>
      </c>
      <c r="K280" s="5">
        <f t="shared" si="45"/>
        <v>21.6660126654739</v>
      </c>
      <c r="L280">
        <f t="shared" si="46"/>
        <v>2.56771784934713</v>
      </c>
      <c r="O280">
        <v>0.0021808</v>
      </c>
      <c r="P280" s="6">
        <f t="shared" si="47"/>
        <v>8.85125366837858</v>
      </c>
      <c r="Q280" s="4">
        <f t="shared" si="48"/>
        <v>2.44779027663353</v>
      </c>
      <c r="T280">
        <v>8.82</v>
      </c>
      <c r="U280" s="7">
        <f t="shared" si="49"/>
        <v>2.18852766439909</v>
      </c>
      <c r="V280">
        <f t="shared" si="50"/>
        <v>9.89981210560697</v>
      </c>
      <c r="Y280">
        <v>0.006364728</v>
      </c>
      <c r="Z280" s="8">
        <v>1.81966745476005</v>
      </c>
      <c r="AA280">
        <f t="shared" si="51"/>
        <v>11.9065780996401</v>
      </c>
      <c r="AD280" s="9">
        <v>2.824248</v>
      </c>
      <c r="AE280">
        <f t="shared" si="52"/>
        <v>7.67142710748982</v>
      </c>
      <c r="AH280">
        <v>2.4017</v>
      </c>
      <c r="AI280" s="10">
        <f t="shared" si="53"/>
        <v>8.03714618811675</v>
      </c>
      <c r="AJ280">
        <f t="shared" si="54"/>
        <v>2.69573455034425</v>
      </c>
    </row>
    <row r="281" spans="1:36">
      <c r="A281" s="1" t="s">
        <v>301</v>
      </c>
      <c r="B281" s="1">
        <v>19457552</v>
      </c>
      <c r="C281" s="2">
        <v>0.00056055</v>
      </c>
      <c r="E281">
        <v>15.48001</v>
      </c>
      <c r="F281">
        <v>1256.946969</v>
      </c>
      <c r="G281" s="3">
        <f t="shared" si="44"/>
        <v>1.256946969</v>
      </c>
      <c r="I281" t="s">
        <v>301</v>
      </c>
      <c r="J281">
        <v>14.5995</v>
      </c>
      <c r="K281" s="5">
        <f t="shared" si="45"/>
        <v>1.33275468337957</v>
      </c>
      <c r="L281">
        <f t="shared" si="46"/>
        <v>1.06031098864885</v>
      </c>
      <c r="O281">
        <v>0.0265184</v>
      </c>
      <c r="P281" s="6">
        <f t="shared" si="47"/>
        <v>0.7337377820683</v>
      </c>
      <c r="Q281" s="4">
        <f t="shared" si="48"/>
        <v>1.81639097229357</v>
      </c>
      <c r="T281">
        <v>36.413</v>
      </c>
      <c r="U281" s="7">
        <f t="shared" si="49"/>
        <v>0.534357289978854</v>
      </c>
      <c r="V281">
        <f t="shared" si="50"/>
        <v>2.49412651118189</v>
      </c>
      <c r="Y281">
        <v>0.00999918</v>
      </c>
      <c r="Z281" s="8">
        <v>1.16754885900644</v>
      </c>
      <c r="AA281">
        <f t="shared" si="51"/>
        <v>1.14149799650673</v>
      </c>
      <c r="AD281" s="9">
        <v>0.681054</v>
      </c>
      <c r="AE281">
        <f t="shared" si="52"/>
        <v>1.95690016265901</v>
      </c>
      <c r="AH281">
        <v>22.5546</v>
      </c>
      <c r="AI281" s="10">
        <f t="shared" si="53"/>
        <v>0.862686635985564</v>
      </c>
      <c r="AJ281">
        <f t="shared" si="54"/>
        <v>1.54488852357957</v>
      </c>
    </row>
    <row r="282" spans="1:36">
      <c r="A282" s="1" t="s">
        <v>302</v>
      </c>
      <c r="B282" s="1">
        <v>19627814</v>
      </c>
      <c r="C282" s="2">
        <v>0.0559994</v>
      </c>
      <c r="E282">
        <v>3.496234</v>
      </c>
      <c r="F282">
        <v>5613.988289</v>
      </c>
      <c r="G282" s="3">
        <f t="shared" si="44"/>
        <v>5.613988289</v>
      </c>
      <c r="I282" t="s">
        <v>302</v>
      </c>
      <c r="J282">
        <v>3.42488</v>
      </c>
      <c r="K282" s="5">
        <f t="shared" si="45"/>
        <v>5.73094940552662</v>
      </c>
      <c r="L282">
        <f t="shared" si="46"/>
        <v>1.02083387255292</v>
      </c>
      <c r="O282">
        <v>0.0034512</v>
      </c>
      <c r="P282" s="6">
        <f t="shared" si="47"/>
        <v>5.68724327770051</v>
      </c>
      <c r="Q282" s="4">
        <f t="shared" si="48"/>
        <v>1.00768494078625</v>
      </c>
      <c r="T282">
        <v>35.287</v>
      </c>
      <c r="U282" s="7">
        <f t="shared" si="49"/>
        <v>0.556233570436705</v>
      </c>
      <c r="V282">
        <f t="shared" si="50"/>
        <v>10.3031347083693</v>
      </c>
      <c r="Y282">
        <v>0.015336234</v>
      </c>
      <c r="Z282" s="8">
        <v>0.767899629074517</v>
      </c>
      <c r="AA282">
        <f t="shared" si="51"/>
        <v>7.46314907383617</v>
      </c>
      <c r="AD282" s="9">
        <v>2.023989</v>
      </c>
      <c r="AE282">
        <f t="shared" si="52"/>
        <v>2.83151213051386</v>
      </c>
      <c r="AH282">
        <v>7.3193</v>
      </c>
      <c r="AI282" s="10">
        <f t="shared" si="53"/>
        <v>2.68165179730302</v>
      </c>
      <c r="AJ282">
        <f t="shared" si="54"/>
        <v>2.13709677419355</v>
      </c>
    </row>
    <row r="283" spans="1:36">
      <c r="A283" s="1" t="s">
        <v>303</v>
      </c>
      <c r="B283" s="1">
        <v>19627814</v>
      </c>
      <c r="C283" s="2">
        <v>0.0559994</v>
      </c>
      <c r="E283">
        <v>3.508267</v>
      </c>
      <c r="F283">
        <v>5594.732334</v>
      </c>
      <c r="G283" s="3">
        <f t="shared" si="44"/>
        <v>5.594732334</v>
      </c>
      <c r="I283" t="s">
        <v>303</v>
      </c>
      <c r="J283">
        <v>3.2849</v>
      </c>
      <c r="K283" s="5">
        <f t="shared" si="45"/>
        <v>5.97516332308442</v>
      </c>
      <c r="L283">
        <f t="shared" si="46"/>
        <v>1.06799806789191</v>
      </c>
      <c r="O283">
        <v>0.0034176</v>
      </c>
      <c r="P283" s="6">
        <f t="shared" si="47"/>
        <v>5.74315718632959</v>
      </c>
      <c r="Q283" s="4">
        <f t="shared" si="48"/>
        <v>1.04039696794423</v>
      </c>
      <c r="T283">
        <v>35.179</v>
      </c>
      <c r="U283" s="7">
        <f t="shared" si="49"/>
        <v>0.557941214929361</v>
      </c>
      <c r="V283">
        <f t="shared" si="50"/>
        <v>10.7093062193674</v>
      </c>
      <c r="Y283">
        <v>0.015488604</v>
      </c>
      <c r="Z283" s="8">
        <v>0.760345373927825</v>
      </c>
      <c r="AA283">
        <f t="shared" si="51"/>
        <v>7.85848579865445</v>
      </c>
      <c r="AD283" s="9">
        <v>2.002098</v>
      </c>
      <c r="AE283">
        <f t="shared" si="52"/>
        <v>2.98445097247209</v>
      </c>
      <c r="AH283">
        <v>7.2088</v>
      </c>
      <c r="AI283" s="10">
        <f t="shared" si="53"/>
        <v>2.72275746310065</v>
      </c>
      <c r="AJ283">
        <f t="shared" si="54"/>
        <v>2.19452646960334</v>
      </c>
    </row>
    <row r="284" spans="1:36">
      <c r="A284" s="1" t="s">
        <v>304</v>
      </c>
      <c r="B284" s="1">
        <v>19712276</v>
      </c>
      <c r="C284" s="2">
        <v>0.000850812</v>
      </c>
      <c r="E284">
        <v>17.325643</v>
      </c>
      <c r="F284">
        <v>1137.751468</v>
      </c>
      <c r="G284" s="3">
        <f t="shared" si="44"/>
        <v>1.137751468</v>
      </c>
      <c r="I284" t="s">
        <v>304</v>
      </c>
      <c r="J284">
        <v>15.7802</v>
      </c>
      <c r="K284" s="5">
        <f t="shared" si="45"/>
        <v>1.24917783044575</v>
      </c>
      <c r="L284">
        <f t="shared" si="46"/>
        <v>1.09793559101411</v>
      </c>
      <c r="O284">
        <v>0.0297872</v>
      </c>
      <c r="P284" s="6">
        <f t="shared" si="47"/>
        <v>0.661770022022882</v>
      </c>
      <c r="Q284" s="4">
        <f t="shared" si="48"/>
        <v>1.88763133547103</v>
      </c>
      <c r="T284">
        <v>37.015</v>
      </c>
      <c r="U284" s="7">
        <f t="shared" si="49"/>
        <v>0.532548318249358</v>
      </c>
      <c r="V284">
        <f t="shared" si="50"/>
        <v>2.34566101823805</v>
      </c>
      <c r="Y284">
        <v>0.010194174</v>
      </c>
      <c r="Z284" s="8">
        <v>1.16020833075833</v>
      </c>
      <c r="AA284">
        <f t="shared" si="51"/>
        <v>1.07668407244522</v>
      </c>
      <c r="AD284" s="9">
        <v>0.635508</v>
      </c>
      <c r="AE284">
        <f t="shared" si="52"/>
        <v>1.96563667246636</v>
      </c>
      <c r="AH284">
        <v>19.4465</v>
      </c>
      <c r="AI284" s="10">
        <f t="shared" si="53"/>
        <v>1.01366703519914</v>
      </c>
      <c r="AJ284">
        <f t="shared" si="54"/>
        <v>1.23233545835921</v>
      </c>
    </row>
    <row r="285" spans="1:36">
      <c r="A285" s="1" t="s">
        <v>305</v>
      </c>
      <c r="B285" s="1">
        <v>19815620</v>
      </c>
      <c r="C285" s="2">
        <v>7.41913e-5</v>
      </c>
      <c r="E285">
        <v>14.893045</v>
      </c>
      <c r="F285">
        <v>1330.528407</v>
      </c>
      <c r="G285" s="3">
        <f t="shared" si="44"/>
        <v>1.330528407</v>
      </c>
      <c r="I285" t="s">
        <v>305</v>
      </c>
      <c r="J285">
        <v>12.7609</v>
      </c>
      <c r="K285" s="5">
        <f t="shared" si="45"/>
        <v>1.55283874961797</v>
      </c>
      <c r="L285">
        <f t="shared" si="46"/>
        <v>1.16708425122559</v>
      </c>
      <c r="O285">
        <v>0.0225536</v>
      </c>
      <c r="P285" s="6">
        <f t="shared" si="47"/>
        <v>0.87860119892168</v>
      </c>
      <c r="Q285" s="4">
        <f t="shared" si="48"/>
        <v>1.76739885117821</v>
      </c>
      <c r="T285">
        <v>35.691</v>
      </c>
      <c r="U285" s="7">
        <f t="shared" si="49"/>
        <v>0.555199349976184</v>
      </c>
      <c r="V285">
        <f t="shared" si="50"/>
        <v>2.79690303975425</v>
      </c>
      <c r="Y285">
        <v>0.010556244</v>
      </c>
      <c r="Z285" s="8">
        <v>1.12628810019928</v>
      </c>
      <c r="AA285">
        <f t="shared" si="51"/>
        <v>1.37872250389862</v>
      </c>
      <c r="AD285" s="9">
        <v>0.763692</v>
      </c>
      <c r="AE285">
        <f t="shared" si="52"/>
        <v>2.03333117227622</v>
      </c>
      <c r="AH285">
        <v>18.3394</v>
      </c>
      <c r="AI285" s="10">
        <f t="shared" si="53"/>
        <v>1.08049445456231</v>
      </c>
      <c r="AJ285">
        <f t="shared" si="54"/>
        <v>1.43715568651114</v>
      </c>
    </row>
    <row r="286" spans="1:36">
      <c r="A286" s="1" t="s">
        <v>306</v>
      </c>
      <c r="B286" s="1">
        <v>19992960</v>
      </c>
      <c r="C286" s="2">
        <v>0.0394254</v>
      </c>
      <c r="E286">
        <v>3.235961</v>
      </c>
      <c r="F286">
        <v>6178.368992</v>
      </c>
      <c r="G286" s="3">
        <f t="shared" si="44"/>
        <v>6.178368992</v>
      </c>
      <c r="I286" t="s">
        <v>306</v>
      </c>
      <c r="J286">
        <v>2.46893</v>
      </c>
      <c r="K286" s="5">
        <f t="shared" si="45"/>
        <v>8.09782375360986</v>
      </c>
      <c r="L286">
        <f t="shared" si="46"/>
        <v>1.31067337740676</v>
      </c>
      <c r="O286">
        <v>0.0031776</v>
      </c>
      <c r="P286" s="6">
        <f t="shared" si="47"/>
        <v>6.29184290030211</v>
      </c>
      <c r="Q286" s="4">
        <f t="shared" si="48"/>
        <v>1.28703527439012</v>
      </c>
      <c r="T286">
        <v>13.351</v>
      </c>
      <c r="U286" s="7">
        <f t="shared" si="49"/>
        <v>1.49748782862707</v>
      </c>
      <c r="V286">
        <f t="shared" si="50"/>
        <v>5.40760572393709</v>
      </c>
      <c r="Y286">
        <v>0.011385306</v>
      </c>
      <c r="Z286" s="8">
        <v>1.05361911221358</v>
      </c>
      <c r="AA286">
        <f t="shared" si="51"/>
        <v>7.68572215494165</v>
      </c>
      <c r="AD286" s="9">
        <v>2.319783</v>
      </c>
      <c r="AE286">
        <f t="shared" si="52"/>
        <v>3.49076778026646</v>
      </c>
      <c r="AH286">
        <v>5.6651</v>
      </c>
      <c r="AI286" s="10">
        <f t="shared" si="53"/>
        <v>3.52914511659106</v>
      </c>
      <c r="AJ286">
        <f t="shared" si="54"/>
        <v>2.29455675130522</v>
      </c>
    </row>
    <row r="287" spans="1:36">
      <c r="A287" s="1" t="s">
        <v>307</v>
      </c>
      <c r="B287" s="1">
        <v>20033816</v>
      </c>
      <c r="C287" s="2">
        <v>0</v>
      </c>
      <c r="E287">
        <v>15.54328</v>
      </c>
      <c r="F287">
        <v>1288.905334</v>
      </c>
      <c r="G287" s="3">
        <f t="shared" si="44"/>
        <v>1.288905334</v>
      </c>
      <c r="I287" t="s">
        <v>307</v>
      </c>
      <c r="J287">
        <v>11.4083</v>
      </c>
      <c r="K287" s="5">
        <f t="shared" si="45"/>
        <v>1.75607373578886</v>
      </c>
      <c r="L287">
        <f t="shared" si="46"/>
        <v>1.36245361817151</v>
      </c>
      <c r="O287">
        <v>0.0270496</v>
      </c>
      <c r="P287" s="6">
        <f t="shared" si="47"/>
        <v>0.740632615639418</v>
      </c>
      <c r="Q287" s="4">
        <f t="shared" si="48"/>
        <v>2.37104564220787</v>
      </c>
      <c r="T287">
        <v>31.017</v>
      </c>
      <c r="U287" s="7">
        <f t="shared" si="49"/>
        <v>0.645897926943289</v>
      </c>
      <c r="V287">
        <f t="shared" si="50"/>
        <v>2.71880998921838</v>
      </c>
      <c r="Y287">
        <v>0.01115856</v>
      </c>
      <c r="Z287" s="8">
        <v>1.07722587860799</v>
      </c>
      <c r="AA287">
        <f t="shared" si="51"/>
        <v>1.63018153449682</v>
      </c>
      <c r="AD287" s="9">
        <v>0.640011</v>
      </c>
      <c r="AE287">
        <f t="shared" si="52"/>
        <v>2.7438180527973</v>
      </c>
      <c r="AH287">
        <v>22.1363</v>
      </c>
      <c r="AI287" s="10">
        <f t="shared" si="53"/>
        <v>0.905020983633218</v>
      </c>
      <c r="AJ287">
        <f t="shared" si="54"/>
        <v>1.94036797770045</v>
      </c>
    </row>
    <row r="288" spans="1:36">
      <c r="A288" s="1" t="s">
        <v>308</v>
      </c>
      <c r="B288" s="1">
        <v>20137844</v>
      </c>
      <c r="C288" s="2">
        <v>0</v>
      </c>
      <c r="E288">
        <v>10.2087</v>
      </c>
      <c r="F288">
        <v>1972.615921</v>
      </c>
      <c r="G288" s="3">
        <f t="shared" si="44"/>
        <v>1.972615921</v>
      </c>
      <c r="I288" t="s">
        <v>308</v>
      </c>
      <c r="J288">
        <v>7.91096</v>
      </c>
      <c r="K288" s="5">
        <f t="shared" si="45"/>
        <v>2.54556261187011</v>
      </c>
      <c r="L288">
        <f t="shared" si="46"/>
        <v>1.29045020106076</v>
      </c>
      <c r="O288">
        <v>0.009056</v>
      </c>
      <c r="P288" s="6">
        <f t="shared" si="47"/>
        <v>2.22370185512367</v>
      </c>
      <c r="Q288" s="4">
        <f t="shared" si="48"/>
        <v>1.14474096696229</v>
      </c>
      <c r="T288">
        <v>34.942</v>
      </c>
      <c r="U288" s="7">
        <f t="shared" si="49"/>
        <v>0.576322019346345</v>
      </c>
      <c r="V288">
        <f t="shared" si="50"/>
        <v>4.41691021064447</v>
      </c>
      <c r="Y288">
        <v>0.00863775</v>
      </c>
      <c r="Z288" s="8">
        <v>1.39882566640618</v>
      </c>
      <c r="AA288">
        <f t="shared" si="51"/>
        <v>1.81978546219422</v>
      </c>
      <c r="AD288" s="9">
        <v>1.165533</v>
      </c>
      <c r="AE288">
        <f t="shared" si="52"/>
        <v>2.18403306630538</v>
      </c>
      <c r="AH288">
        <v>10.6894</v>
      </c>
      <c r="AI288" s="10">
        <f t="shared" si="53"/>
        <v>1.88390779650869</v>
      </c>
      <c r="AJ288">
        <f t="shared" si="54"/>
        <v>1.35121401195304</v>
      </c>
    </row>
    <row r="289" spans="1:36">
      <c r="A289" s="1" t="s">
        <v>309</v>
      </c>
      <c r="B289" s="1">
        <v>20213852</v>
      </c>
      <c r="C289" s="2">
        <v>0.00147677</v>
      </c>
      <c r="E289">
        <v>15.627028</v>
      </c>
      <c r="F289">
        <v>1293.518649</v>
      </c>
      <c r="G289" s="3">
        <f t="shared" si="44"/>
        <v>1.293518649</v>
      </c>
      <c r="I289" t="s">
        <v>309</v>
      </c>
      <c r="J289">
        <v>14.5426</v>
      </c>
      <c r="K289" s="5">
        <f t="shared" si="45"/>
        <v>1.38997510761487</v>
      </c>
      <c r="L289">
        <f t="shared" si="46"/>
        <v>1.07456905139283</v>
      </c>
      <c r="O289">
        <v>0.025296</v>
      </c>
      <c r="P289" s="6">
        <f t="shared" si="47"/>
        <v>0.799092820999368</v>
      </c>
      <c r="Q289" s="4">
        <f t="shared" si="48"/>
        <v>1.73944136536795</v>
      </c>
      <c r="T289">
        <v>44.687</v>
      </c>
      <c r="U289" s="7">
        <f t="shared" si="49"/>
        <v>0.452343008033656</v>
      </c>
      <c r="V289">
        <f t="shared" si="50"/>
        <v>3.07283429373014</v>
      </c>
      <c r="Y289">
        <v>0.010275894</v>
      </c>
      <c r="Z289" s="8">
        <v>1.18026822775712</v>
      </c>
      <c r="AA289">
        <f t="shared" si="51"/>
        <v>1.17767730667143</v>
      </c>
      <c r="AD289" s="9">
        <v>0.695154</v>
      </c>
      <c r="AE289">
        <f t="shared" si="52"/>
        <v>1.99952112426149</v>
      </c>
      <c r="AH289">
        <v>21.9674</v>
      </c>
      <c r="AI289" s="10">
        <f t="shared" si="53"/>
        <v>0.92017498657101</v>
      </c>
      <c r="AJ289">
        <f t="shared" si="54"/>
        <v>1.5105551964573</v>
      </c>
    </row>
    <row r="290" spans="1:36">
      <c r="A290" s="1" t="s">
        <v>310</v>
      </c>
      <c r="B290" s="1">
        <v>20360776</v>
      </c>
      <c r="C290" s="2">
        <v>0</v>
      </c>
      <c r="E290">
        <v>11.77036</v>
      </c>
      <c r="F290">
        <v>1729.834624</v>
      </c>
      <c r="G290" s="3">
        <f t="shared" si="44"/>
        <v>1.729834624</v>
      </c>
      <c r="I290" t="s">
        <v>310</v>
      </c>
      <c r="J290">
        <v>21.2949</v>
      </c>
      <c r="K290" s="5">
        <f t="shared" si="45"/>
        <v>0.956133909997229</v>
      </c>
      <c r="L290">
        <f t="shared" si="46"/>
        <v>0.552731397979712</v>
      </c>
      <c r="O290">
        <v>0.0177904</v>
      </c>
      <c r="P290" s="6">
        <f t="shared" si="47"/>
        <v>1.14448106844141</v>
      </c>
      <c r="Q290" s="4">
        <f t="shared" si="48"/>
        <v>0.835430079502604</v>
      </c>
      <c r="T290">
        <v>43.443</v>
      </c>
      <c r="U290" s="7">
        <f t="shared" si="49"/>
        <v>0.468677945814055</v>
      </c>
      <c r="V290">
        <f t="shared" si="50"/>
        <v>2.04006593127932</v>
      </c>
      <c r="Y290">
        <v>0.010958454</v>
      </c>
      <c r="Z290" s="8">
        <v>1.11479827355209</v>
      </c>
      <c r="AA290">
        <f t="shared" si="51"/>
        <v>0.857674372737135</v>
      </c>
      <c r="AD290" s="9">
        <v>0.78438</v>
      </c>
      <c r="AE290">
        <f t="shared" si="52"/>
        <v>1.21896773247307</v>
      </c>
      <c r="AH290">
        <v>16.228</v>
      </c>
      <c r="AI290" s="10">
        <f t="shared" si="53"/>
        <v>1.25466946019226</v>
      </c>
      <c r="AJ290">
        <f t="shared" si="54"/>
        <v>0.762060399438363</v>
      </c>
    </row>
    <row r="291" spans="1:36">
      <c r="A291" s="1" t="s">
        <v>311</v>
      </c>
      <c r="B291" s="1">
        <v>20660152</v>
      </c>
      <c r="C291" s="2">
        <v>0</v>
      </c>
      <c r="E291">
        <v>14.224903</v>
      </c>
      <c r="F291">
        <v>1452.393194</v>
      </c>
      <c r="G291" s="3">
        <f t="shared" si="44"/>
        <v>1.452393194</v>
      </c>
      <c r="I291" t="s">
        <v>311</v>
      </c>
      <c r="J291">
        <v>18.5137</v>
      </c>
      <c r="K291" s="5">
        <f t="shared" si="45"/>
        <v>1.11593857521727</v>
      </c>
      <c r="L291">
        <f t="shared" si="46"/>
        <v>0.768344674036851</v>
      </c>
      <c r="O291">
        <v>0.0171168</v>
      </c>
      <c r="P291" s="6">
        <f t="shared" si="47"/>
        <v>1.20701018882034</v>
      </c>
      <c r="Q291" s="4">
        <f t="shared" si="48"/>
        <v>0.924547767329059</v>
      </c>
      <c r="T291">
        <v>45.679</v>
      </c>
      <c r="U291" s="7">
        <f t="shared" si="49"/>
        <v>0.452289936294577</v>
      </c>
      <c r="V291">
        <f t="shared" si="50"/>
        <v>2.46730799353992</v>
      </c>
      <c r="Y291">
        <v>0.014766786</v>
      </c>
      <c r="Z291" s="8">
        <v>0.839457631471059</v>
      </c>
      <c r="AA291">
        <f t="shared" si="51"/>
        <v>1.32935663859736</v>
      </c>
      <c r="AD291" s="9">
        <v>0.604926</v>
      </c>
      <c r="AE291">
        <f t="shared" si="52"/>
        <v>1.84475220972032</v>
      </c>
      <c r="AH291">
        <v>21.6638</v>
      </c>
      <c r="AI291" s="10">
        <f t="shared" si="53"/>
        <v>0.953671655018972</v>
      </c>
      <c r="AJ291">
        <f t="shared" si="54"/>
        <v>1.1701496729449</v>
      </c>
    </row>
    <row r="292" spans="1:36">
      <c r="A292" s="1" t="s">
        <v>312</v>
      </c>
      <c r="B292" s="1">
        <v>21240028</v>
      </c>
      <c r="C292" s="2">
        <v>0.000105923</v>
      </c>
      <c r="E292">
        <v>18.507747</v>
      </c>
      <c r="F292">
        <v>1147.62907</v>
      </c>
      <c r="G292" s="3">
        <f t="shared" si="44"/>
        <v>1.14762907</v>
      </c>
      <c r="I292" t="s">
        <v>312</v>
      </c>
      <c r="J292">
        <v>17.7353</v>
      </c>
      <c r="K292" s="5">
        <f t="shared" si="45"/>
        <v>1.19761312185303</v>
      </c>
      <c r="L292">
        <f t="shared" si="46"/>
        <v>1.0435541876375</v>
      </c>
      <c r="O292">
        <v>0.0406928</v>
      </c>
      <c r="P292" s="6">
        <f t="shared" si="47"/>
        <v>0.521960346793536</v>
      </c>
      <c r="Q292" s="4">
        <f t="shared" si="48"/>
        <v>2.29445230698099</v>
      </c>
      <c r="T292">
        <v>40.061</v>
      </c>
      <c r="U292" s="7">
        <f t="shared" si="49"/>
        <v>0.530192156960635</v>
      </c>
      <c r="V292">
        <f t="shared" si="50"/>
        <v>2.25882843819952</v>
      </c>
      <c r="Y292">
        <v>0.010921194</v>
      </c>
      <c r="Z292" s="8">
        <v>1.16690691512302</v>
      </c>
      <c r="AA292">
        <f t="shared" si="51"/>
        <v>1.02631418696047</v>
      </c>
      <c r="AD292" s="9">
        <v>0.623181</v>
      </c>
      <c r="AE292">
        <f t="shared" si="52"/>
        <v>1.92177412638227</v>
      </c>
      <c r="AH292">
        <v>20.3014</v>
      </c>
      <c r="AI292" s="10">
        <f t="shared" si="53"/>
        <v>1.04623464391618</v>
      </c>
      <c r="AJ292">
        <f t="shared" si="54"/>
        <v>1.14468884089922</v>
      </c>
    </row>
    <row r="293" spans="1:36">
      <c r="A293" s="1" t="s">
        <v>313</v>
      </c>
      <c r="B293" s="1">
        <v>21349920</v>
      </c>
      <c r="C293" s="2">
        <v>0</v>
      </c>
      <c r="E293">
        <v>17.108105</v>
      </c>
      <c r="F293">
        <v>1247.941804</v>
      </c>
      <c r="G293" s="3">
        <f t="shared" si="44"/>
        <v>1.247941804</v>
      </c>
      <c r="I293" t="s">
        <v>313</v>
      </c>
      <c r="J293">
        <v>20.266</v>
      </c>
      <c r="K293" s="5">
        <f t="shared" si="45"/>
        <v>1.05348465410046</v>
      </c>
      <c r="L293">
        <f t="shared" si="46"/>
        <v>0.844177709828898</v>
      </c>
      <c r="O293">
        <v>0.0136352</v>
      </c>
      <c r="P293" s="6">
        <f t="shared" si="47"/>
        <v>1.5657944144567</v>
      </c>
      <c r="Q293" s="4">
        <f t="shared" si="48"/>
        <v>0.672811605644922</v>
      </c>
      <c r="T293">
        <v>117.584</v>
      </c>
      <c r="U293" s="7">
        <f t="shared" si="49"/>
        <v>0.181571642400327</v>
      </c>
      <c r="V293">
        <f t="shared" si="50"/>
        <v>5.80203296161058</v>
      </c>
      <c r="Y293">
        <v>0.05409612</v>
      </c>
      <c r="Z293" s="8">
        <v>0.23679982963658</v>
      </c>
      <c r="AA293">
        <f t="shared" si="51"/>
        <v>4.44884042238232</v>
      </c>
      <c r="AD293" s="9">
        <v>0.866244</v>
      </c>
      <c r="AE293">
        <f t="shared" si="52"/>
        <v>1.21615232440336</v>
      </c>
      <c r="AH293">
        <v>24.5425</v>
      </c>
      <c r="AI293" s="10">
        <f t="shared" si="53"/>
        <v>0.86991626769889</v>
      </c>
      <c r="AJ293">
        <f t="shared" si="54"/>
        <v>1.21101845455443</v>
      </c>
    </row>
    <row r="294" spans="1:36">
      <c r="A294" s="1" t="s">
        <v>314</v>
      </c>
      <c r="B294" s="1">
        <v>21349992</v>
      </c>
      <c r="C294" s="2">
        <v>0.0180349</v>
      </c>
      <c r="E294">
        <v>18.584422</v>
      </c>
      <c r="F294">
        <v>1148.811223</v>
      </c>
      <c r="G294" s="3">
        <f t="shared" si="44"/>
        <v>1.148811223</v>
      </c>
      <c r="I294" t="s">
        <v>314</v>
      </c>
      <c r="J294">
        <v>20.5772</v>
      </c>
      <c r="K294" s="5">
        <f t="shared" si="45"/>
        <v>1.03755574130591</v>
      </c>
      <c r="L294">
        <f t="shared" si="46"/>
        <v>0.903155993372387</v>
      </c>
      <c r="O294">
        <v>0.0167424</v>
      </c>
      <c r="P294" s="6">
        <f t="shared" si="47"/>
        <v>1.27520498853211</v>
      </c>
      <c r="Q294" s="4">
        <f t="shared" si="48"/>
        <v>0.813638395894485</v>
      </c>
      <c r="T294">
        <v>65.529</v>
      </c>
      <c r="U294" s="7">
        <f t="shared" si="49"/>
        <v>0.325809824657785</v>
      </c>
      <c r="V294">
        <f t="shared" si="50"/>
        <v>3.18454405847248</v>
      </c>
      <c r="Y294">
        <v>0.0381195</v>
      </c>
      <c r="Z294" s="8">
        <v>0.336048353205053</v>
      </c>
      <c r="AA294">
        <f t="shared" si="51"/>
        <v>3.08751919600334</v>
      </c>
      <c r="AD294" s="9">
        <v>0.921819</v>
      </c>
      <c r="AE294">
        <f t="shared" si="52"/>
        <v>1.12555256650808</v>
      </c>
      <c r="AH294">
        <v>24.5311</v>
      </c>
      <c r="AI294" s="10">
        <f t="shared" si="53"/>
        <v>0.87032346694604</v>
      </c>
      <c r="AJ294">
        <f t="shared" si="54"/>
        <v>1.19214956359466</v>
      </c>
    </row>
    <row r="295" spans="1:36">
      <c r="A295" s="1" t="s">
        <v>315</v>
      </c>
      <c r="B295" s="1">
        <v>21373886</v>
      </c>
      <c r="C295" s="2">
        <v>0</v>
      </c>
      <c r="E295">
        <v>6.704112</v>
      </c>
      <c r="F295">
        <v>3188.175643</v>
      </c>
      <c r="G295" s="3">
        <f t="shared" si="44"/>
        <v>3.188175643</v>
      </c>
      <c r="I295" t="s">
        <v>315</v>
      </c>
      <c r="J295">
        <v>7.20988</v>
      </c>
      <c r="K295" s="5">
        <f t="shared" si="45"/>
        <v>2.96452728755541</v>
      </c>
      <c r="L295">
        <f t="shared" si="46"/>
        <v>0.929850679357759</v>
      </c>
      <c r="O295">
        <v>0.0123104</v>
      </c>
      <c r="P295" s="6">
        <f t="shared" si="47"/>
        <v>1.73624626332207</v>
      </c>
      <c r="Q295" s="4">
        <f t="shared" si="48"/>
        <v>1.70743479780523</v>
      </c>
      <c r="T295">
        <v>54.773</v>
      </c>
      <c r="U295" s="7">
        <f t="shared" si="49"/>
        <v>0.390226681028974</v>
      </c>
      <c r="V295">
        <f t="shared" si="50"/>
        <v>7.59693642612637</v>
      </c>
      <c r="Y295">
        <v>0.03106098</v>
      </c>
      <c r="Z295" s="8">
        <v>0.412875949181256</v>
      </c>
      <c r="AA295">
        <f t="shared" si="51"/>
        <v>7.18018885196424</v>
      </c>
      <c r="AD295" s="9">
        <v>1.559418</v>
      </c>
      <c r="AE295">
        <f t="shared" si="52"/>
        <v>1.90104724169877</v>
      </c>
      <c r="AH295">
        <v>21.5755</v>
      </c>
      <c r="AI295" s="10">
        <f t="shared" si="53"/>
        <v>0.990655419341382</v>
      </c>
      <c r="AJ295">
        <f t="shared" si="54"/>
        <v>2.99249085976466</v>
      </c>
    </row>
    <row r="296" spans="1:36">
      <c r="A296" s="1" t="s">
        <v>316</v>
      </c>
      <c r="B296" s="1">
        <v>21417480</v>
      </c>
      <c r="C296" s="2">
        <v>0.259981</v>
      </c>
      <c r="E296">
        <v>4.437019</v>
      </c>
      <c r="F296">
        <v>4826.997635</v>
      </c>
      <c r="G296" s="3">
        <f t="shared" si="44"/>
        <v>4.826997635</v>
      </c>
      <c r="I296" t="s">
        <v>316</v>
      </c>
      <c r="J296">
        <v>2.97351</v>
      </c>
      <c r="K296" s="5">
        <f t="shared" si="45"/>
        <v>7.20276037410333</v>
      </c>
      <c r="L296">
        <f t="shared" si="46"/>
        <v>1.49218228778008</v>
      </c>
      <c r="O296">
        <v>0.0027552</v>
      </c>
      <c r="P296" s="6">
        <f t="shared" si="47"/>
        <v>7.7734756097561</v>
      </c>
      <c r="Q296" s="4">
        <f t="shared" si="48"/>
        <v>0.9265817165572</v>
      </c>
      <c r="T296">
        <v>16.69</v>
      </c>
      <c r="U296" s="7">
        <f t="shared" si="49"/>
        <v>1.2832522468544</v>
      </c>
      <c r="V296">
        <f t="shared" si="50"/>
        <v>5.61289519793107</v>
      </c>
      <c r="Y296">
        <v>0.007542306</v>
      </c>
      <c r="Z296" s="8">
        <v>1.70378767448576</v>
      </c>
      <c r="AA296">
        <f t="shared" si="51"/>
        <v>4.22749881453232</v>
      </c>
      <c r="AD296" s="9">
        <v>2.580609</v>
      </c>
      <c r="AE296">
        <f t="shared" si="52"/>
        <v>2.79110875537648</v>
      </c>
      <c r="AH296">
        <v>3.6062</v>
      </c>
      <c r="AI296" s="10">
        <f t="shared" si="53"/>
        <v>5.93907159891298</v>
      </c>
      <c r="AJ296">
        <f t="shared" si="54"/>
        <v>1.212775474103</v>
      </c>
    </row>
    <row r="297" spans="1:36">
      <c r="A297" s="1" t="s">
        <v>317</v>
      </c>
      <c r="B297" s="1">
        <v>21786832</v>
      </c>
      <c r="C297" s="2">
        <v>0.111975</v>
      </c>
      <c r="E297">
        <v>7.102906</v>
      </c>
      <c r="F297">
        <v>3067.312628</v>
      </c>
      <c r="G297" s="3">
        <f t="shared" si="44"/>
        <v>3.067312628</v>
      </c>
      <c r="I297" t="s">
        <v>317</v>
      </c>
      <c r="J297">
        <v>7.84268</v>
      </c>
      <c r="K297" s="5">
        <f t="shared" si="45"/>
        <v>2.77798303641102</v>
      </c>
      <c r="L297">
        <f t="shared" si="46"/>
        <v>0.905673262989945</v>
      </c>
      <c r="O297">
        <v>0.0062864</v>
      </c>
      <c r="P297" s="6">
        <f t="shared" si="47"/>
        <v>3.46570883176381</v>
      </c>
      <c r="Q297" s="4">
        <f t="shared" si="48"/>
        <v>0.801562731107224</v>
      </c>
      <c r="T297">
        <v>31.694</v>
      </c>
      <c r="U297" s="7">
        <f t="shared" si="49"/>
        <v>0.68741187606487</v>
      </c>
      <c r="V297">
        <f t="shared" si="50"/>
        <v>4.04122060316116</v>
      </c>
      <c r="Y297">
        <v>0.009189378</v>
      </c>
      <c r="Z297" s="8">
        <v>1.42252274310623</v>
      </c>
      <c r="AA297">
        <f t="shared" si="51"/>
        <v>1.95285667654424</v>
      </c>
      <c r="AD297" s="9">
        <v>1.50261</v>
      </c>
      <c r="AE297">
        <f t="shared" si="52"/>
        <v>1.84877182796003</v>
      </c>
      <c r="AH297">
        <v>8.2837</v>
      </c>
      <c r="AI297" s="10">
        <f t="shared" si="53"/>
        <v>2.63008462402067</v>
      </c>
      <c r="AJ297">
        <f t="shared" si="54"/>
        <v>1.05623332840305</v>
      </c>
    </row>
    <row r="298" spans="1:36">
      <c r="A298" s="1" t="s">
        <v>318</v>
      </c>
      <c r="B298" s="1">
        <v>21803520</v>
      </c>
      <c r="C298" s="2">
        <v>0.000281294</v>
      </c>
      <c r="E298">
        <v>17.945209</v>
      </c>
      <c r="F298">
        <v>1215.005071</v>
      </c>
      <c r="G298" s="3">
        <f t="shared" si="44"/>
        <v>1.215005071</v>
      </c>
      <c r="I298" t="s">
        <v>318</v>
      </c>
      <c r="J298">
        <v>17.5404</v>
      </c>
      <c r="K298" s="5">
        <f t="shared" si="45"/>
        <v>1.24304576862557</v>
      </c>
      <c r="L298">
        <f t="shared" si="46"/>
        <v>1.02307866715527</v>
      </c>
      <c r="O298">
        <v>0.0309584</v>
      </c>
      <c r="P298" s="6">
        <f t="shared" si="47"/>
        <v>0.704284459145175</v>
      </c>
      <c r="Q298" s="4">
        <f t="shared" si="48"/>
        <v>1.7649768534355</v>
      </c>
      <c r="T298">
        <v>40.936</v>
      </c>
      <c r="U298" s="7">
        <f t="shared" si="49"/>
        <v>0.532624584717608</v>
      </c>
      <c r="V298">
        <f t="shared" si="50"/>
        <v>2.33381222777132</v>
      </c>
      <c r="Y298">
        <v>0.010847484</v>
      </c>
      <c r="Z298" s="8">
        <v>1.20600426790212</v>
      </c>
      <c r="AA298">
        <f t="shared" si="51"/>
        <v>1.03071423684751</v>
      </c>
      <c r="AD298" s="9">
        <v>0.649947</v>
      </c>
      <c r="AE298">
        <f t="shared" si="52"/>
        <v>1.91253405066193</v>
      </c>
      <c r="AH298">
        <v>25.7927</v>
      </c>
      <c r="AI298" s="10">
        <f t="shared" si="53"/>
        <v>0.845336858878675</v>
      </c>
      <c r="AJ298">
        <f t="shared" si="54"/>
        <v>1.47047387744863</v>
      </c>
    </row>
    <row r="299" spans="1:36">
      <c r="A299" s="1" t="s">
        <v>319</v>
      </c>
      <c r="B299" s="1">
        <v>21872856</v>
      </c>
      <c r="C299" s="2">
        <v>7.75916e-5</v>
      </c>
      <c r="E299">
        <v>8.004598</v>
      </c>
      <c r="F299">
        <v>2732.536429</v>
      </c>
      <c r="G299" s="3">
        <f t="shared" si="44"/>
        <v>2.732536429</v>
      </c>
      <c r="I299" t="s">
        <v>319</v>
      </c>
      <c r="J299">
        <v>11.6068</v>
      </c>
      <c r="K299" s="5">
        <f t="shared" si="45"/>
        <v>1.88448633559637</v>
      </c>
      <c r="L299">
        <f t="shared" si="46"/>
        <v>0.689647287259047</v>
      </c>
      <c r="O299">
        <v>0.0079568</v>
      </c>
      <c r="P299" s="6">
        <f t="shared" si="47"/>
        <v>2.74895133722099</v>
      </c>
      <c r="Q299" s="4">
        <f t="shared" si="48"/>
        <v>0.68552917255402</v>
      </c>
      <c r="T299">
        <v>164.033</v>
      </c>
      <c r="U299" s="7">
        <f t="shared" si="49"/>
        <v>0.133344241707461</v>
      </c>
      <c r="V299">
        <f t="shared" si="50"/>
        <v>14.1324912982045</v>
      </c>
      <c r="Y299">
        <v>0.002208546</v>
      </c>
      <c r="Z299" s="8">
        <v>5.94224145659633</v>
      </c>
      <c r="AA299">
        <f t="shared" si="51"/>
        <v>0.317133921494297</v>
      </c>
      <c r="AD299" s="9">
        <v>1.584288</v>
      </c>
      <c r="AE299">
        <f t="shared" si="52"/>
        <v>1.18948469949679</v>
      </c>
      <c r="AH299">
        <v>17.4678</v>
      </c>
      <c r="AI299" s="10">
        <f t="shared" si="53"/>
        <v>1.25218149967369</v>
      </c>
      <c r="AJ299">
        <f t="shared" si="54"/>
        <v>1.50496260812627</v>
      </c>
    </row>
    <row r="300" spans="1:36">
      <c r="A300" s="1" t="s">
        <v>320</v>
      </c>
      <c r="B300" s="1">
        <v>22087302</v>
      </c>
      <c r="C300" s="2">
        <v>0.12623</v>
      </c>
      <c r="E300">
        <v>9.373979</v>
      </c>
      <c r="F300">
        <v>2356.235387</v>
      </c>
      <c r="G300" s="3">
        <f t="shared" si="44"/>
        <v>2.356235387</v>
      </c>
      <c r="I300" t="s">
        <v>320</v>
      </c>
      <c r="J300">
        <v>11.9346</v>
      </c>
      <c r="K300" s="5">
        <f t="shared" si="45"/>
        <v>1.8506947865869</v>
      </c>
      <c r="L300">
        <f t="shared" si="46"/>
        <v>0.785445629412788</v>
      </c>
      <c r="O300">
        <v>0.00792</v>
      </c>
      <c r="P300" s="6">
        <f t="shared" si="47"/>
        <v>2.78880075757576</v>
      </c>
      <c r="Q300" s="4">
        <f t="shared" si="48"/>
        <v>0.663616711075361</v>
      </c>
      <c r="T300">
        <v>37.062</v>
      </c>
      <c r="U300" s="7">
        <f t="shared" si="49"/>
        <v>0.595955480006476</v>
      </c>
      <c r="V300">
        <f t="shared" si="50"/>
        <v>3.10542456387311</v>
      </c>
      <c r="Y300">
        <v>0.02280204</v>
      </c>
      <c r="Z300" s="8">
        <v>0.581192788013704</v>
      </c>
      <c r="AA300">
        <f t="shared" si="51"/>
        <v>3.1843044593032</v>
      </c>
      <c r="AD300" s="9">
        <v>1.370478</v>
      </c>
      <c r="AE300">
        <f t="shared" si="52"/>
        <v>1.35040094520809</v>
      </c>
      <c r="AH300">
        <v>13.0927</v>
      </c>
      <c r="AI300" s="10">
        <f t="shared" si="53"/>
        <v>1.68699366822733</v>
      </c>
      <c r="AJ300">
        <f t="shared" si="54"/>
        <v>1.09703718599702</v>
      </c>
    </row>
    <row r="301" spans="1:36">
      <c r="A301" s="1" t="s">
        <v>321</v>
      </c>
      <c r="B301" s="1">
        <v>22107352</v>
      </c>
      <c r="C301" s="2">
        <v>0</v>
      </c>
      <c r="E301">
        <v>28.948131</v>
      </c>
      <c r="F301">
        <v>763.688397</v>
      </c>
      <c r="G301" s="3">
        <f t="shared" si="44"/>
        <v>0.763688397</v>
      </c>
      <c r="I301" t="s">
        <v>321</v>
      </c>
      <c r="J301">
        <v>26.7325</v>
      </c>
      <c r="K301" s="5">
        <f t="shared" si="45"/>
        <v>0.826984083044983</v>
      </c>
      <c r="L301">
        <f t="shared" si="46"/>
        <v>1.08288156045532</v>
      </c>
      <c r="O301">
        <v>0.0280624</v>
      </c>
      <c r="P301" s="6">
        <f t="shared" si="47"/>
        <v>0.787792633559496</v>
      </c>
      <c r="Q301" s="4">
        <f t="shared" si="48"/>
        <v>1.04974843355466</v>
      </c>
      <c r="T301">
        <v>53.993</v>
      </c>
      <c r="U301" s="7">
        <f t="shared" si="49"/>
        <v>0.409448484062749</v>
      </c>
      <c r="V301">
        <f t="shared" si="50"/>
        <v>2.0197512391284</v>
      </c>
      <c r="Y301">
        <v>0.012115242</v>
      </c>
      <c r="Z301" s="8">
        <v>1.09485317750978</v>
      </c>
      <c r="AA301">
        <f t="shared" si="51"/>
        <v>0.755337884597403</v>
      </c>
      <c r="AD301" s="9">
        <v>0.543285</v>
      </c>
      <c r="AE301">
        <f t="shared" si="52"/>
        <v>1.52219200427949</v>
      </c>
      <c r="AH301">
        <v>30.2677</v>
      </c>
      <c r="AI301" s="10">
        <f t="shared" si="53"/>
        <v>0.730394182577467</v>
      </c>
      <c r="AJ301">
        <f t="shared" si="54"/>
        <v>1.13224352380062</v>
      </c>
    </row>
    <row r="302" spans="1:36">
      <c r="A302" s="1" t="s">
        <v>322</v>
      </c>
      <c r="B302" s="1">
        <v>22181292</v>
      </c>
      <c r="C302" s="2">
        <v>0.000241721</v>
      </c>
      <c r="E302">
        <v>12.296191</v>
      </c>
      <c r="F302">
        <v>1803.915752</v>
      </c>
      <c r="G302" s="3">
        <f t="shared" si="44"/>
        <v>1.803915752</v>
      </c>
      <c r="I302" t="s">
        <v>322</v>
      </c>
      <c r="J302">
        <v>7.99236</v>
      </c>
      <c r="K302" s="5">
        <f t="shared" si="45"/>
        <v>2.77531192288636</v>
      </c>
      <c r="L302">
        <f t="shared" si="46"/>
        <v>1.5384930919359</v>
      </c>
      <c r="O302">
        <v>0.009352</v>
      </c>
      <c r="P302" s="6">
        <f t="shared" si="47"/>
        <v>2.37182335329341</v>
      </c>
      <c r="Q302" s="4">
        <f t="shared" si="48"/>
        <v>1.17011746217638</v>
      </c>
      <c r="T302">
        <v>54.404</v>
      </c>
      <c r="U302" s="7">
        <f t="shared" si="49"/>
        <v>0.407714359238291</v>
      </c>
      <c r="V302">
        <f t="shared" si="50"/>
        <v>6.8070006856548</v>
      </c>
      <c r="Y302">
        <v>0.006198444</v>
      </c>
      <c r="Z302" s="8">
        <v>2.14711550189047</v>
      </c>
      <c r="AA302">
        <f t="shared" si="51"/>
        <v>1.29257691094996</v>
      </c>
      <c r="AD302" s="9">
        <v>1.379901</v>
      </c>
      <c r="AE302">
        <f t="shared" si="52"/>
        <v>2.01123988089461</v>
      </c>
      <c r="AH302">
        <v>23.1329</v>
      </c>
      <c r="AI302" s="10">
        <f t="shared" si="53"/>
        <v>0.95886343692317</v>
      </c>
      <c r="AJ302">
        <f t="shared" si="54"/>
        <v>2.89437662968135</v>
      </c>
    </row>
    <row r="303" spans="1:36">
      <c r="A303" s="1" t="s">
        <v>323</v>
      </c>
      <c r="B303" s="1">
        <v>22273056</v>
      </c>
      <c r="C303" s="2">
        <v>0.000150504</v>
      </c>
      <c r="E303">
        <v>19.156394</v>
      </c>
      <c r="F303">
        <v>1162.695656</v>
      </c>
      <c r="G303" s="3">
        <f t="shared" si="44"/>
        <v>1.162695656</v>
      </c>
      <c r="I303" t="s">
        <v>323</v>
      </c>
      <c r="J303">
        <v>19.4673</v>
      </c>
      <c r="K303" s="5">
        <f t="shared" si="45"/>
        <v>1.14412661231912</v>
      </c>
      <c r="L303">
        <f t="shared" si="46"/>
        <v>0.984029317057257</v>
      </c>
      <c r="O303">
        <v>0.0360992</v>
      </c>
      <c r="P303" s="6">
        <f t="shared" si="47"/>
        <v>0.616995833702686</v>
      </c>
      <c r="Q303" s="4">
        <f t="shared" si="48"/>
        <v>1.85435062900351</v>
      </c>
      <c r="T303">
        <v>41.125</v>
      </c>
      <c r="U303" s="7">
        <f t="shared" si="49"/>
        <v>0.541594066869301</v>
      </c>
      <c r="V303">
        <f t="shared" si="50"/>
        <v>2.11251688729305</v>
      </c>
      <c r="Y303">
        <v>0.0112023</v>
      </c>
      <c r="Z303" s="8">
        <v>1.19295444685466</v>
      </c>
      <c r="AA303">
        <f t="shared" si="51"/>
        <v>0.959069824783101</v>
      </c>
      <c r="AD303" s="9">
        <v>0.644016</v>
      </c>
      <c r="AE303">
        <f t="shared" si="52"/>
        <v>1.77654998062023</v>
      </c>
      <c r="AH303">
        <v>24.8458</v>
      </c>
      <c r="AI303" s="10">
        <f t="shared" si="53"/>
        <v>0.896451553180014</v>
      </c>
      <c r="AJ303">
        <f t="shared" si="54"/>
        <v>1.27628381953327</v>
      </c>
    </row>
    <row r="304" spans="1:36">
      <c r="A304" s="1" t="s">
        <v>324</v>
      </c>
      <c r="B304" s="1">
        <v>22582544</v>
      </c>
      <c r="C304" s="2">
        <v>0.841463</v>
      </c>
      <c r="E304">
        <v>2.140264</v>
      </c>
      <c r="F304">
        <v>10551.29036</v>
      </c>
      <c r="G304" s="3">
        <f t="shared" si="44"/>
        <v>10.55129036</v>
      </c>
      <c r="I304" t="s">
        <v>324</v>
      </c>
      <c r="J304">
        <v>0.838903</v>
      </c>
      <c r="K304" s="5">
        <f t="shared" si="45"/>
        <v>26.9191360622146</v>
      </c>
      <c r="L304">
        <f t="shared" si="46"/>
        <v>2.5512648352722</v>
      </c>
      <c r="O304">
        <v>0.0018832</v>
      </c>
      <c r="P304" s="6">
        <f t="shared" si="47"/>
        <v>11.99158028887</v>
      </c>
      <c r="Q304" s="4">
        <f t="shared" si="48"/>
        <v>2.24483641136103</v>
      </c>
      <c r="T304">
        <v>13.414</v>
      </c>
      <c r="U304" s="7">
        <f t="shared" si="49"/>
        <v>1.6835055911734</v>
      </c>
      <c r="V304">
        <f t="shared" si="50"/>
        <v>15.9899297058182</v>
      </c>
      <c r="Y304">
        <v>0.004522554</v>
      </c>
      <c r="Z304" s="8">
        <v>2.99598996496228</v>
      </c>
      <c r="AA304">
        <f t="shared" si="51"/>
        <v>8.98505548317265</v>
      </c>
      <c r="AD304" s="9">
        <v>3.57714</v>
      </c>
      <c r="AE304">
        <f t="shared" si="52"/>
        <v>7.52532359991909</v>
      </c>
      <c r="AH304">
        <v>1.5948</v>
      </c>
      <c r="AI304" s="10">
        <f t="shared" si="53"/>
        <v>14.1601103586657</v>
      </c>
      <c r="AJ304">
        <f t="shared" si="54"/>
        <v>1.90105411471887</v>
      </c>
    </row>
    <row r="305" spans="1:36">
      <c r="A305" s="1" t="s">
        <v>325</v>
      </c>
      <c r="B305" s="1">
        <v>22590686</v>
      </c>
      <c r="C305" s="2">
        <v>0.187118</v>
      </c>
      <c r="E305">
        <v>6.354001</v>
      </c>
      <c r="F305">
        <v>3555.348053</v>
      </c>
      <c r="G305" s="3">
        <f t="shared" si="44"/>
        <v>3.555348053</v>
      </c>
      <c r="I305" t="s">
        <v>325</v>
      </c>
      <c r="J305">
        <v>6.65955</v>
      </c>
      <c r="K305" s="5">
        <f t="shared" si="45"/>
        <v>3.39222409922592</v>
      </c>
      <c r="L305">
        <f t="shared" si="46"/>
        <v>0.954118710364676</v>
      </c>
      <c r="O305">
        <v>0.003648</v>
      </c>
      <c r="P305" s="6">
        <f t="shared" si="47"/>
        <v>6.19262225877193</v>
      </c>
      <c r="Q305" s="4">
        <f t="shared" si="48"/>
        <v>0.547784760231547</v>
      </c>
      <c r="T305">
        <v>43.415</v>
      </c>
      <c r="U305" s="7">
        <f t="shared" si="49"/>
        <v>0.520342876885869</v>
      </c>
      <c r="V305">
        <f t="shared" si="50"/>
        <v>6.51920925588065</v>
      </c>
      <c r="Y305">
        <v>0.006796512</v>
      </c>
      <c r="Z305" s="8">
        <v>1.99431879175671</v>
      </c>
      <c r="AA305">
        <f t="shared" si="51"/>
        <v>1.70094375746109</v>
      </c>
      <c r="AD305" s="9">
        <v>2.554662</v>
      </c>
      <c r="AE305">
        <f t="shared" si="52"/>
        <v>1.3278563266788</v>
      </c>
      <c r="AH305">
        <v>4.3001</v>
      </c>
      <c r="AI305" s="10">
        <f t="shared" si="53"/>
        <v>5.25352573195972</v>
      </c>
      <c r="AJ305">
        <f t="shared" si="54"/>
        <v>0.645704289328858</v>
      </c>
    </row>
    <row r="306" spans="1:36">
      <c r="A306" s="1" t="s">
        <v>326</v>
      </c>
      <c r="B306" s="1">
        <v>22767128</v>
      </c>
      <c r="C306" s="2">
        <v>0</v>
      </c>
      <c r="E306">
        <v>13.194878</v>
      </c>
      <c r="F306">
        <v>1725.451906</v>
      </c>
      <c r="G306" s="3">
        <f t="shared" si="44"/>
        <v>1.725451906</v>
      </c>
      <c r="I306" t="s">
        <v>326</v>
      </c>
      <c r="J306">
        <v>8.21637</v>
      </c>
      <c r="K306" s="5">
        <f t="shared" si="45"/>
        <v>2.77094726746726</v>
      </c>
      <c r="L306">
        <f t="shared" si="46"/>
        <v>1.60592553048376</v>
      </c>
      <c r="O306">
        <v>0.009952</v>
      </c>
      <c r="P306" s="6">
        <f t="shared" si="47"/>
        <v>2.28769372990354</v>
      </c>
      <c r="Q306" s="4">
        <f t="shared" si="48"/>
        <v>1.21124048697904</v>
      </c>
      <c r="T306">
        <v>33.542</v>
      </c>
      <c r="U306" s="7">
        <f t="shared" si="49"/>
        <v>0.678764772524</v>
      </c>
      <c r="V306">
        <f t="shared" si="50"/>
        <v>4.08233806413294</v>
      </c>
      <c r="Y306">
        <v>0.008514216</v>
      </c>
      <c r="Z306" s="8">
        <v>1.6044080629385</v>
      </c>
      <c r="AA306">
        <f t="shared" si="51"/>
        <v>1.72708385820016</v>
      </c>
      <c r="AD306" s="9">
        <v>1.221258</v>
      </c>
      <c r="AE306">
        <f t="shared" si="52"/>
        <v>2.26892865182235</v>
      </c>
      <c r="AH306">
        <v>10.8905</v>
      </c>
      <c r="AI306" s="10">
        <f t="shared" si="53"/>
        <v>2.09054937789817</v>
      </c>
      <c r="AJ306">
        <f t="shared" si="54"/>
        <v>1.32546367799892</v>
      </c>
    </row>
    <row r="307" spans="1:36">
      <c r="A307" s="1" t="s">
        <v>327</v>
      </c>
      <c r="B307" s="1">
        <v>22767128</v>
      </c>
      <c r="C307" s="2">
        <v>0</v>
      </c>
      <c r="E307">
        <v>10.705216</v>
      </c>
      <c r="F307">
        <v>2126.732324</v>
      </c>
      <c r="G307" s="3">
        <f t="shared" si="44"/>
        <v>2.126732324</v>
      </c>
      <c r="I307" t="s">
        <v>327</v>
      </c>
      <c r="J307">
        <v>8.70019</v>
      </c>
      <c r="K307" s="5">
        <f t="shared" si="45"/>
        <v>2.61685411468025</v>
      </c>
      <c r="L307">
        <f t="shared" si="46"/>
        <v>1.23045767685443</v>
      </c>
      <c r="O307">
        <v>0.0095616</v>
      </c>
      <c r="P307" s="6">
        <f t="shared" si="47"/>
        <v>2.38110023427041</v>
      </c>
      <c r="Q307" s="4">
        <f t="shared" si="48"/>
        <v>1.09901048138029</v>
      </c>
      <c r="T307">
        <v>33.528</v>
      </c>
      <c r="U307" s="7">
        <f t="shared" si="49"/>
        <v>0.679048198520639</v>
      </c>
      <c r="V307">
        <f t="shared" si="50"/>
        <v>3.85370894198862</v>
      </c>
      <c r="Y307">
        <v>0.01931094</v>
      </c>
      <c r="Z307" s="8">
        <v>0.707385388800338</v>
      </c>
      <c r="AA307">
        <f t="shared" si="51"/>
        <v>3.69933300307235</v>
      </c>
      <c r="AD307" s="9">
        <v>1.236867</v>
      </c>
      <c r="AE307">
        <f t="shared" si="52"/>
        <v>2.11571180626555</v>
      </c>
      <c r="AH307">
        <v>11.0468</v>
      </c>
      <c r="AI307" s="10">
        <f t="shared" si="53"/>
        <v>2.06097041677228</v>
      </c>
      <c r="AJ307">
        <f t="shared" si="54"/>
        <v>1.26971939693271</v>
      </c>
    </row>
    <row r="308" spans="1:36">
      <c r="A308" s="1" t="s">
        <v>328</v>
      </c>
      <c r="B308" s="1">
        <v>23537356</v>
      </c>
      <c r="C308" s="2">
        <v>0</v>
      </c>
      <c r="E308">
        <v>6.328479</v>
      </c>
      <c r="F308">
        <v>3719.275131</v>
      </c>
      <c r="G308" s="3">
        <f t="shared" si="44"/>
        <v>3.719275131</v>
      </c>
      <c r="I308" t="s">
        <v>328</v>
      </c>
      <c r="J308">
        <v>5.26277</v>
      </c>
      <c r="K308" s="5">
        <f t="shared" si="45"/>
        <v>4.47242725788891</v>
      </c>
      <c r="L308">
        <f t="shared" si="46"/>
        <v>1.20249970770149</v>
      </c>
      <c r="O308">
        <v>0.0074864</v>
      </c>
      <c r="P308" s="6">
        <f t="shared" si="47"/>
        <v>3.14401528104296</v>
      </c>
      <c r="Q308" s="4">
        <f t="shared" si="48"/>
        <v>1.42252083978589</v>
      </c>
      <c r="T308">
        <v>33.627</v>
      </c>
      <c r="U308" s="7">
        <f t="shared" si="49"/>
        <v>0.699954084515419</v>
      </c>
      <c r="V308">
        <f t="shared" si="50"/>
        <v>6.38960091358733</v>
      </c>
      <c r="Y308">
        <v>0.02145654</v>
      </c>
      <c r="Z308" s="8">
        <v>0.658186902454916</v>
      </c>
      <c r="AA308">
        <f t="shared" si="51"/>
        <v>6.79507179679142</v>
      </c>
      <c r="AD308" s="9">
        <v>1.347399</v>
      </c>
      <c r="AE308">
        <f t="shared" si="52"/>
        <v>3.31930427281667</v>
      </c>
      <c r="AH308">
        <v>14.4064</v>
      </c>
      <c r="AI308" s="10">
        <f t="shared" si="53"/>
        <v>1.63381247223456</v>
      </c>
      <c r="AJ308">
        <f t="shared" si="54"/>
        <v>2.737417747688</v>
      </c>
    </row>
    <row r="309" spans="1:36">
      <c r="A309" s="1" t="s">
        <v>329</v>
      </c>
      <c r="B309" s="1">
        <v>23587180</v>
      </c>
      <c r="C309" s="2">
        <v>0.00432172</v>
      </c>
      <c r="E309">
        <v>11.683066</v>
      </c>
      <c r="F309">
        <v>2018.920395</v>
      </c>
      <c r="G309" s="3">
        <f t="shared" si="44"/>
        <v>2.018920395</v>
      </c>
      <c r="I309" t="s">
        <v>329</v>
      </c>
      <c r="J309">
        <v>13.7945</v>
      </c>
      <c r="K309" s="5">
        <f t="shared" si="45"/>
        <v>1.70989742288593</v>
      </c>
      <c r="L309">
        <f t="shared" si="46"/>
        <v>0.846936524649816</v>
      </c>
      <c r="O309">
        <v>0.0100048</v>
      </c>
      <c r="P309" s="6">
        <f t="shared" si="47"/>
        <v>2.3575863585479</v>
      </c>
      <c r="Q309" s="4">
        <f t="shared" si="48"/>
        <v>0.725274565950197</v>
      </c>
      <c r="T309">
        <v>165.863</v>
      </c>
      <c r="U309" s="7">
        <f t="shared" si="49"/>
        <v>0.142208810886093</v>
      </c>
      <c r="V309">
        <f t="shared" si="50"/>
        <v>12.0238500851789</v>
      </c>
      <c r="Y309">
        <v>0.00494406</v>
      </c>
      <c r="Z309" s="8">
        <v>2.86248710573901</v>
      </c>
      <c r="AA309">
        <f t="shared" si="51"/>
        <v>0.597346768639675</v>
      </c>
      <c r="AD309" s="9">
        <v>1.37919</v>
      </c>
      <c r="AE309">
        <f t="shared" si="52"/>
        <v>1.23978380272909</v>
      </c>
      <c r="AH309">
        <v>21.9198</v>
      </c>
      <c r="AI309" s="10">
        <f t="shared" si="53"/>
        <v>1.07606729988412</v>
      </c>
      <c r="AJ309">
        <f t="shared" si="54"/>
        <v>1.58902461125811</v>
      </c>
    </row>
    <row r="310" spans="1:36">
      <c r="A310" s="1" t="s">
        <v>330</v>
      </c>
      <c r="B310" s="1">
        <v>24286732</v>
      </c>
      <c r="C310" s="2">
        <v>0.656977</v>
      </c>
      <c r="E310">
        <v>2.349665</v>
      </c>
      <c r="F310">
        <v>10336.25379</v>
      </c>
      <c r="G310" s="3">
        <f t="shared" si="44"/>
        <v>10.33625379</v>
      </c>
      <c r="I310" t="s">
        <v>330</v>
      </c>
      <c r="J310">
        <v>1.47688</v>
      </c>
      <c r="K310" s="5">
        <f t="shared" si="45"/>
        <v>16.4446210931152</v>
      </c>
      <c r="L310">
        <f t="shared" si="46"/>
        <v>1.59096529818423</v>
      </c>
      <c r="O310">
        <v>0.0022816</v>
      </c>
      <c r="P310" s="6">
        <f t="shared" si="47"/>
        <v>10.644605539972</v>
      </c>
      <c r="Q310" s="4">
        <f t="shared" si="48"/>
        <v>1.54487839228644</v>
      </c>
      <c r="T310">
        <v>25.352</v>
      </c>
      <c r="U310" s="7">
        <f t="shared" si="49"/>
        <v>0.957980908804039</v>
      </c>
      <c r="V310">
        <f t="shared" si="50"/>
        <v>17.1659173392557</v>
      </c>
      <c r="Y310">
        <v>0.0088965</v>
      </c>
      <c r="Z310" s="8">
        <v>1.63795191367392</v>
      </c>
      <c r="AA310">
        <f t="shared" si="51"/>
        <v>10.0397459509235</v>
      </c>
      <c r="AD310" s="9">
        <v>2.992152</v>
      </c>
      <c r="AE310">
        <f t="shared" si="52"/>
        <v>5.49591768503579</v>
      </c>
      <c r="AH310">
        <v>2.7519</v>
      </c>
      <c r="AI310" s="10">
        <f t="shared" si="53"/>
        <v>8.82544133144373</v>
      </c>
      <c r="AJ310">
        <f t="shared" si="54"/>
        <v>1.86331997183251</v>
      </c>
    </row>
    <row r="311" spans="1:36">
      <c r="A311" s="1" t="s">
        <v>331</v>
      </c>
      <c r="B311" s="1">
        <v>24425600</v>
      </c>
      <c r="C311" s="2">
        <v>0</v>
      </c>
      <c r="E311">
        <v>19.718761</v>
      </c>
      <c r="F311">
        <v>1238.69852</v>
      </c>
      <c r="G311" s="3">
        <f t="shared" si="44"/>
        <v>1.23869852</v>
      </c>
      <c r="I311" t="s">
        <v>331</v>
      </c>
      <c r="J311">
        <v>13.1891</v>
      </c>
      <c r="K311" s="5">
        <f t="shared" si="45"/>
        <v>1.85195350706265</v>
      </c>
      <c r="L311">
        <f t="shared" si="46"/>
        <v>1.49508009992831</v>
      </c>
      <c r="O311">
        <v>0.016832</v>
      </c>
      <c r="P311" s="6">
        <f t="shared" si="47"/>
        <v>1.45114068441065</v>
      </c>
      <c r="Q311" s="4">
        <f t="shared" si="48"/>
        <v>1.27620535138865</v>
      </c>
      <c r="T311">
        <v>17.959</v>
      </c>
      <c r="U311" s="7">
        <f t="shared" si="49"/>
        <v>1.36007572804722</v>
      </c>
      <c r="V311">
        <f t="shared" si="50"/>
        <v>1.36165469971416</v>
      </c>
      <c r="Y311">
        <v>0.012257604</v>
      </c>
      <c r="Z311" s="8">
        <v>1.19561375942639</v>
      </c>
      <c r="AA311">
        <f t="shared" si="51"/>
        <v>1.54895633515555</v>
      </c>
      <c r="AD311" s="9">
        <v>1.444257</v>
      </c>
      <c r="AE311">
        <f t="shared" si="52"/>
        <v>1.28228806027089</v>
      </c>
      <c r="AH311">
        <v>29.3069</v>
      </c>
      <c r="AI311" s="10">
        <f t="shared" si="53"/>
        <v>0.833441953942587</v>
      </c>
      <c r="AJ311">
        <f t="shared" si="54"/>
        <v>2.22205457536905</v>
      </c>
    </row>
    <row r="312" spans="1:36">
      <c r="A312" s="1" t="s">
        <v>332</v>
      </c>
      <c r="B312" s="1">
        <v>24510104</v>
      </c>
      <c r="C312" s="2">
        <v>0.137219</v>
      </c>
      <c r="E312">
        <v>6.319997</v>
      </c>
      <c r="F312">
        <v>3878.183029</v>
      </c>
      <c r="G312" s="3">
        <f t="shared" si="44"/>
        <v>3.878183029</v>
      </c>
      <c r="I312" t="s">
        <v>332</v>
      </c>
      <c r="J312">
        <v>6.40444</v>
      </c>
      <c r="K312" s="5">
        <f t="shared" si="45"/>
        <v>3.82704873494014</v>
      </c>
      <c r="L312">
        <f t="shared" si="46"/>
        <v>0.986814883754197</v>
      </c>
      <c r="O312">
        <v>0.0126368</v>
      </c>
      <c r="P312" s="6">
        <f t="shared" si="47"/>
        <v>1.93958153963029</v>
      </c>
      <c r="Q312" s="4">
        <f t="shared" si="48"/>
        <v>1.97313114027144</v>
      </c>
      <c r="T312">
        <v>31.542</v>
      </c>
      <c r="U312" s="7">
        <f t="shared" si="49"/>
        <v>0.77706245640733</v>
      </c>
      <c r="V312">
        <f t="shared" si="50"/>
        <v>4.925020766843</v>
      </c>
      <c r="Y312">
        <v>0.01932534</v>
      </c>
      <c r="Z312" s="8">
        <v>0.76097302298433</v>
      </c>
      <c r="AA312">
        <f t="shared" si="51"/>
        <v>5.02915165104209</v>
      </c>
      <c r="AD312" s="9">
        <v>1.435368</v>
      </c>
      <c r="AE312">
        <f t="shared" si="52"/>
        <v>2.66624916741918</v>
      </c>
      <c r="AH312">
        <v>12.4623</v>
      </c>
      <c r="AI312" s="10">
        <f t="shared" si="53"/>
        <v>1.96674000786372</v>
      </c>
      <c r="AJ312">
        <f t="shared" si="54"/>
        <v>1.94588441768523</v>
      </c>
    </row>
    <row r="313" spans="1:36">
      <c r="A313" s="1" t="s">
        <v>333</v>
      </c>
      <c r="B313" s="1">
        <v>24858492</v>
      </c>
      <c r="C313" s="2">
        <v>0</v>
      </c>
      <c r="E313">
        <v>12.522576</v>
      </c>
      <c r="F313">
        <v>1985.094154</v>
      </c>
      <c r="G313" s="3">
        <f t="shared" si="44"/>
        <v>1.985094154</v>
      </c>
      <c r="I313" t="s">
        <v>333</v>
      </c>
      <c r="J313">
        <v>10.321</v>
      </c>
      <c r="K313" s="5">
        <f t="shared" si="45"/>
        <v>2.40853521945548</v>
      </c>
      <c r="L313">
        <f t="shared" si="46"/>
        <v>1.21331031810367</v>
      </c>
      <c r="O313">
        <v>0.0156736</v>
      </c>
      <c r="P313" s="6">
        <f t="shared" si="47"/>
        <v>1.58601036137199</v>
      </c>
      <c r="Q313" s="4">
        <f t="shared" si="48"/>
        <v>1.51861253754481</v>
      </c>
      <c r="T313">
        <v>43.546</v>
      </c>
      <c r="U313" s="7">
        <f t="shared" si="49"/>
        <v>0.570855922472787</v>
      </c>
      <c r="V313">
        <f t="shared" si="50"/>
        <v>4.21916480961147</v>
      </c>
      <c r="Y313">
        <v>0.00978147</v>
      </c>
      <c r="Z313" s="8">
        <v>1.52483166640597</v>
      </c>
      <c r="AA313">
        <f t="shared" si="51"/>
        <v>1.57954171107451</v>
      </c>
      <c r="AD313" s="9">
        <v>1.119981</v>
      </c>
      <c r="AE313">
        <f t="shared" si="52"/>
        <v>2.1505143564538</v>
      </c>
      <c r="AH313">
        <v>15.694</v>
      </c>
      <c r="AI313" s="10">
        <f t="shared" si="53"/>
        <v>1.58394877023066</v>
      </c>
      <c r="AJ313">
        <f t="shared" si="54"/>
        <v>1.52058909020444</v>
      </c>
    </row>
    <row r="314" spans="1:36">
      <c r="A314" s="1" t="s">
        <v>334</v>
      </c>
      <c r="B314" s="1">
        <v>25168372</v>
      </c>
      <c r="C314" s="2">
        <v>2.73299e-5</v>
      </c>
      <c r="E314">
        <v>16.7924</v>
      </c>
      <c r="F314">
        <v>1498.795416</v>
      </c>
      <c r="G314" s="3">
        <f t="shared" si="44"/>
        <v>1.498795416</v>
      </c>
      <c r="I314" t="s">
        <v>334</v>
      </c>
      <c r="J314">
        <v>25.3624</v>
      </c>
      <c r="K314" s="5">
        <f t="shared" si="45"/>
        <v>0.992349777623569</v>
      </c>
      <c r="L314">
        <f t="shared" si="46"/>
        <v>0.662098220364165</v>
      </c>
      <c r="O314">
        <v>0.0207504</v>
      </c>
      <c r="P314" s="6">
        <f t="shared" si="47"/>
        <v>1.21291020895983</v>
      </c>
      <c r="Q314" s="4">
        <f t="shared" si="48"/>
        <v>0.818156010472195</v>
      </c>
      <c r="T314">
        <v>54.063</v>
      </c>
      <c r="U314" s="7">
        <f t="shared" si="49"/>
        <v>0.465537835488227</v>
      </c>
      <c r="V314">
        <f t="shared" si="50"/>
        <v>2.13162003595874</v>
      </c>
      <c r="Y314">
        <v>0.013068864</v>
      </c>
      <c r="Z314" s="8">
        <v>1.15549623899981</v>
      </c>
      <c r="AA314">
        <f t="shared" si="51"/>
        <v>0.858808314670535</v>
      </c>
      <c r="AD314" s="9">
        <v>0.747768</v>
      </c>
      <c r="AE314">
        <f t="shared" si="52"/>
        <v>1.32708243415547</v>
      </c>
      <c r="AH314">
        <v>21.7665</v>
      </c>
      <c r="AI314" s="10">
        <f t="shared" si="53"/>
        <v>1.15628934371626</v>
      </c>
      <c r="AJ314">
        <f t="shared" si="54"/>
        <v>0.858219253698388</v>
      </c>
    </row>
    <row r="315" spans="1:36">
      <c r="A315" s="1" t="s">
        <v>335</v>
      </c>
      <c r="B315" s="1">
        <v>25449704</v>
      </c>
      <c r="C315" s="2">
        <v>0.00679852</v>
      </c>
      <c r="E315">
        <v>6.309088</v>
      </c>
      <c r="F315">
        <v>4033.81647</v>
      </c>
      <c r="G315" s="3">
        <f t="shared" si="44"/>
        <v>4.03381647</v>
      </c>
      <c r="I315" t="s">
        <v>335</v>
      </c>
      <c r="J315">
        <v>5.27046</v>
      </c>
      <c r="K315" s="5">
        <f t="shared" si="45"/>
        <v>4.82874436007483</v>
      </c>
      <c r="L315">
        <f t="shared" si="46"/>
        <v>1.19706595379012</v>
      </c>
      <c r="O315">
        <v>0.0057952</v>
      </c>
      <c r="P315" s="6">
        <f t="shared" si="47"/>
        <v>4.391514356709</v>
      </c>
      <c r="Q315" s="4">
        <f t="shared" si="48"/>
        <v>1.09956246703324</v>
      </c>
      <c r="T315">
        <v>33.743</v>
      </c>
      <c r="U315" s="7">
        <f t="shared" si="49"/>
        <v>0.754221734878345</v>
      </c>
      <c r="V315">
        <f t="shared" si="50"/>
        <v>6.40228746636916</v>
      </c>
      <c r="Y315">
        <v>0.016569522</v>
      </c>
      <c r="Z315" s="8">
        <v>0.921560827162063</v>
      </c>
      <c r="AA315">
        <f t="shared" si="51"/>
        <v>5.23974567684794</v>
      </c>
      <c r="AD315" s="9">
        <v>1.830855</v>
      </c>
      <c r="AE315">
        <f t="shared" si="52"/>
        <v>2.637425880299</v>
      </c>
      <c r="AH315">
        <v>5.6053</v>
      </c>
      <c r="AI315" s="10">
        <f t="shared" si="53"/>
        <v>4.54029293704173</v>
      </c>
      <c r="AJ315">
        <f t="shared" si="54"/>
        <v>1.06353145645731</v>
      </c>
    </row>
    <row r="316" spans="1:36">
      <c r="A316" s="1" t="s">
        <v>336</v>
      </c>
      <c r="B316" s="1">
        <v>25713990</v>
      </c>
      <c r="C316" s="2">
        <v>0</v>
      </c>
      <c r="E316">
        <v>4.153139</v>
      </c>
      <c r="F316">
        <v>6191.458824</v>
      </c>
      <c r="G316" s="3">
        <f t="shared" si="44"/>
        <v>6.191458824</v>
      </c>
      <c r="I316" t="s">
        <v>336</v>
      </c>
      <c r="J316">
        <v>2.12873</v>
      </c>
      <c r="K316" s="5">
        <f t="shared" si="45"/>
        <v>12.0794981045036</v>
      </c>
      <c r="L316">
        <f t="shared" si="46"/>
        <v>1.95099385264096</v>
      </c>
      <c r="O316">
        <v>0.0035568</v>
      </c>
      <c r="P316" s="6">
        <f t="shared" si="47"/>
        <v>7.22952935222672</v>
      </c>
      <c r="Q316" s="4">
        <f t="shared" si="48"/>
        <v>1.67085539265196</v>
      </c>
      <c r="T316">
        <v>22.37</v>
      </c>
      <c r="U316" s="7">
        <f t="shared" si="49"/>
        <v>1.14948547161377</v>
      </c>
      <c r="V316">
        <f t="shared" si="50"/>
        <v>10.508613116741</v>
      </c>
      <c r="Y316">
        <v>0.00745542</v>
      </c>
      <c r="Z316" s="8">
        <v>2.06941983147831</v>
      </c>
      <c r="AA316">
        <f t="shared" si="51"/>
        <v>5.83714233369191</v>
      </c>
      <c r="AD316" s="9">
        <v>2.791272</v>
      </c>
      <c r="AE316">
        <f t="shared" si="52"/>
        <v>4.3275962014822</v>
      </c>
      <c r="AH316">
        <v>3.4946</v>
      </c>
      <c r="AI316" s="10">
        <f t="shared" si="53"/>
        <v>7.35820694786242</v>
      </c>
      <c r="AJ316">
        <f t="shared" si="54"/>
        <v>1.64163609288167</v>
      </c>
    </row>
    <row r="317" spans="1:36">
      <c r="A317" s="1" t="s">
        <v>338</v>
      </c>
      <c r="B317" s="1">
        <v>25898814</v>
      </c>
      <c r="C317" s="2">
        <v>0.0544782</v>
      </c>
      <c r="E317">
        <v>4.28559</v>
      </c>
      <c r="F317">
        <v>6043.232246</v>
      </c>
      <c r="G317" s="3">
        <f t="shared" si="44"/>
        <v>6.043232246</v>
      </c>
      <c r="I317" t="s">
        <v>338</v>
      </c>
      <c r="J317">
        <v>4.33059</v>
      </c>
      <c r="K317" s="5">
        <f t="shared" si="45"/>
        <v>5.98043546029525</v>
      </c>
      <c r="L317">
        <f t="shared" si="46"/>
        <v>0.989608741953229</v>
      </c>
      <c r="O317">
        <v>0.0044096</v>
      </c>
      <c r="P317" s="6">
        <f t="shared" si="47"/>
        <v>5.87327966255443</v>
      </c>
      <c r="Q317" s="4">
        <f t="shared" si="48"/>
        <v>1.01824462717551</v>
      </c>
      <c r="T317">
        <v>44.759</v>
      </c>
      <c r="U317" s="7">
        <f t="shared" si="49"/>
        <v>0.578628074800599</v>
      </c>
      <c r="V317">
        <f t="shared" si="50"/>
        <v>10.3355431938835</v>
      </c>
      <c r="Y317">
        <v>0.01898658</v>
      </c>
      <c r="Z317" s="8">
        <v>0.818435358026564</v>
      </c>
      <c r="AA317">
        <f t="shared" si="51"/>
        <v>7.30715676154981</v>
      </c>
      <c r="AD317" s="9">
        <v>2.072643</v>
      </c>
      <c r="AE317">
        <f t="shared" si="52"/>
        <v>2.88541512469598</v>
      </c>
      <c r="AH317">
        <v>7.9703</v>
      </c>
      <c r="AI317" s="10">
        <f t="shared" si="53"/>
        <v>3.24941520394464</v>
      </c>
      <c r="AJ317">
        <f t="shared" si="54"/>
        <v>1.840465156018</v>
      </c>
    </row>
    <row r="318" spans="1:36">
      <c r="A318" s="1" t="s">
        <v>337</v>
      </c>
      <c r="B318" s="1">
        <v>25898814</v>
      </c>
      <c r="C318" s="2">
        <v>0.0544782</v>
      </c>
      <c r="E318">
        <v>4.27226</v>
      </c>
      <c r="F318">
        <v>6062.087242</v>
      </c>
      <c r="G318" s="3">
        <f t="shared" si="44"/>
        <v>6.062087242</v>
      </c>
      <c r="I318" t="s">
        <v>337</v>
      </c>
      <c r="J318">
        <v>4.40769</v>
      </c>
      <c r="K318" s="5">
        <f t="shared" si="45"/>
        <v>5.87582475174071</v>
      </c>
      <c r="L318">
        <f t="shared" si="46"/>
        <v>0.969274198337363</v>
      </c>
      <c r="O318">
        <v>0.004448</v>
      </c>
      <c r="P318" s="6">
        <f t="shared" si="47"/>
        <v>5.82257508992806</v>
      </c>
      <c r="Q318" s="4">
        <f t="shared" si="48"/>
        <v>1.00914538000631</v>
      </c>
      <c r="T318">
        <v>44.795</v>
      </c>
      <c r="U318" s="7">
        <f t="shared" si="49"/>
        <v>0.578163053912267</v>
      </c>
      <c r="V318">
        <f t="shared" si="50"/>
        <v>10.1629198060662</v>
      </c>
      <c r="Y318">
        <v>0.01905516</v>
      </c>
      <c r="Z318" s="8">
        <v>0.815489788592696</v>
      </c>
      <c r="AA318">
        <f t="shared" si="51"/>
        <v>7.20527078809989</v>
      </c>
      <c r="AD318" s="9">
        <v>2.02776</v>
      </c>
      <c r="AE318">
        <f t="shared" si="52"/>
        <v>2.897692405285</v>
      </c>
      <c r="AH318">
        <v>8.1722</v>
      </c>
      <c r="AI318" s="10">
        <f t="shared" si="53"/>
        <v>3.16913609554343</v>
      </c>
      <c r="AJ318">
        <f t="shared" si="54"/>
        <v>1.85407775955206</v>
      </c>
    </row>
    <row r="319" spans="1:36">
      <c r="A319" s="1" t="s">
        <v>339</v>
      </c>
      <c r="B319" s="1">
        <v>26085590</v>
      </c>
      <c r="C319" s="2">
        <v>0.76746</v>
      </c>
      <c r="E319">
        <v>14.710525</v>
      </c>
      <c r="F319">
        <v>1773.260324</v>
      </c>
      <c r="G319" s="3">
        <f t="shared" si="44"/>
        <v>1.773260324</v>
      </c>
      <c r="I319" t="s">
        <v>339</v>
      </c>
      <c r="J319">
        <v>8.46357</v>
      </c>
      <c r="K319" s="5">
        <f t="shared" si="45"/>
        <v>3.08210246976158</v>
      </c>
      <c r="L319">
        <f t="shared" si="46"/>
        <v>1.73809926723516</v>
      </c>
      <c r="O319">
        <v>0.010688</v>
      </c>
      <c r="P319" s="6">
        <f t="shared" si="47"/>
        <v>2.44064277694611</v>
      </c>
      <c r="Q319" s="4">
        <f t="shared" si="48"/>
        <v>1.26282408014585</v>
      </c>
      <c r="T319">
        <v>208.698</v>
      </c>
      <c r="U319" s="7">
        <f t="shared" si="49"/>
        <v>0.124992045922817</v>
      </c>
      <c r="V319">
        <f t="shared" si="50"/>
        <v>24.6583888359168</v>
      </c>
      <c r="Y319">
        <v>0.0211743</v>
      </c>
      <c r="Z319" s="8">
        <v>0.739167481333503</v>
      </c>
      <c r="AA319">
        <f t="shared" si="51"/>
        <v>4.16969434883861</v>
      </c>
      <c r="AD319" s="9">
        <v>1.297452</v>
      </c>
      <c r="AE319">
        <f t="shared" si="52"/>
        <v>2.37550404158426</v>
      </c>
      <c r="AH319">
        <v>25.8523</v>
      </c>
      <c r="AI319" s="10">
        <f t="shared" si="53"/>
        <v>1.00902395531539</v>
      </c>
      <c r="AJ319">
        <f t="shared" si="54"/>
        <v>3.0545384512682</v>
      </c>
    </row>
    <row r="320" spans="1:36">
      <c r="A320" s="1" t="s">
        <v>341</v>
      </c>
      <c r="B320" s="1">
        <v>26124212</v>
      </c>
      <c r="C320" s="2">
        <v>0.903485</v>
      </c>
      <c r="E320">
        <v>2.125016</v>
      </c>
      <c r="F320">
        <v>12293.656716</v>
      </c>
      <c r="G320" s="3">
        <f t="shared" si="44"/>
        <v>12.293656716</v>
      </c>
      <c r="I320" t="s">
        <v>341</v>
      </c>
      <c r="J320">
        <v>1.47593</v>
      </c>
      <c r="K320" s="5">
        <f t="shared" si="45"/>
        <v>17.7001700622658</v>
      </c>
      <c r="L320">
        <f t="shared" si="46"/>
        <v>1.43978073173536</v>
      </c>
      <c r="O320">
        <v>0.0025088</v>
      </c>
      <c r="P320" s="6">
        <f t="shared" si="47"/>
        <v>10.4130309311224</v>
      </c>
      <c r="Q320" s="4">
        <f t="shared" si="48"/>
        <v>1.69980961156694</v>
      </c>
      <c r="T320">
        <v>8.355</v>
      </c>
      <c r="U320" s="7">
        <f t="shared" si="49"/>
        <v>3.12677582286056</v>
      </c>
      <c r="V320">
        <f t="shared" si="50"/>
        <v>5.66083757359766</v>
      </c>
      <c r="Y320">
        <v>0.004973094</v>
      </c>
      <c r="Z320" s="8">
        <v>3.15186626273302</v>
      </c>
      <c r="AA320">
        <f t="shared" si="51"/>
        <v>5.61577446084841</v>
      </c>
      <c r="AD320" s="9">
        <v>3.52206</v>
      </c>
      <c r="AE320">
        <f t="shared" si="52"/>
        <v>5.02551633483411</v>
      </c>
      <c r="AH320">
        <v>2.1091</v>
      </c>
      <c r="AI320" s="10">
        <f t="shared" si="53"/>
        <v>12.3864264378171</v>
      </c>
      <c r="AJ320">
        <f t="shared" si="54"/>
        <v>1.42899731017054</v>
      </c>
    </row>
    <row r="321" spans="1:36">
      <c r="A321" s="1" t="s">
        <v>340</v>
      </c>
      <c r="B321" s="1">
        <v>26124212</v>
      </c>
      <c r="C321" s="2">
        <v>0.905292</v>
      </c>
      <c r="E321">
        <v>2.150868</v>
      </c>
      <c r="F321">
        <v>12145.891305</v>
      </c>
      <c r="G321" s="3">
        <f t="shared" si="44"/>
        <v>12.145891305</v>
      </c>
      <c r="I321" t="s">
        <v>340</v>
      </c>
      <c r="J321">
        <v>1.36986</v>
      </c>
      <c r="K321" s="5">
        <f t="shared" si="45"/>
        <v>19.0707167155768</v>
      </c>
      <c r="L321">
        <f t="shared" si="46"/>
        <v>1.57013727825195</v>
      </c>
      <c r="O321">
        <v>0.0024448</v>
      </c>
      <c r="P321" s="6">
        <f t="shared" si="47"/>
        <v>10.6856233638743</v>
      </c>
      <c r="Q321" s="4">
        <f t="shared" si="48"/>
        <v>1.78470792635744</v>
      </c>
      <c r="T321">
        <v>8.403</v>
      </c>
      <c r="U321" s="7">
        <f t="shared" si="49"/>
        <v>3.10891491134119</v>
      </c>
      <c r="V321">
        <f t="shared" si="50"/>
        <v>6.13420349524769</v>
      </c>
      <c r="Y321">
        <v>0.00503469</v>
      </c>
      <c r="Z321" s="8">
        <v>3.11330532763686</v>
      </c>
      <c r="AA321">
        <f t="shared" si="51"/>
        <v>6.12555297621654</v>
      </c>
      <c r="AD321" s="9">
        <v>3.47832</v>
      </c>
      <c r="AE321">
        <f t="shared" si="52"/>
        <v>5.48273784918489</v>
      </c>
      <c r="AH321">
        <v>2.2147</v>
      </c>
      <c r="AI321" s="10">
        <f t="shared" si="53"/>
        <v>11.7958242651375</v>
      </c>
      <c r="AJ321">
        <f t="shared" si="54"/>
        <v>1.61673455681602</v>
      </c>
    </row>
    <row r="322" spans="1:36">
      <c r="A322" s="1" t="s">
        <v>342</v>
      </c>
      <c r="B322" s="1">
        <v>26132542</v>
      </c>
      <c r="C322" s="2">
        <v>0.679335</v>
      </c>
      <c r="E322">
        <v>6.849226</v>
      </c>
      <c r="F322">
        <v>3815.400627</v>
      </c>
      <c r="G322" s="3">
        <f t="shared" ref="G322:G385" si="55">F322/1000</f>
        <v>3.815400627</v>
      </c>
      <c r="I322" t="s">
        <v>342</v>
      </c>
      <c r="J322">
        <v>6.61631</v>
      </c>
      <c r="K322" s="5">
        <f t="shared" ref="K322:K385" si="56">B322/J322/1000000</f>
        <v>3.94971547584681</v>
      </c>
      <c r="L322">
        <f t="shared" ref="L322:L385" si="57">K322/G322</f>
        <v>1.03520334087496</v>
      </c>
      <c r="O322">
        <v>0.0043728</v>
      </c>
      <c r="P322" s="6">
        <f t="shared" ref="P322:P385" si="58">B322/O322/1000000000</f>
        <v>5.97615761068423</v>
      </c>
      <c r="Q322" s="4">
        <f t="shared" ref="Q322:Q385" si="59">K322/P322</f>
        <v>0.660912200305004</v>
      </c>
      <c r="T322">
        <v>46.395</v>
      </c>
      <c r="U322" s="7">
        <f t="shared" ref="U322:U385" si="60">B322/T322/1000000</f>
        <v>0.563262032546611</v>
      </c>
      <c r="V322">
        <f t="shared" ref="V322:V385" si="61">K322/U322</f>
        <v>7.01221677944353</v>
      </c>
      <c r="Y322">
        <v>0.007595982</v>
      </c>
      <c r="Z322" s="8">
        <v>2.06418672398118</v>
      </c>
      <c r="AA322">
        <f t="shared" ref="AA322:AA385" si="62">K322/Z322</f>
        <v>1.91344873501997</v>
      </c>
      <c r="AD322" s="9">
        <v>2.51091</v>
      </c>
      <c r="AE322">
        <f t="shared" ref="AE322:AE385" si="63">K322/AD322</f>
        <v>1.57302152440621</v>
      </c>
      <c r="AH322">
        <v>5.433</v>
      </c>
      <c r="AI322" s="10">
        <f t="shared" ref="AI322:AI385" si="64">B322/AH322/1000000</f>
        <v>4.8099653966501</v>
      </c>
      <c r="AJ322">
        <f t="shared" ref="AJ322:AJ385" si="65">K322/AI322</f>
        <v>0.821152575982685</v>
      </c>
    </row>
    <row r="323" spans="1:36">
      <c r="A323" s="1" t="s">
        <v>344</v>
      </c>
      <c r="B323" s="1">
        <v>26165844</v>
      </c>
      <c r="C323" s="2">
        <v>0</v>
      </c>
      <c r="E323">
        <v>6.889901</v>
      </c>
      <c r="F323">
        <v>3797.70978</v>
      </c>
      <c r="G323" s="3">
        <f t="shared" si="55"/>
        <v>3.79770978</v>
      </c>
      <c r="I323" t="s">
        <v>344</v>
      </c>
      <c r="J323">
        <v>5.07027</v>
      </c>
      <c r="K323" s="5">
        <f t="shared" si="56"/>
        <v>5.16064114928791</v>
      </c>
      <c r="L323">
        <f t="shared" si="57"/>
        <v>1.35888244448419</v>
      </c>
      <c r="O323">
        <v>0.0047264</v>
      </c>
      <c r="P323" s="6">
        <f t="shared" si="58"/>
        <v>5.53610443466486</v>
      </c>
      <c r="Q323" s="4">
        <f t="shared" si="59"/>
        <v>0.932179154167333</v>
      </c>
      <c r="T323">
        <v>28.544</v>
      </c>
      <c r="U323" s="7">
        <f t="shared" si="60"/>
        <v>0.916684557174888</v>
      </c>
      <c r="V323">
        <f t="shared" si="61"/>
        <v>5.62968047066527</v>
      </c>
      <c r="Y323">
        <v>0.008596404</v>
      </c>
      <c r="Z323" s="8">
        <v>1.82628764306564</v>
      </c>
      <c r="AA323">
        <f t="shared" si="62"/>
        <v>2.82575484145814</v>
      </c>
      <c r="AD323" s="9">
        <v>2.299272</v>
      </c>
      <c r="AE323">
        <f t="shared" si="63"/>
        <v>2.24446744416838</v>
      </c>
      <c r="AH323">
        <v>6.1277</v>
      </c>
      <c r="AI323" s="10">
        <f t="shared" si="64"/>
        <v>4.27009220425282</v>
      </c>
      <c r="AJ323">
        <f t="shared" si="65"/>
        <v>1.20855496847308</v>
      </c>
    </row>
    <row r="324" spans="1:36">
      <c r="A324" s="1" t="s">
        <v>343</v>
      </c>
      <c r="B324" s="1">
        <v>26165844</v>
      </c>
      <c r="C324" s="2">
        <v>0</v>
      </c>
      <c r="E324">
        <v>6.889326</v>
      </c>
      <c r="F324">
        <v>3798.02654</v>
      </c>
      <c r="G324" s="3">
        <f t="shared" si="55"/>
        <v>3.79802654</v>
      </c>
      <c r="I324" t="s">
        <v>343</v>
      </c>
      <c r="J324">
        <v>4.96993</v>
      </c>
      <c r="K324" s="5">
        <f t="shared" si="56"/>
        <v>5.26483149662068</v>
      </c>
      <c r="L324">
        <f t="shared" si="57"/>
        <v>1.38620187120143</v>
      </c>
      <c r="O324">
        <v>0.0047136</v>
      </c>
      <c r="P324" s="6">
        <f t="shared" si="58"/>
        <v>5.55113798370672</v>
      </c>
      <c r="Q324" s="4">
        <f t="shared" si="59"/>
        <v>0.948423820858644</v>
      </c>
      <c r="T324">
        <v>28.58</v>
      </c>
      <c r="U324" s="7">
        <f t="shared" si="60"/>
        <v>0.915529881035689</v>
      </c>
      <c r="V324">
        <f t="shared" si="61"/>
        <v>5.75058401224967</v>
      </c>
      <c r="Y324">
        <v>0.013974156</v>
      </c>
      <c r="Z324" s="8">
        <v>1.12346723480116</v>
      </c>
      <c r="AA324">
        <f t="shared" si="62"/>
        <v>4.6862350173946</v>
      </c>
      <c r="AD324" s="9">
        <v>2.300661</v>
      </c>
      <c r="AE324">
        <f t="shared" si="63"/>
        <v>2.28839950632478</v>
      </c>
      <c r="AH324">
        <v>6.1189</v>
      </c>
      <c r="AI324" s="10">
        <f t="shared" si="64"/>
        <v>4.27623330990864</v>
      </c>
      <c r="AJ324">
        <f t="shared" si="65"/>
        <v>1.23118434263662</v>
      </c>
    </row>
    <row r="325" spans="1:36">
      <c r="A325" s="1" t="s">
        <v>345</v>
      </c>
      <c r="B325" s="1">
        <v>26536986</v>
      </c>
      <c r="C325" s="2">
        <v>0.58837</v>
      </c>
      <c r="E325">
        <v>2.770559</v>
      </c>
      <c r="F325">
        <v>9578.205371</v>
      </c>
      <c r="G325" s="3">
        <f t="shared" si="55"/>
        <v>9.578205371</v>
      </c>
      <c r="I325" t="s">
        <v>345</v>
      </c>
      <c r="J325">
        <v>1.83734</v>
      </c>
      <c r="K325" s="5">
        <f t="shared" si="56"/>
        <v>14.4431547781031</v>
      </c>
      <c r="L325">
        <f t="shared" si="57"/>
        <v>1.50791867773401</v>
      </c>
      <c r="O325">
        <v>0.0025424</v>
      </c>
      <c r="P325" s="6">
        <f t="shared" si="58"/>
        <v>10.4377698237885</v>
      </c>
      <c r="Q325" s="4">
        <f t="shared" si="59"/>
        <v>1.38373953650386</v>
      </c>
      <c r="T325">
        <v>15.491</v>
      </c>
      <c r="U325" s="7">
        <f t="shared" si="60"/>
        <v>1.71305829191143</v>
      </c>
      <c r="V325">
        <f t="shared" si="61"/>
        <v>8.43121033668238</v>
      </c>
      <c r="Y325">
        <v>0.08422308</v>
      </c>
      <c r="Z325" s="8">
        <v>0.189047842942813</v>
      </c>
      <c r="AA325">
        <f t="shared" si="62"/>
        <v>76.3994687972832</v>
      </c>
      <c r="AD325" s="9">
        <v>3.18174</v>
      </c>
      <c r="AE325">
        <f t="shared" si="63"/>
        <v>4.53938875524183</v>
      </c>
      <c r="AH325">
        <v>2.3152</v>
      </c>
      <c r="AI325" s="10">
        <f t="shared" si="64"/>
        <v>11.4620706634416</v>
      </c>
      <c r="AJ325">
        <f t="shared" si="65"/>
        <v>1.26008251058596</v>
      </c>
    </row>
    <row r="326" spans="1:36">
      <c r="A326" s="1" t="s">
        <v>347</v>
      </c>
      <c r="B326" s="1">
        <v>26752320</v>
      </c>
      <c r="C326" s="2">
        <v>0.567901</v>
      </c>
      <c r="E326">
        <v>17.280425</v>
      </c>
      <c r="F326">
        <v>1548.128629</v>
      </c>
      <c r="G326" s="3">
        <f t="shared" si="55"/>
        <v>1.548128629</v>
      </c>
      <c r="I326" t="s">
        <v>347</v>
      </c>
      <c r="J326">
        <v>15.9707</v>
      </c>
      <c r="K326" s="5">
        <f t="shared" si="56"/>
        <v>1.67508750399168</v>
      </c>
      <c r="L326">
        <f t="shared" si="57"/>
        <v>1.08200796278388</v>
      </c>
      <c r="O326">
        <v>0.0086896</v>
      </c>
      <c r="P326" s="6">
        <f t="shared" si="58"/>
        <v>3.07865954704474</v>
      </c>
      <c r="Q326" s="4">
        <f t="shared" si="59"/>
        <v>0.544096376489446</v>
      </c>
      <c r="T326">
        <v>44.109</v>
      </c>
      <c r="U326" s="7">
        <f t="shared" si="60"/>
        <v>0.606504794939808</v>
      </c>
      <c r="V326">
        <f t="shared" si="61"/>
        <v>2.76187017475752</v>
      </c>
      <c r="Y326">
        <v>0.007874784</v>
      </c>
      <c r="Z326" s="8">
        <v>2.03832790842263</v>
      </c>
      <c r="AA326">
        <f t="shared" si="62"/>
        <v>0.821794911932477</v>
      </c>
      <c r="AD326" s="9">
        <v>1.540788</v>
      </c>
      <c r="AE326">
        <f t="shared" si="63"/>
        <v>1.08716286990273</v>
      </c>
      <c r="AH326">
        <v>11.237</v>
      </c>
      <c r="AI326" s="10">
        <f t="shared" si="64"/>
        <v>2.38073507163834</v>
      </c>
      <c r="AJ326">
        <f t="shared" si="65"/>
        <v>0.703600969274985</v>
      </c>
    </row>
    <row r="327" spans="1:36">
      <c r="A327" s="1" t="s">
        <v>346</v>
      </c>
      <c r="B327" s="1">
        <v>26752320</v>
      </c>
      <c r="C327" s="2">
        <v>0.148693</v>
      </c>
      <c r="E327">
        <v>19.083229</v>
      </c>
      <c r="F327">
        <v>1401.875933</v>
      </c>
      <c r="G327" s="3">
        <f t="shared" si="55"/>
        <v>1.401875933</v>
      </c>
      <c r="I327" t="s">
        <v>346</v>
      </c>
      <c r="J327">
        <v>19.7748</v>
      </c>
      <c r="K327" s="5">
        <f t="shared" si="56"/>
        <v>1.3528490806481</v>
      </c>
      <c r="L327">
        <f t="shared" si="57"/>
        <v>0.965027680982449</v>
      </c>
      <c r="O327">
        <v>0.0086256</v>
      </c>
      <c r="P327" s="6">
        <f t="shared" si="58"/>
        <v>3.10150250417362</v>
      </c>
      <c r="Q327" s="4">
        <f t="shared" si="59"/>
        <v>0.436191516475514</v>
      </c>
      <c r="T327">
        <v>44.313</v>
      </c>
      <c r="U327" s="7">
        <f t="shared" si="60"/>
        <v>0.603712680251845</v>
      </c>
      <c r="V327">
        <f t="shared" si="61"/>
        <v>2.24088233509315</v>
      </c>
      <c r="Y327">
        <v>0.008776062</v>
      </c>
      <c r="Z327" s="8">
        <v>1.82899710599128</v>
      </c>
      <c r="AA327">
        <f t="shared" si="62"/>
        <v>0.739667152133016</v>
      </c>
      <c r="AD327" s="9">
        <v>1.549032</v>
      </c>
      <c r="AE327">
        <f t="shared" si="63"/>
        <v>0.873351280443592</v>
      </c>
      <c r="AH327">
        <v>11.1703</v>
      </c>
      <c r="AI327" s="10">
        <f t="shared" si="64"/>
        <v>2.39495089657395</v>
      </c>
      <c r="AJ327">
        <f t="shared" si="65"/>
        <v>0.564875498108704</v>
      </c>
    </row>
    <row r="328" spans="1:36">
      <c r="A328" s="1" t="s">
        <v>348</v>
      </c>
      <c r="B328" s="1">
        <v>26845174</v>
      </c>
      <c r="C328" s="2">
        <v>0.00161752</v>
      </c>
      <c r="E328">
        <v>10.707589</v>
      </c>
      <c r="F328">
        <v>2507.116489</v>
      </c>
      <c r="G328" s="3">
        <f t="shared" si="55"/>
        <v>2.507116489</v>
      </c>
      <c r="I328" t="s">
        <v>348</v>
      </c>
      <c r="J328">
        <v>8.71507</v>
      </c>
      <c r="K328" s="5">
        <f t="shared" si="56"/>
        <v>3.08031650921909</v>
      </c>
      <c r="L328">
        <f t="shared" si="57"/>
        <v>1.22862919323215</v>
      </c>
      <c r="O328">
        <v>0.0085504</v>
      </c>
      <c r="P328" s="6">
        <f t="shared" si="58"/>
        <v>3.13963954902695</v>
      </c>
      <c r="Q328" s="4">
        <f t="shared" si="59"/>
        <v>0.981105143160066</v>
      </c>
      <c r="T328">
        <v>264.688</v>
      </c>
      <c r="U328" s="7">
        <f t="shared" si="60"/>
        <v>0.101421953394185</v>
      </c>
      <c r="V328">
        <f t="shared" si="61"/>
        <v>30.371299369942</v>
      </c>
      <c r="Y328">
        <v>0.002188674</v>
      </c>
      <c r="Z328" s="8">
        <v>7.35929809555923</v>
      </c>
      <c r="AA328">
        <f t="shared" si="62"/>
        <v>0.418561181952641</v>
      </c>
      <c r="AD328" s="9">
        <v>1.513083</v>
      </c>
      <c r="AE328">
        <f t="shared" si="63"/>
        <v>2.03578819484396</v>
      </c>
      <c r="AH328">
        <v>22.3244</v>
      </c>
      <c r="AI328" s="10">
        <f t="shared" si="64"/>
        <v>1.20250371790507</v>
      </c>
      <c r="AJ328">
        <f t="shared" si="65"/>
        <v>2.56158585071606</v>
      </c>
    </row>
    <row r="329" spans="1:36">
      <c r="A329" s="1" t="s">
        <v>349</v>
      </c>
      <c r="B329" s="1">
        <v>27366370</v>
      </c>
      <c r="C329" s="2">
        <v>0.393291</v>
      </c>
      <c r="E329">
        <v>3.086661</v>
      </c>
      <c r="F329">
        <v>8866.009572</v>
      </c>
      <c r="G329" s="3">
        <f t="shared" si="55"/>
        <v>8.866009572</v>
      </c>
      <c r="I329" t="s">
        <v>349</v>
      </c>
      <c r="J329">
        <v>2.11326</v>
      </c>
      <c r="K329" s="5">
        <f t="shared" si="56"/>
        <v>12.9498357987186</v>
      </c>
      <c r="L329">
        <f t="shared" si="57"/>
        <v>1.46061604079651</v>
      </c>
      <c r="O329">
        <v>0.002656</v>
      </c>
      <c r="P329" s="6">
        <f t="shared" si="58"/>
        <v>10.3036031626506</v>
      </c>
      <c r="Q329" s="4">
        <f t="shared" si="59"/>
        <v>1.25682594664168</v>
      </c>
      <c r="T329">
        <v>31.655</v>
      </c>
      <c r="U329" s="7">
        <f t="shared" si="60"/>
        <v>0.864519665139788</v>
      </c>
      <c r="V329">
        <f t="shared" si="61"/>
        <v>14.9792264084874</v>
      </c>
      <c r="Y329">
        <v>0.00873216</v>
      </c>
      <c r="Z329" s="8">
        <v>1.88038492194371</v>
      </c>
      <c r="AA329">
        <f t="shared" si="62"/>
        <v>6.88680048834503</v>
      </c>
      <c r="AD329" s="9">
        <v>2.980101</v>
      </c>
      <c r="AE329">
        <f t="shared" si="63"/>
        <v>4.34543520461842</v>
      </c>
      <c r="AH329">
        <v>3.6127</v>
      </c>
      <c r="AI329" s="10">
        <f t="shared" si="64"/>
        <v>7.57504636421513</v>
      </c>
      <c r="AJ329">
        <f t="shared" si="65"/>
        <v>1.70953881680437</v>
      </c>
    </row>
    <row r="330" spans="1:36">
      <c r="A330" s="1" t="s">
        <v>350</v>
      </c>
      <c r="B330" s="1">
        <v>28699428</v>
      </c>
      <c r="C330" s="2">
        <v>0</v>
      </c>
      <c r="E330">
        <v>4.4689</v>
      </c>
      <c r="F330">
        <v>6422.033438</v>
      </c>
      <c r="G330" s="3">
        <f t="shared" si="55"/>
        <v>6.422033438</v>
      </c>
      <c r="I330" t="s">
        <v>350</v>
      </c>
      <c r="J330">
        <v>4.60064</v>
      </c>
      <c r="K330" s="5">
        <f t="shared" si="56"/>
        <v>6.23813817208041</v>
      </c>
      <c r="L330">
        <f t="shared" si="57"/>
        <v>0.971364947302911</v>
      </c>
      <c r="O330">
        <v>0.0050368</v>
      </c>
      <c r="P330" s="6">
        <f t="shared" si="58"/>
        <v>5.69794869758577</v>
      </c>
      <c r="Q330" s="4">
        <f t="shared" si="59"/>
        <v>1.09480420115462</v>
      </c>
      <c r="T330">
        <v>15.315</v>
      </c>
      <c r="U330" s="7">
        <f t="shared" si="60"/>
        <v>1.87394240940255</v>
      </c>
      <c r="V330">
        <f t="shared" si="61"/>
        <v>3.32888467691452</v>
      </c>
      <c r="Y330">
        <v>0.005511168</v>
      </c>
      <c r="Z330" s="8">
        <v>3.12450224707358</v>
      </c>
      <c r="AA330">
        <f t="shared" si="62"/>
        <v>1.99652222299506</v>
      </c>
      <c r="AD330" s="9">
        <v>2.538306</v>
      </c>
      <c r="AE330">
        <f t="shared" si="63"/>
        <v>2.45759895461005</v>
      </c>
      <c r="AH330">
        <v>6.8154</v>
      </c>
      <c r="AI330" s="10">
        <f t="shared" si="64"/>
        <v>4.21096751474602</v>
      </c>
      <c r="AJ330">
        <f t="shared" si="65"/>
        <v>1.48140258746609</v>
      </c>
    </row>
    <row r="331" spans="1:36">
      <c r="A331" s="1" t="s">
        <v>351</v>
      </c>
      <c r="B331" s="1">
        <v>28910660</v>
      </c>
      <c r="C331" s="2">
        <v>6.80596e-5</v>
      </c>
      <c r="E331">
        <v>8.768985</v>
      </c>
      <c r="F331">
        <v>3296.921935</v>
      </c>
      <c r="G331" s="3">
        <f t="shared" si="55"/>
        <v>3.296921935</v>
      </c>
      <c r="I331" t="s">
        <v>351</v>
      </c>
      <c r="J331">
        <v>12.8459</v>
      </c>
      <c r="K331" s="5">
        <f t="shared" si="56"/>
        <v>2.25057489159965</v>
      </c>
      <c r="L331">
        <f t="shared" si="57"/>
        <v>0.682629111629134</v>
      </c>
      <c r="O331">
        <v>0.0127392</v>
      </c>
      <c r="P331" s="6">
        <f t="shared" si="58"/>
        <v>2.26942508163778</v>
      </c>
      <c r="Q331" s="4">
        <f t="shared" si="59"/>
        <v>0.991693847842502</v>
      </c>
      <c r="T331">
        <v>247.332</v>
      </c>
      <c r="U331" s="7">
        <f t="shared" si="60"/>
        <v>0.116890091051704</v>
      </c>
      <c r="V331">
        <f t="shared" si="61"/>
        <v>19.2537696852692</v>
      </c>
      <c r="Y331">
        <v>0.002417382</v>
      </c>
      <c r="Z331" s="8">
        <v>7.17569502875425</v>
      </c>
      <c r="AA331">
        <f t="shared" si="62"/>
        <v>0.313638592858422</v>
      </c>
      <c r="AD331" s="9">
        <v>1.536891</v>
      </c>
      <c r="AE331">
        <f t="shared" si="63"/>
        <v>1.46436858020488</v>
      </c>
      <c r="AH331">
        <v>29.1409</v>
      </c>
      <c r="AI331" s="10">
        <f t="shared" si="64"/>
        <v>0.992099077241952</v>
      </c>
      <c r="AJ331">
        <f t="shared" si="65"/>
        <v>2.26849812002273</v>
      </c>
    </row>
    <row r="332" spans="1:36">
      <c r="A332" s="1" t="s">
        <v>352</v>
      </c>
      <c r="B332" s="1">
        <v>29324434</v>
      </c>
      <c r="C332" s="2">
        <v>0.884462</v>
      </c>
      <c r="E332">
        <v>2.195521</v>
      </c>
      <c r="F332">
        <v>13356.479902</v>
      </c>
      <c r="G332" s="3">
        <f t="shared" si="55"/>
        <v>13.356479902</v>
      </c>
      <c r="I332" t="s">
        <v>352</v>
      </c>
      <c r="J332">
        <v>1.00305</v>
      </c>
      <c r="K332" s="5">
        <f t="shared" si="56"/>
        <v>29.235266437366</v>
      </c>
      <c r="L332">
        <f t="shared" si="57"/>
        <v>2.18884516368631</v>
      </c>
      <c r="O332">
        <v>0.0022208</v>
      </c>
      <c r="P332" s="6">
        <f t="shared" si="58"/>
        <v>13.2044461455331</v>
      </c>
      <c r="Q332" s="4">
        <f t="shared" si="59"/>
        <v>2.21404715617367</v>
      </c>
      <c r="T332">
        <v>18.008</v>
      </c>
      <c r="U332" s="7">
        <f t="shared" si="60"/>
        <v>1.62841148378498</v>
      </c>
      <c r="V332">
        <f t="shared" si="61"/>
        <v>17.9532426100394</v>
      </c>
      <c r="Y332">
        <v>0.003883752</v>
      </c>
      <c r="Z332" s="8">
        <v>4.5303254172769</v>
      </c>
      <c r="AA332">
        <f t="shared" si="62"/>
        <v>6.45323762524301</v>
      </c>
      <c r="AD332" s="9">
        <v>3.49776</v>
      </c>
      <c r="AE332">
        <f t="shared" si="63"/>
        <v>8.35828256866281</v>
      </c>
      <c r="AH332">
        <v>1.9638</v>
      </c>
      <c r="AI332" s="10">
        <f t="shared" si="64"/>
        <v>14.9324951624402</v>
      </c>
      <c r="AJ332">
        <f t="shared" si="65"/>
        <v>1.95782862270076</v>
      </c>
    </row>
    <row r="333" spans="1:36">
      <c r="A333" s="1" t="s">
        <v>353</v>
      </c>
      <c r="B333" s="1">
        <v>29324434</v>
      </c>
      <c r="C333" s="2">
        <v>0.88694</v>
      </c>
      <c r="E333">
        <v>1.888858</v>
      </c>
      <c r="F333">
        <v>15524.95258</v>
      </c>
      <c r="G333" s="3">
        <f t="shared" si="55"/>
        <v>15.52495258</v>
      </c>
      <c r="I333" t="s">
        <v>353</v>
      </c>
      <c r="J333">
        <v>0.963772</v>
      </c>
      <c r="K333" s="5">
        <f t="shared" si="56"/>
        <v>30.4267337088025</v>
      </c>
      <c r="L333">
        <f t="shared" si="57"/>
        <v>1.95986000936323</v>
      </c>
      <c r="O333">
        <v>0.0023728</v>
      </c>
      <c r="P333" s="6">
        <f t="shared" si="58"/>
        <v>12.3585780512475</v>
      </c>
      <c r="Q333" s="4">
        <f t="shared" si="59"/>
        <v>2.46199308550155</v>
      </c>
      <c r="T333">
        <v>17.323</v>
      </c>
      <c r="U333" s="7">
        <f t="shared" si="60"/>
        <v>1.69280344051261</v>
      </c>
      <c r="V333">
        <f t="shared" si="61"/>
        <v>17.9741681642546</v>
      </c>
      <c r="Y333">
        <v>0.003951486</v>
      </c>
      <c r="Z333" s="8">
        <v>4.4526692996002</v>
      </c>
      <c r="AA333">
        <f t="shared" si="62"/>
        <v>6.83336930311319</v>
      </c>
      <c r="AD333" s="9">
        <v>3.4629</v>
      </c>
      <c r="AE333">
        <f t="shared" si="63"/>
        <v>8.7864892745394</v>
      </c>
      <c r="AH333">
        <v>1.9748</v>
      </c>
      <c r="AI333" s="10">
        <f t="shared" si="64"/>
        <v>14.8493184119911</v>
      </c>
      <c r="AJ333">
        <f t="shared" si="65"/>
        <v>2.04903234374935</v>
      </c>
    </row>
    <row r="334" spans="1:36">
      <c r="A334" s="1" t="s">
        <v>354</v>
      </c>
      <c r="B334" s="1">
        <v>29324434</v>
      </c>
      <c r="C334" s="2">
        <v>0.88694</v>
      </c>
      <c r="E334">
        <v>2.18322</v>
      </c>
      <c r="F334">
        <v>13431.738558</v>
      </c>
      <c r="G334" s="3">
        <f t="shared" si="55"/>
        <v>13.431738558</v>
      </c>
      <c r="I334" t="s">
        <v>354</v>
      </c>
      <c r="J334">
        <v>0.974081</v>
      </c>
      <c r="K334" s="5">
        <f t="shared" si="56"/>
        <v>30.104718190787</v>
      </c>
      <c r="L334">
        <f t="shared" si="57"/>
        <v>2.24131210273271</v>
      </c>
      <c r="O334">
        <v>0.0022096</v>
      </c>
      <c r="P334" s="6">
        <f t="shared" si="58"/>
        <v>13.2713767197683</v>
      </c>
      <c r="Q334" s="4">
        <f t="shared" si="59"/>
        <v>2.26839451749906</v>
      </c>
      <c r="T334">
        <v>17.145</v>
      </c>
      <c r="U334" s="7">
        <f t="shared" si="60"/>
        <v>1.71037818606008</v>
      </c>
      <c r="V334">
        <f t="shared" si="61"/>
        <v>17.6012056492222</v>
      </c>
      <c r="Y334">
        <v>0.00399213</v>
      </c>
      <c r="Z334" s="8">
        <v>4.40733653463189</v>
      </c>
      <c r="AA334">
        <f t="shared" si="62"/>
        <v>6.83059211708266</v>
      </c>
      <c r="AD334" s="9">
        <v>3.51108</v>
      </c>
      <c r="AE334">
        <f t="shared" si="63"/>
        <v>8.57420457260644</v>
      </c>
      <c r="AH334">
        <v>1.9318</v>
      </c>
      <c r="AI334" s="10">
        <f t="shared" si="64"/>
        <v>15.1798498809401</v>
      </c>
      <c r="AJ334">
        <f t="shared" si="65"/>
        <v>1.98320262893948</v>
      </c>
    </row>
    <row r="335" spans="1:36">
      <c r="A335" s="1" t="s">
        <v>355</v>
      </c>
      <c r="B335" s="1">
        <v>29710592</v>
      </c>
      <c r="C335" s="2">
        <v>0.000207857</v>
      </c>
      <c r="E335">
        <v>8.773824</v>
      </c>
      <c r="F335">
        <v>3386.276291</v>
      </c>
      <c r="G335" s="3">
        <f t="shared" si="55"/>
        <v>3.386276291</v>
      </c>
      <c r="I335" t="s">
        <v>355</v>
      </c>
      <c r="J335">
        <v>8.88954</v>
      </c>
      <c r="K335" s="5">
        <f t="shared" si="56"/>
        <v>3.34219678408557</v>
      </c>
      <c r="L335">
        <f t="shared" si="57"/>
        <v>0.98698289710394</v>
      </c>
      <c r="O335">
        <v>0.008552</v>
      </c>
      <c r="P335" s="6">
        <f t="shared" si="58"/>
        <v>3.47411038353601</v>
      </c>
      <c r="Q335" s="4">
        <f t="shared" si="59"/>
        <v>0.96202953133683</v>
      </c>
      <c r="T335">
        <v>22.52</v>
      </c>
      <c r="U335" s="7">
        <f t="shared" si="60"/>
        <v>1.31929804618117</v>
      </c>
      <c r="V335">
        <f t="shared" si="61"/>
        <v>2.53331443471766</v>
      </c>
      <c r="Y335">
        <v>0.017846892</v>
      </c>
      <c r="Z335" s="8">
        <v>0.998849278630699</v>
      </c>
      <c r="AA335">
        <f t="shared" si="62"/>
        <v>3.34604715204611</v>
      </c>
      <c r="AD335" s="9">
        <v>1.832673</v>
      </c>
      <c r="AE335">
        <f t="shared" si="63"/>
        <v>1.82367328164139</v>
      </c>
      <c r="AH335">
        <v>10.7991</v>
      </c>
      <c r="AI335" s="10">
        <f t="shared" si="64"/>
        <v>2.75121000824143</v>
      </c>
      <c r="AJ335">
        <f t="shared" si="65"/>
        <v>1.2148097651847</v>
      </c>
    </row>
    <row r="336" spans="1:36">
      <c r="A336" s="1" t="s">
        <v>356</v>
      </c>
      <c r="B336" s="1">
        <v>29947392</v>
      </c>
      <c r="C336" s="2">
        <v>0</v>
      </c>
      <c r="E336">
        <v>6.802039</v>
      </c>
      <c r="F336">
        <v>4402.707762</v>
      </c>
      <c r="G336" s="3">
        <f t="shared" si="55"/>
        <v>4.402707762</v>
      </c>
      <c r="I336" t="s">
        <v>356</v>
      </c>
      <c r="J336">
        <v>7.19177</v>
      </c>
      <c r="K336" s="5">
        <f t="shared" si="56"/>
        <v>4.16411982029459</v>
      </c>
      <c r="L336">
        <f t="shared" si="57"/>
        <v>0.94580881707283</v>
      </c>
      <c r="O336">
        <v>0.010216</v>
      </c>
      <c r="P336" s="6">
        <f t="shared" si="58"/>
        <v>2.93142051683634</v>
      </c>
      <c r="Q336" s="4">
        <f t="shared" si="59"/>
        <v>1.42051261372374</v>
      </c>
      <c r="T336">
        <v>49.006</v>
      </c>
      <c r="U336" s="7">
        <f t="shared" si="60"/>
        <v>0.611096437170959</v>
      </c>
      <c r="V336">
        <f t="shared" si="61"/>
        <v>6.8141778727629</v>
      </c>
      <c r="Y336">
        <v>0.007318854</v>
      </c>
      <c r="Z336" s="8">
        <v>2.45508862453056</v>
      </c>
      <c r="AA336">
        <f t="shared" si="62"/>
        <v>1.69611792368221</v>
      </c>
      <c r="AD336" s="9">
        <v>2.127237</v>
      </c>
      <c r="AE336">
        <f t="shared" si="63"/>
        <v>1.95752509959849</v>
      </c>
      <c r="AH336">
        <v>9.138</v>
      </c>
      <c r="AI336" s="10">
        <f t="shared" si="64"/>
        <v>3.27723703217334</v>
      </c>
      <c r="AJ336">
        <f t="shared" si="65"/>
        <v>1.27061905483629</v>
      </c>
    </row>
    <row r="337" spans="1:36">
      <c r="A337" s="1" t="s">
        <v>357</v>
      </c>
      <c r="B337" s="1">
        <v>30147168</v>
      </c>
      <c r="C337" s="2">
        <v>0.976119</v>
      </c>
      <c r="E337">
        <v>5.350899</v>
      </c>
      <c r="F337">
        <v>5634.038265</v>
      </c>
      <c r="G337" s="3">
        <f t="shared" si="55"/>
        <v>5.634038265</v>
      </c>
      <c r="I337" t="s">
        <v>357</v>
      </c>
      <c r="J337">
        <v>3.79786</v>
      </c>
      <c r="K337" s="5">
        <f t="shared" si="56"/>
        <v>7.93793557424444</v>
      </c>
      <c r="L337">
        <f t="shared" si="57"/>
        <v>1.40892468259522</v>
      </c>
      <c r="O337">
        <v>0.0035584</v>
      </c>
      <c r="P337" s="6">
        <f t="shared" si="58"/>
        <v>8.47211330935252</v>
      </c>
      <c r="Q337" s="4">
        <f t="shared" si="59"/>
        <v>0.936948702690463</v>
      </c>
      <c r="T337">
        <v>19.702</v>
      </c>
      <c r="U337" s="7">
        <f t="shared" si="60"/>
        <v>1.53015775048218</v>
      </c>
      <c r="V337">
        <f t="shared" si="61"/>
        <v>5.18765831283934</v>
      </c>
      <c r="Y337">
        <v>0.007242408</v>
      </c>
      <c r="Z337" s="8">
        <v>2.49755341041267</v>
      </c>
      <c r="AA337">
        <f t="shared" si="62"/>
        <v>3.17828461291359</v>
      </c>
      <c r="AD337" s="9">
        <v>2.780436</v>
      </c>
      <c r="AE337">
        <f t="shared" si="63"/>
        <v>2.85492475793165</v>
      </c>
      <c r="AH337">
        <v>3.8854</v>
      </c>
      <c r="AI337" s="10">
        <f t="shared" si="64"/>
        <v>7.75908992639111</v>
      </c>
      <c r="AJ337">
        <f t="shared" si="65"/>
        <v>1.02304982279494</v>
      </c>
    </row>
    <row r="338" spans="1:36">
      <c r="A338" s="1" t="s">
        <v>358</v>
      </c>
      <c r="B338" s="1">
        <v>30316474</v>
      </c>
      <c r="C338" s="2">
        <v>1</v>
      </c>
      <c r="E338">
        <v>2.050436</v>
      </c>
      <c r="F338">
        <v>14785.378738</v>
      </c>
      <c r="G338" s="3">
        <f t="shared" si="55"/>
        <v>14.785378738</v>
      </c>
      <c r="I338" t="s">
        <v>358</v>
      </c>
      <c r="J338">
        <v>1.00787</v>
      </c>
      <c r="K338" s="5">
        <f t="shared" si="56"/>
        <v>30.0797463958645</v>
      </c>
      <c r="L338">
        <f t="shared" si="57"/>
        <v>2.03442515263788</v>
      </c>
      <c r="O338">
        <v>0.0045248</v>
      </c>
      <c r="P338" s="6">
        <f t="shared" si="58"/>
        <v>6.70006939533239</v>
      </c>
      <c r="Q338" s="4">
        <f t="shared" si="59"/>
        <v>4.48946788772361</v>
      </c>
      <c r="T338">
        <v>15.181</v>
      </c>
      <c r="U338" s="7">
        <f t="shared" si="60"/>
        <v>1.99700111982083</v>
      </c>
      <c r="V338">
        <f t="shared" si="61"/>
        <v>15.0624584519829</v>
      </c>
      <c r="Y338">
        <v>0.00457992</v>
      </c>
      <c r="Z338" s="8">
        <v>3.9716598543206</v>
      </c>
      <c r="AA338">
        <f t="shared" si="62"/>
        <v>7.57359580104577</v>
      </c>
      <c r="AD338" s="9">
        <v>3.62202</v>
      </c>
      <c r="AE338">
        <f t="shared" si="63"/>
        <v>8.30468810107745</v>
      </c>
      <c r="AH338">
        <v>2.0674</v>
      </c>
      <c r="AI338" s="10">
        <f t="shared" si="64"/>
        <v>14.6640582373996</v>
      </c>
      <c r="AJ338">
        <f t="shared" si="65"/>
        <v>2.05125661047556</v>
      </c>
    </row>
    <row r="339" spans="1:36">
      <c r="A339" s="1" t="s">
        <v>359</v>
      </c>
      <c r="B339" s="1">
        <v>30668788</v>
      </c>
      <c r="C339" s="2">
        <v>0.704457</v>
      </c>
      <c r="E339">
        <v>2.571508</v>
      </c>
      <c r="F339">
        <v>11926.382131</v>
      </c>
      <c r="G339" s="3">
        <f t="shared" si="55"/>
        <v>11.926382131</v>
      </c>
      <c r="I339" t="s">
        <v>359</v>
      </c>
      <c r="J339">
        <v>1.70943</v>
      </c>
      <c r="K339" s="5">
        <f t="shared" si="56"/>
        <v>17.9409440573759</v>
      </c>
      <c r="L339">
        <f t="shared" si="57"/>
        <v>1.50430732977626</v>
      </c>
      <c r="O339">
        <v>0.0029088</v>
      </c>
      <c r="P339" s="6">
        <f t="shared" si="58"/>
        <v>10.543450220022</v>
      </c>
      <c r="Q339" s="4">
        <f t="shared" si="59"/>
        <v>1.70161983819168</v>
      </c>
      <c r="T339">
        <v>16.028</v>
      </c>
      <c r="U339" s="7">
        <f t="shared" si="60"/>
        <v>1.9134507112553</v>
      </c>
      <c r="V339">
        <f t="shared" si="61"/>
        <v>9.37622482347917</v>
      </c>
      <c r="Y339">
        <v>0.007714458</v>
      </c>
      <c r="Z339" s="8">
        <v>2.38529690614687</v>
      </c>
      <c r="AA339">
        <f t="shared" si="62"/>
        <v>7.52147206963726</v>
      </c>
      <c r="AD339" s="9">
        <v>3.18969</v>
      </c>
      <c r="AE339">
        <f t="shared" si="63"/>
        <v>5.62466699189446</v>
      </c>
      <c r="AH339">
        <v>2.7526</v>
      </c>
      <c r="AI339" s="10">
        <f t="shared" si="64"/>
        <v>11.1417525248856</v>
      </c>
      <c r="AJ339">
        <f t="shared" si="65"/>
        <v>1.610244350456</v>
      </c>
    </row>
    <row r="340" spans="1:36">
      <c r="A340" s="1" t="s">
        <v>360</v>
      </c>
      <c r="B340" s="1">
        <v>30796486</v>
      </c>
      <c r="C340" s="2">
        <v>0</v>
      </c>
      <c r="E340">
        <v>28.691616</v>
      </c>
      <c r="F340">
        <v>1073.361838</v>
      </c>
      <c r="G340" s="3">
        <f t="shared" si="55"/>
        <v>1.073361838</v>
      </c>
      <c r="I340" t="s">
        <v>360</v>
      </c>
      <c r="J340">
        <v>17.4701</v>
      </c>
      <c r="K340" s="5">
        <f t="shared" si="56"/>
        <v>1.76281108866005</v>
      </c>
      <c r="L340">
        <f t="shared" si="57"/>
        <v>1.64232696398514</v>
      </c>
      <c r="O340">
        <v>0.0084448</v>
      </c>
      <c r="P340" s="6">
        <f t="shared" si="58"/>
        <v>3.64679874005305</v>
      </c>
      <c r="Q340" s="4">
        <f t="shared" si="59"/>
        <v>0.483385899336581</v>
      </c>
      <c r="T340">
        <v>107.236</v>
      </c>
      <c r="U340" s="7">
        <f t="shared" si="60"/>
        <v>0.287184210526316</v>
      </c>
      <c r="V340">
        <f t="shared" si="61"/>
        <v>6.13825908266123</v>
      </c>
      <c r="Y340">
        <v>0.008038242</v>
      </c>
      <c r="Z340" s="8">
        <v>2.29874786053965</v>
      </c>
      <c r="AA340">
        <f t="shared" si="62"/>
        <v>0.766857087251935</v>
      </c>
      <c r="AD340" s="9">
        <v>1.592145</v>
      </c>
      <c r="AE340">
        <f t="shared" si="63"/>
        <v>1.10719255385662</v>
      </c>
      <c r="AH340">
        <v>14.7801</v>
      </c>
      <c r="AI340" s="10">
        <f t="shared" si="64"/>
        <v>2.08364530686531</v>
      </c>
      <c r="AJ340">
        <f t="shared" si="65"/>
        <v>0.846022632955736</v>
      </c>
    </row>
    <row r="341" spans="1:36">
      <c r="A341" s="1" t="s">
        <v>361</v>
      </c>
      <c r="B341" s="1">
        <v>30798388</v>
      </c>
      <c r="C341" s="2">
        <v>0</v>
      </c>
      <c r="E341">
        <v>27.241419</v>
      </c>
      <c r="F341">
        <v>1130.572095</v>
      </c>
      <c r="G341" s="3">
        <f t="shared" si="55"/>
        <v>1.130572095</v>
      </c>
      <c r="I341" t="s">
        <v>361</v>
      </c>
      <c r="J341">
        <v>17.5898</v>
      </c>
      <c r="K341" s="5">
        <f t="shared" si="56"/>
        <v>1.75092314864296</v>
      </c>
      <c r="L341">
        <f t="shared" si="57"/>
        <v>1.54870543540433</v>
      </c>
      <c r="O341">
        <v>0.0086032</v>
      </c>
      <c r="P341" s="6">
        <f t="shared" si="58"/>
        <v>3.57987586014506</v>
      </c>
      <c r="Q341" s="4">
        <f t="shared" si="59"/>
        <v>0.489101638449556</v>
      </c>
      <c r="T341">
        <v>107.284</v>
      </c>
      <c r="U341" s="7">
        <f t="shared" si="60"/>
        <v>0.287073449908654</v>
      </c>
      <c r="V341">
        <f t="shared" si="61"/>
        <v>6.09921659143367</v>
      </c>
      <c r="Y341">
        <v>0.008297766</v>
      </c>
      <c r="Z341" s="8">
        <v>2.22698890279625</v>
      </c>
      <c r="AA341">
        <f t="shared" si="62"/>
        <v>0.786228950869252</v>
      </c>
      <c r="AD341" s="9">
        <v>1.597851</v>
      </c>
      <c r="AE341">
        <f t="shared" si="63"/>
        <v>1.09579876261489</v>
      </c>
      <c r="AH341">
        <v>14.8611</v>
      </c>
      <c r="AI341" s="10">
        <f t="shared" si="64"/>
        <v>2.07241644292818</v>
      </c>
      <c r="AJ341">
        <f t="shared" si="65"/>
        <v>0.84487032257331</v>
      </c>
    </row>
    <row r="342" spans="1:36">
      <c r="A342" s="1" t="s">
        <v>362</v>
      </c>
      <c r="B342" s="1">
        <v>32169814</v>
      </c>
      <c r="C342" s="2">
        <v>0.0549244</v>
      </c>
      <c r="E342">
        <v>5.663623</v>
      </c>
      <c r="F342">
        <v>5680.077071</v>
      </c>
      <c r="G342" s="3">
        <f t="shared" si="55"/>
        <v>5.680077071</v>
      </c>
      <c r="I342" t="s">
        <v>362</v>
      </c>
      <c r="J342">
        <v>7.17067</v>
      </c>
      <c r="K342" s="5">
        <f t="shared" si="56"/>
        <v>4.48630518487115</v>
      </c>
      <c r="L342">
        <f t="shared" si="57"/>
        <v>0.789831745026184</v>
      </c>
      <c r="O342">
        <v>0.0054688</v>
      </c>
      <c r="P342" s="6">
        <f t="shared" si="58"/>
        <v>5.88242649210064</v>
      </c>
      <c r="Q342" s="4">
        <f t="shared" si="59"/>
        <v>0.762662345359639</v>
      </c>
      <c r="T342">
        <v>54.759</v>
      </c>
      <c r="U342" s="7">
        <f t="shared" si="60"/>
        <v>0.587479939370697</v>
      </c>
      <c r="V342">
        <f t="shared" si="61"/>
        <v>7.63652489934692</v>
      </c>
      <c r="Y342">
        <v>0.02331216</v>
      </c>
      <c r="Z342" s="8">
        <v>0.827975116848889</v>
      </c>
      <c r="AA342">
        <f t="shared" si="62"/>
        <v>5.41840581145137</v>
      </c>
      <c r="AD342" s="9">
        <v>2.040468</v>
      </c>
      <c r="AE342">
        <f t="shared" si="63"/>
        <v>2.19866480869641</v>
      </c>
      <c r="AH342">
        <v>10.5242</v>
      </c>
      <c r="AI342" s="10">
        <f t="shared" si="64"/>
        <v>3.05674673609395</v>
      </c>
      <c r="AJ342">
        <f t="shared" si="65"/>
        <v>1.46767317419432</v>
      </c>
    </row>
    <row r="343" spans="1:36">
      <c r="A343" s="1" t="s">
        <v>363</v>
      </c>
      <c r="B343" s="1">
        <v>32169814</v>
      </c>
      <c r="C343" s="2">
        <v>0.0549244</v>
      </c>
      <c r="E343">
        <v>5.678065</v>
      </c>
      <c r="F343">
        <v>5665.629283</v>
      </c>
      <c r="G343" s="3">
        <f t="shared" si="55"/>
        <v>5.665629283</v>
      </c>
      <c r="I343" t="s">
        <v>363</v>
      </c>
      <c r="J343">
        <v>5.91312</v>
      </c>
      <c r="K343" s="5">
        <f t="shared" si="56"/>
        <v>5.4404128446573</v>
      </c>
      <c r="L343">
        <f t="shared" si="57"/>
        <v>0.960248645456125</v>
      </c>
      <c r="O343">
        <v>0.0057104</v>
      </c>
      <c r="P343" s="6">
        <f t="shared" si="58"/>
        <v>5.63354826281872</v>
      </c>
      <c r="Q343" s="4">
        <f t="shared" si="59"/>
        <v>0.965716914251698</v>
      </c>
      <c r="T343">
        <v>54.985</v>
      </c>
      <c r="U343" s="7">
        <f t="shared" si="60"/>
        <v>0.585065272347004</v>
      </c>
      <c r="V343">
        <f t="shared" si="61"/>
        <v>9.29881348594312</v>
      </c>
      <c r="Y343">
        <v>0.02333772</v>
      </c>
      <c r="Z343" s="8">
        <v>0.827068299731079</v>
      </c>
      <c r="AA343">
        <f t="shared" si="62"/>
        <v>6.57794869713451</v>
      </c>
      <c r="AD343" s="9">
        <v>2.063511</v>
      </c>
      <c r="AE343">
        <f t="shared" si="63"/>
        <v>2.63648356837318</v>
      </c>
      <c r="AH343">
        <v>10.5598</v>
      </c>
      <c r="AI343" s="10">
        <f t="shared" si="64"/>
        <v>3.04644159927271</v>
      </c>
      <c r="AJ343">
        <f t="shared" si="65"/>
        <v>1.78582541872988</v>
      </c>
    </row>
    <row r="344" spans="1:36">
      <c r="A344" s="1" t="s">
        <v>364</v>
      </c>
      <c r="B344" s="1">
        <v>32260732</v>
      </c>
      <c r="C344" s="2">
        <v>0</v>
      </c>
      <c r="E344">
        <v>17.80115</v>
      </c>
      <c r="F344">
        <v>1812.283605</v>
      </c>
      <c r="G344" s="3">
        <f t="shared" si="55"/>
        <v>1.812283605</v>
      </c>
      <c r="I344" t="s">
        <v>364</v>
      </c>
      <c r="J344">
        <v>14.7563</v>
      </c>
      <c r="K344" s="5">
        <f t="shared" si="56"/>
        <v>2.1862344896756</v>
      </c>
      <c r="L344">
        <f t="shared" si="57"/>
        <v>1.20634236476227</v>
      </c>
      <c r="O344">
        <v>0.023528</v>
      </c>
      <c r="P344" s="6">
        <f t="shared" si="58"/>
        <v>1.37116337980279</v>
      </c>
      <c r="Q344" s="4">
        <f t="shared" si="59"/>
        <v>1.59443763002921</v>
      </c>
      <c r="T344">
        <v>49.567</v>
      </c>
      <c r="U344" s="7">
        <f t="shared" si="60"/>
        <v>0.650851009744386</v>
      </c>
      <c r="V344">
        <f t="shared" si="61"/>
        <v>3.35903986771752</v>
      </c>
      <c r="Y344">
        <v>0.012607128</v>
      </c>
      <c r="Z344" s="8">
        <v>1.53535676008049</v>
      </c>
      <c r="AA344">
        <f t="shared" si="62"/>
        <v>1.42392605192358</v>
      </c>
      <c r="AD344" s="9">
        <v>1.370529</v>
      </c>
      <c r="AE344">
        <f t="shared" si="63"/>
        <v>1.59517565091698</v>
      </c>
      <c r="AH344">
        <v>26.0312</v>
      </c>
      <c r="AI344" s="10">
        <f t="shared" si="64"/>
        <v>1.23931021236055</v>
      </c>
      <c r="AJ344">
        <f t="shared" si="65"/>
        <v>1.76407364989869</v>
      </c>
    </row>
    <row r="345" spans="1:36">
      <c r="A345" s="1" t="s">
        <v>365</v>
      </c>
      <c r="B345" s="1">
        <v>33005036</v>
      </c>
      <c r="C345" s="2">
        <v>0</v>
      </c>
      <c r="E345">
        <v>16.621705</v>
      </c>
      <c r="F345">
        <v>1985.658857</v>
      </c>
      <c r="G345" s="3">
        <f t="shared" si="55"/>
        <v>1.985658857</v>
      </c>
      <c r="I345" t="s">
        <v>365</v>
      </c>
      <c r="J345">
        <v>15.3925</v>
      </c>
      <c r="K345" s="5">
        <f t="shared" si="56"/>
        <v>2.14422842293325</v>
      </c>
      <c r="L345">
        <f t="shared" si="57"/>
        <v>1.07985740620764</v>
      </c>
      <c r="O345">
        <v>0.0239984</v>
      </c>
      <c r="P345" s="6">
        <f t="shared" si="58"/>
        <v>1.37530152010134</v>
      </c>
      <c r="Q345" s="4">
        <f t="shared" si="59"/>
        <v>1.55909696280656</v>
      </c>
      <c r="T345">
        <v>49.169</v>
      </c>
      <c r="U345" s="7">
        <f t="shared" si="60"/>
        <v>0.671257011531656</v>
      </c>
      <c r="V345">
        <f t="shared" si="61"/>
        <v>3.19434789670294</v>
      </c>
      <c r="Y345">
        <v>0.013235364</v>
      </c>
      <c r="Z345" s="8">
        <v>1.49622039862296</v>
      </c>
      <c r="AA345">
        <f t="shared" si="62"/>
        <v>1.43309663797304</v>
      </c>
      <c r="AD345" s="9">
        <v>1.292187</v>
      </c>
      <c r="AE345">
        <f t="shared" si="63"/>
        <v>1.65937934906732</v>
      </c>
      <c r="AH345">
        <v>27.289</v>
      </c>
      <c r="AI345" s="10">
        <f t="shared" si="64"/>
        <v>1.20946300707245</v>
      </c>
      <c r="AJ345">
        <f t="shared" si="65"/>
        <v>1.77287640084457</v>
      </c>
    </row>
    <row r="346" spans="1:36">
      <c r="A346" s="1" t="s">
        <v>367</v>
      </c>
      <c r="B346" s="1">
        <v>33294908</v>
      </c>
      <c r="C346" s="2">
        <v>0.00487409</v>
      </c>
      <c r="E346">
        <v>7.273109</v>
      </c>
      <c r="F346">
        <v>4577.809615</v>
      </c>
      <c r="G346" s="3">
        <f t="shared" si="55"/>
        <v>4.577809615</v>
      </c>
      <c r="I346" t="s">
        <v>367</v>
      </c>
      <c r="J346">
        <v>5.13843</v>
      </c>
      <c r="K346" s="5">
        <f t="shared" si="56"/>
        <v>6.47958773399657</v>
      </c>
      <c r="L346">
        <f t="shared" si="57"/>
        <v>1.41543407850887</v>
      </c>
      <c r="O346">
        <v>0.0053824</v>
      </c>
      <c r="P346" s="6">
        <f t="shared" si="58"/>
        <v>6.18588510701546</v>
      </c>
      <c r="Q346" s="4">
        <f t="shared" si="59"/>
        <v>1.04747948303276</v>
      </c>
      <c r="T346">
        <v>20.022</v>
      </c>
      <c r="U346" s="7">
        <f t="shared" si="60"/>
        <v>1.66291619218859</v>
      </c>
      <c r="V346">
        <f t="shared" si="61"/>
        <v>3.89652092176015</v>
      </c>
      <c r="Y346">
        <v>0.01948122</v>
      </c>
      <c r="Z346" s="8">
        <v>1.02544629135136</v>
      </c>
      <c r="AA346">
        <f t="shared" si="62"/>
        <v>6.31879776507612</v>
      </c>
      <c r="AD346" s="9">
        <v>2.329542</v>
      </c>
      <c r="AE346">
        <f t="shared" si="63"/>
        <v>2.7814856886017</v>
      </c>
      <c r="AH346">
        <v>10.5148</v>
      </c>
      <c r="AI346" s="10">
        <f t="shared" si="64"/>
        <v>3.16648038954616</v>
      </c>
      <c r="AJ346">
        <f t="shared" si="65"/>
        <v>2.04630597283606</v>
      </c>
    </row>
    <row r="347" spans="1:36">
      <c r="A347" s="1" t="s">
        <v>366</v>
      </c>
      <c r="B347" s="1">
        <v>33294908</v>
      </c>
      <c r="C347" s="2">
        <v>0.00499806</v>
      </c>
      <c r="E347">
        <v>7.193502</v>
      </c>
      <c r="F347">
        <v>4628.470022</v>
      </c>
      <c r="G347" s="3">
        <f t="shared" si="55"/>
        <v>4.628470022</v>
      </c>
      <c r="I347" t="s">
        <v>366</v>
      </c>
      <c r="J347">
        <v>4.78688</v>
      </c>
      <c r="K347" s="5">
        <f t="shared" si="56"/>
        <v>6.9554507320008</v>
      </c>
      <c r="L347">
        <f t="shared" si="57"/>
        <v>1.50275376073308</v>
      </c>
      <c r="O347">
        <v>0.005368</v>
      </c>
      <c r="P347" s="6">
        <f t="shared" si="58"/>
        <v>6.20247913561848</v>
      </c>
      <c r="Q347" s="4">
        <f t="shared" si="59"/>
        <v>1.12139848920382</v>
      </c>
      <c r="T347">
        <v>19.402</v>
      </c>
      <c r="U347" s="7">
        <f t="shared" si="60"/>
        <v>1.71605545820019</v>
      </c>
      <c r="V347">
        <f t="shared" si="61"/>
        <v>4.05316197606792</v>
      </c>
      <c r="Y347">
        <v>0.02067462</v>
      </c>
      <c r="Z347" s="8">
        <v>0.966254509151801</v>
      </c>
      <c r="AA347">
        <f t="shared" si="62"/>
        <v>7.19836302560331</v>
      </c>
      <c r="AD347" s="9">
        <v>2.358852</v>
      </c>
      <c r="AE347">
        <f t="shared" si="63"/>
        <v>2.94865923423801</v>
      </c>
      <c r="AH347">
        <v>10.712</v>
      </c>
      <c r="AI347" s="10">
        <f t="shared" si="64"/>
        <v>3.10818782673637</v>
      </c>
      <c r="AJ347">
        <f t="shared" si="65"/>
        <v>2.23778327428304</v>
      </c>
    </row>
    <row r="348" spans="1:36">
      <c r="A348" s="1" t="s">
        <v>368</v>
      </c>
      <c r="B348" s="1">
        <v>33425162</v>
      </c>
      <c r="C348" s="2">
        <v>0.26925</v>
      </c>
      <c r="E348">
        <v>3.633369</v>
      </c>
      <c r="F348">
        <v>9199.496584</v>
      </c>
      <c r="G348" s="3">
        <f t="shared" si="55"/>
        <v>9.199496584</v>
      </c>
      <c r="I348" t="s">
        <v>368</v>
      </c>
      <c r="J348">
        <v>2.5871</v>
      </c>
      <c r="K348" s="5">
        <f t="shared" si="56"/>
        <v>12.9199342893587</v>
      </c>
      <c r="L348">
        <f t="shared" si="57"/>
        <v>1.40441753213208</v>
      </c>
      <c r="O348">
        <v>0.0052512</v>
      </c>
      <c r="P348" s="6">
        <f t="shared" si="58"/>
        <v>6.36524261121268</v>
      </c>
      <c r="Q348" s="4">
        <f t="shared" si="59"/>
        <v>2.02976305515829</v>
      </c>
      <c r="T348">
        <v>40.038</v>
      </c>
      <c r="U348" s="7">
        <f t="shared" si="60"/>
        <v>0.83483595584195</v>
      </c>
      <c r="V348">
        <f t="shared" si="61"/>
        <v>15.4760156159406</v>
      </c>
      <c r="Y348">
        <v>0.015788268</v>
      </c>
      <c r="Z348" s="8">
        <v>1.27025315253073</v>
      </c>
      <c r="AA348">
        <f t="shared" si="62"/>
        <v>10.1711491631556</v>
      </c>
      <c r="AD348" s="9">
        <v>2.482401</v>
      </c>
      <c r="AE348">
        <f t="shared" si="63"/>
        <v>5.20461210310451</v>
      </c>
      <c r="AH348">
        <v>6.5995</v>
      </c>
      <c r="AI348" s="10">
        <f t="shared" si="64"/>
        <v>5.06480218198348</v>
      </c>
      <c r="AJ348">
        <f t="shared" si="65"/>
        <v>2.55092574697538</v>
      </c>
    </row>
    <row r="349" spans="1:36">
      <c r="A349" s="1" t="s">
        <v>369</v>
      </c>
      <c r="B349" s="1">
        <v>33527500</v>
      </c>
      <c r="C349" s="2">
        <v>0.0314886</v>
      </c>
      <c r="E349">
        <v>20.55131</v>
      </c>
      <c r="F349">
        <v>1631.404544</v>
      </c>
      <c r="G349" s="3">
        <f t="shared" si="55"/>
        <v>1.631404544</v>
      </c>
      <c r="I349" t="s">
        <v>369</v>
      </c>
      <c r="J349">
        <v>22.9835</v>
      </c>
      <c r="K349" s="5">
        <f t="shared" si="56"/>
        <v>1.45876389583832</v>
      </c>
      <c r="L349">
        <f t="shared" si="57"/>
        <v>0.894176678128904</v>
      </c>
      <c r="O349">
        <v>0.0338736</v>
      </c>
      <c r="P349" s="6">
        <f t="shared" si="58"/>
        <v>0.989782603561476</v>
      </c>
      <c r="Q349" s="4">
        <f t="shared" si="59"/>
        <v>1.47382252485479</v>
      </c>
      <c r="T349">
        <v>589.948</v>
      </c>
      <c r="U349" s="7">
        <f t="shared" si="60"/>
        <v>0.0568312800450209</v>
      </c>
      <c r="V349">
        <f t="shared" si="61"/>
        <v>25.6683272782648</v>
      </c>
      <c r="Y349">
        <v>0.06079158</v>
      </c>
      <c r="Z349" s="8">
        <v>0.330909313427945</v>
      </c>
      <c r="AA349">
        <f t="shared" si="62"/>
        <v>4.40834946809668</v>
      </c>
      <c r="AD349" s="9">
        <v>1.22874</v>
      </c>
      <c r="AE349">
        <f t="shared" si="63"/>
        <v>1.1872030664244</v>
      </c>
      <c r="AH349">
        <v>41.3312</v>
      </c>
      <c r="AI349" s="10">
        <f t="shared" si="64"/>
        <v>0.811191061474141</v>
      </c>
      <c r="AJ349">
        <f t="shared" si="65"/>
        <v>1.79829877955925</v>
      </c>
    </row>
    <row r="350" spans="1:36">
      <c r="A350" s="1" t="s">
        <v>374</v>
      </c>
      <c r="B350" s="1">
        <v>33640560</v>
      </c>
      <c r="C350" s="2">
        <v>1</v>
      </c>
      <c r="E350">
        <v>2.247827</v>
      </c>
      <c r="F350">
        <v>14965.815436</v>
      </c>
      <c r="G350" s="3">
        <f t="shared" si="55"/>
        <v>14.965815436</v>
      </c>
      <c r="I350" t="s">
        <v>374</v>
      </c>
      <c r="J350">
        <v>0.899909</v>
      </c>
      <c r="K350" s="5">
        <f t="shared" si="56"/>
        <v>37.3821797537307</v>
      </c>
      <c r="L350">
        <f t="shared" si="57"/>
        <v>2.49783781669581</v>
      </c>
      <c r="O350">
        <v>0.0026784</v>
      </c>
      <c r="P350" s="6">
        <f t="shared" si="58"/>
        <v>12.5599462365591</v>
      </c>
      <c r="Q350" s="4">
        <f t="shared" si="59"/>
        <v>2.97630093709475</v>
      </c>
      <c r="T350">
        <v>9.413</v>
      </c>
      <c r="U350" s="7">
        <f t="shared" si="60"/>
        <v>3.57384043344311</v>
      </c>
      <c r="V350">
        <f t="shared" si="61"/>
        <v>10.4599465057022</v>
      </c>
      <c r="Y350">
        <v>0.004113396</v>
      </c>
      <c r="Z350" s="8">
        <v>4.90697613358889</v>
      </c>
      <c r="AA350">
        <f t="shared" si="62"/>
        <v>7.61817028166181</v>
      </c>
      <c r="AD350" s="9">
        <v>3.46509</v>
      </c>
      <c r="AE350">
        <f t="shared" si="63"/>
        <v>10.7882276517293</v>
      </c>
      <c r="AH350">
        <v>2.4473</v>
      </c>
      <c r="AI350" s="10">
        <f t="shared" si="64"/>
        <v>13.7459894577698</v>
      </c>
      <c r="AJ350">
        <f t="shared" si="65"/>
        <v>2.71949719360513</v>
      </c>
    </row>
    <row r="351" spans="1:36">
      <c r="A351" s="1" t="s">
        <v>371</v>
      </c>
      <c r="B351" s="1">
        <v>33640560</v>
      </c>
      <c r="C351" s="2">
        <v>1</v>
      </c>
      <c r="E351">
        <v>2.248866</v>
      </c>
      <c r="F351">
        <v>14958.902418</v>
      </c>
      <c r="G351" s="3">
        <f t="shared" si="55"/>
        <v>14.958902418</v>
      </c>
      <c r="I351" t="s">
        <v>371</v>
      </c>
      <c r="J351">
        <v>0.943149</v>
      </c>
      <c r="K351" s="5">
        <f t="shared" si="56"/>
        <v>35.6683408454019</v>
      </c>
      <c r="L351">
        <f t="shared" si="57"/>
        <v>2.3844223224882</v>
      </c>
      <c r="O351">
        <v>0.0026432</v>
      </c>
      <c r="P351" s="6">
        <f t="shared" si="58"/>
        <v>12.7272094430993</v>
      </c>
      <c r="Q351" s="4">
        <f t="shared" si="59"/>
        <v>2.80252643007627</v>
      </c>
      <c r="T351">
        <v>9.602</v>
      </c>
      <c r="U351" s="7">
        <f t="shared" si="60"/>
        <v>3.50349510518642</v>
      </c>
      <c r="V351">
        <f t="shared" si="61"/>
        <v>10.1807879772973</v>
      </c>
      <c r="Y351">
        <v>0.004153014</v>
      </c>
      <c r="Z351" s="8">
        <v>4.86016565318586</v>
      </c>
      <c r="AA351">
        <f t="shared" si="62"/>
        <v>7.33891463596949</v>
      </c>
      <c r="AD351" s="9">
        <v>3.50112</v>
      </c>
      <c r="AE351">
        <f t="shared" si="63"/>
        <v>10.1876944650289</v>
      </c>
      <c r="AH351">
        <v>2.3467</v>
      </c>
      <c r="AI351" s="10">
        <f t="shared" si="64"/>
        <v>14.3352622832062</v>
      </c>
      <c r="AJ351">
        <f t="shared" si="65"/>
        <v>2.4881540456492</v>
      </c>
    </row>
    <row r="352" spans="1:36">
      <c r="A352" s="1" t="s">
        <v>372</v>
      </c>
      <c r="B352" s="1">
        <v>33640560</v>
      </c>
      <c r="C352" s="2">
        <v>1</v>
      </c>
      <c r="E352">
        <v>2.332738</v>
      </c>
      <c r="F352">
        <v>14421.064044</v>
      </c>
      <c r="G352" s="3">
        <f t="shared" si="55"/>
        <v>14.421064044</v>
      </c>
      <c r="I352" t="s">
        <v>372</v>
      </c>
      <c r="J352">
        <v>0.934116</v>
      </c>
      <c r="K352" s="5">
        <f t="shared" si="56"/>
        <v>36.0132574541063</v>
      </c>
      <c r="L352">
        <f t="shared" si="57"/>
        <v>2.49726770120614</v>
      </c>
      <c r="O352">
        <v>0.0026176</v>
      </c>
      <c r="P352" s="6">
        <f t="shared" si="58"/>
        <v>12.8516809290954</v>
      </c>
      <c r="Q352" s="4">
        <f t="shared" si="59"/>
        <v>2.80222156562996</v>
      </c>
      <c r="T352">
        <v>9.359</v>
      </c>
      <c r="U352" s="7">
        <f t="shared" si="60"/>
        <v>3.59446094668234</v>
      </c>
      <c r="V352">
        <f t="shared" si="61"/>
        <v>10.0190982704504</v>
      </c>
      <c r="Y352">
        <v>0.00419733</v>
      </c>
      <c r="Z352" s="8">
        <v>4.80885134120977</v>
      </c>
      <c r="AA352">
        <f t="shared" si="62"/>
        <v>7.48895212157805</v>
      </c>
      <c r="AD352" s="9">
        <v>3.54753</v>
      </c>
      <c r="AE352">
        <f t="shared" si="63"/>
        <v>10.1516428202457</v>
      </c>
      <c r="AH352">
        <v>5.1181</v>
      </c>
      <c r="AI352" s="10">
        <f t="shared" si="64"/>
        <v>6.57286102264512</v>
      </c>
      <c r="AJ352">
        <f t="shared" si="65"/>
        <v>5.47908396815813</v>
      </c>
    </row>
    <row r="353" spans="1:36">
      <c r="A353" s="1" t="s">
        <v>370</v>
      </c>
      <c r="B353" s="1">
        <v>33640560</v>
      </c>
      <c r="C353" s="2">
        <v>1</v>
      </c>
      <c r="E353">
        <v>2.247267</v>
      </c>
      <c r="F353">
        <v>14969.545751</v>
      </c>
      <c r="G353" s="3">
        <f t="shared" si="55"/>
        <v>14.969545751</v>
      </c>
      <c r="I353" t="s">
        <v>370</v>
      </c>
      <c r="J353">
        <v>1.73694</v>
      </c>
      <c r="K353" s="5">
        <f t="shared" si="56"/>
        <v>19.3677156378459</v>
      </c>
      <c r="L353">
        <f t="shared" si="57"/>
        <v>1.29380783892872</v>
      </c>
      <c r="O353">
        <v>0.0026272</v>
      </c>
      <c r="P353" s="6">
        <f t="shared" si="58"/>
        <v>12.8047198538368</v>
      </c>
      <c r="Q353" s="4">
        <f t="shared" si="59"/>
        <v>1.51254505049109</v>
      </c>
      <c r="T353">
        <v>9.657</v>
      </c>
      <c r="U353" s="7">
        <f t="shared" si="60"/>
        <v>3.48354147250699</v>
      </c>
      <c r="V353">
        <f t="shared" si="61"/>
        <v>5.55977753981139</v>
      </c>
      <c r="Y353">
        <v>0.004230252</v>
      </c>
      <c r="Z353" s="8">
        <v>4.77142638310909</v>
      </c>
      <c r="AA353">
        <f t="shared" si="62"/>
        <v>4.05910394141421</v>
      </c>
      <c r="AD353" s="9">
        <v>3.53319</v>
      </c>
      <c r="AE353">
        <f t="shared" si="63"/>
        <v>5.48165132298174</v>
      </c>
      <c r="AH353">
        <v>5.8214</v>
      </c>
      <c r="AI353" s="10">
        <f t="shared" si="64"/>
        <v>5.77877486515271</v>
      </c>
      <c r="AJ353">
        <f t="shared" si="65"/>
        <v>3.35152624730848</v>
      </c>
    </row>
    <row r="354" spans="1:36">
      <c r="A354" s="1" t="s">
        <v>373</v>
      </c>
      <c r="B354" s="1">
        <v>33640560</v>
      </c>
      <c r="C354" s="2">
        <v>1</v>
      </c>
      <c r="E354">
        <v>2.220739</v>
      </c>
      <c r="F354">
        <v>15148.365916</v>
      </c>
      <c r="G354" s="3">
        <f t="shared" si="55"/>
        <v>15.148365916</v>
      </c>
      <c r="I354" t="s">
        <v>373</v>
      </c>
      <c r="J354">
        <v>0.950493</v>
      </c>
      <c r="K354" s="5">
        <f t="shared" si="56"/>
        <v>35.3927488156146</v>
      </c>
      <c r="L354">
        <f t="shared" si="57"/>
        <v>2.33640704296904</v>
      </c>
      <c r="O354">
        <v>0.0026208</v>
      </c>
      <c r="P354" s="6">
        <f t="shared" si="58"/>
        <v>12.835989010989</v>
      </c>
      <c r="Q354" s="4">
        <f t="shared" si="59"/>
        <v>2.75730594544094</v>
      </c>
      <c r="T354">
        <v>9.402</v>
      </c>
      <c r="U354" s="7">
        <f t="shared" si="60"/>
        <v>3.57802169751117</v>
      </c>
      <c r="V354">
        <f t="shared" si="61"/>
        <v>9.89170882899716</v>
      </c>
      <c r="Y354">
        <v>0.004260438</v>
      </c>
      <c r="Z354" s="8">
        <v>4.73761993485177</v>
      </c>
      <c r="AA354">
        <f t="shared" si="62"/>
        <v>7.47057579592906</v>
      </c>
      <c r="AD354" s="9">
        <v>3.45279</v>
      </c>
      <c r="AE354">
        <f t="shared" si="63"/>
        <v>10.250478255444</v>
      </c>
      <c r="AH354">
        <v>2.3786</v>
      </c>
      <c r="AI354" s="10">
        <f t="shared" si="64"/>
        <v>14.1430084923905</v>
      </c>
      <c r="AJ354">
        <f t="shared" si="65"/>
        <v>2.50249081266248</v>
      </c>
    </row>
    <row r="355" spans="1:36">
      <c r="A355" s="1" t="s">
        <v>375</v>
      </c>
      <c r="B355" s="1">
        <v>33641008</v>
      </c>
      <c r="C355" s="2">
        <v>1</v>
      </c>
      <c r="E355">
        <v>2.769894</v>
      </c>
      <c r="F355">
        <v>12145.235183</v>
      </c>
      <c r="G355" s="3">
        <f t="shared" si="55"/>
        <v>12.145235183</v>
      </c>
      <c r="I355" t="s">
        <v>375</v>
      </c>
      <c r="J355">
        <v>0.897076</v>
      </c>
      <c r="K355" s="5">
        <f t="shared" si="56"/>
        <v>37.5007334941521</v>
      </c>
      <c r="L355">
        <f t="shared" si="57"/>
        <v>3.08769101043369</v>
      </c>
      <c r="O355">
        <v>0.0026352</v>
      </c>
      <c r="P355" s="6">
        <f t="shared" si="58"/>
        <v>12.7660170006072</v>
      </c>
      <c r="Q355" s="4">
        <f t="shared" si="59"/>
        <v>2.93754375326059</v>
      </c>
      <c r="T355">
        <v>10.839</v>
      </c>
      <c r="U355" s="7">
        <f t="shared" si="60"/>
        <v>3.1037003413599</v>
      </c>
      <c r="V355">
        <f t="shared" si="61"/>
        <v>12.0825883202761</v>
      </c>
      <c r="Y355">
        <v>0.004096188</v>
      </c>
      <c r="Z355" s="8">
        <v>4.92765585954551</v>
      </c>
      <c r="AA355">
        <f t="shared" si="62"/>
        <v>7.61025821669513</v>
      </c>
      <c r="AD355" s="9">
        <v>3.50883</v>
      </c>
      <c r="AE355">
        <f t="shared" si="63"/>
        <v>10.687532167176</v>
      </c>
      <c r="AH355">
        <v>3.0368</v>
      </c>
      <c r="AI355" s="10">
        <f t="shared" si="64"/>
        <v>11.0777818756586</v>
      </c>
      <c r="AJ355">
        <f t="shared" si="65"/>
        <v>3.38522042725477</v>
      </c>
    </row>
    <row r="356" spans="1:36">
      <c r="A356" s="1" t="s">
        <v>376</v>
      </c>
      <c r="B356" s="1">
        <v>33641596</v>
      </c>
      <c r="C356" s="2">
        <v>1</v>
      </c>
      <c r="E356">
        <v>2.266761</v>
      </c>
      <c r="F356">
        <v>14841.263788</v>
      </c>
      <c r="G356" s="3">
        <f t="shared" si="55"/>
        <v>14.841263788</v>
      </c>
      <c r="I356" t="s">
        <v>376</v>
      </c>
      <c r="J356">
        <v>0.888798</v>
      </c>
      <c r="K356" s="5">
        <f t="shared" si="56"/>
        <v>37.850665730571</v>
      </c>
      <c r="L356">
        <f t="shared" si="57"/>
        <v>2.55036675253864</v>
      </c>
      <c r="O356">
        <v>0.002624</v>
      </c>
      <c r="P356" s="6">
        <f t="shared" si="58"/>
        <v>12.8207301829268</v>
      </c>
      <c r="Q356" s="4">
        <f t="shared" si="59"/>
        <v>2.9523018728665</v>
      </c>
      <c r="T356">
        <v>9.433</v>
      </c>
      <c r="U356" s="7">
        <f t="shared" si="60"/>
        <v>3.5663729460405</v>
      </c>
      <c r="V356">
        <f t="shared" si="61"/>
        <v>10.613210200743</v>
      </c>
      <c r="Y356">
        <v>0.004127616</v>
      </c>
      <c r="Z356" s="8">
        <v>4.89022176481533</v>
      </c>
      <c r="AA356">
        <f t="shared" si="62"/>
        <v>7.74007142230293</v>
      </c>
      <c r="AD356" s="9">
        <v>3.53241</v>
      </c>
      <c r="AE356">
        <f t="shared" si="63"/>
        <v>10.7152526831741</v>
      </c>
      <c r="AH356">
        <v>4.9961</v>
      </c>
      <c r="AI356" s="10">
        <f t="shared" si="64"/>
        <v>6.73357138568083</v>
      </c>
      <c r="AJ356">
        <f t="shared" si="65"/>
        <v>5.62118726639799</v>
      </c>
    </row>
    <row r="357" spans="1:36">
      <c r="A357" s="1" t="s">
        <v>377</v>
      </c>
      <c r="B357" s="1">
        <v>33771140</v>
      </c>
      <c r="C357" s="2">
        <v>1</v>
      </c>
      <c r="E357">
        <v>2.242987</v>
      </c>
      <c r="F357">
        <v>15056.323681</v>
      </c>
      <c r="G357" s="3">
        <f t="shared" si="55"/>
        <v>15.056323681</v>
      </c>
      <c r="I357" t="s">
        <v>377</v>
      </c>
      <c r="J357">
        <v>0.911269</v>
      </c>
      <c r="K357" s="5">
        <f t="shared" si="56"/>
        <v>37.0594632320423</v>
      </c>
      <c r="L357">
        <f t="shared" si="57"/>
        <v>2.46138858443969</v>
      </c>
      <c r="O357">
        <v>0.0026336</v>
      </c>
      <c r="P357" s="6">
        <f t="shared" si="58"/>
        <v>12.8231849939247</v>
      </c>
      <c r="Q357" s="4">
        <f t="shared" si="59"/>
        <v>2.89003576331467</v>
      </c>
      <c r="T357">
        <v>9.46</v>
      </c>
      <c r="U357" s="7">
        <f t="shared" si="60"/>
        <v>3.56988794926004</v>
      </c>
      <c r="V357">
        <f t="shared" si="61"/>
        <v>10.3811278557704</v>
      </c>
      <c r="Y357">
        <v>0.004079502</v>
      </c>
      <c r="Z357" s="8">
        <v>4.9669503777667</v>
      </c>
      <c r="AA357">
        <f t="shared" si="62"/>
        <v>7.46121068531904</v>
      </c>
      <c r="AD357" s="9">
        <v>3.55692</v>
      </c>
      <c r="AE357">
        <f t="shared" si="63"/>
        <v>10.4189757520671</v>
      </c>
      <c r="AH357">
        <v>5.0397</v>
      </c>
      <c r="AI357" s="10">
        <f t="shared" si="64"/>
        <v>6.70102188622339</v>
      </c>
      <c r="AJ357">
        <f t="shared" si="65"/>
        <v>5.53041966751859</v>
      </c>
    </row>
    <row r="358" spans="1:36">
      <c r="A358" s="1" t="s">
        <v>378</v>
      </c>
      <c r="B358" s="1">
        <v>34857344</v>
      </c>
      <c r="C358" s="2">
        <v>1</v>
      </c>
      <c r="E358">
        <v>2.314469</v>
      </c>
      <c r="F358">
        <v>15060.619306</v>
      </c>
      <c r="G358" s="3">
        <f t="shared" si="55"/>
        <v>15.060619306</v>
      </c>
      <c r="I358" t="s">
        <v>378</v>
      </c>
      <c r="J358">
        <v>0.985956</v>
      </c>
      <c r="K358" s="5">
        <f t="shared" si="56"/>
        <v>35.3538535188183</v>
      </c>
      <c r="L358">
        <f t="shared" si="57"/>
        <v>2.34743690153124</v>
      </c>
      <c r="O358">
        <v>0.0027072</v>
      </c>
      <c r="P358" s="6">
        <f t="shared" si="58"/>
        <v>12.8757919621749</v>
      </c>
      <c r="Q358" s="4">
        <f t="shared" si="59"/>
        <v>2.74576147414286</v>
      </c>
      <c r="T358">
        <v>9.659</v>
      </c>
      <c r="U358" s="7">
        <f t="shared" si="60"/>
        <v>3.60879428512268</v>
      </c>
      <c r="V358">
        <f t="shared" si="61"/>
        <v>9.79658321466678</v>
      </c>
      <c r="Y358">
        <v>0.004491792</v>
      </c>
      <c r="Z358" s="8">
        <v>4.65613866358905</v>
      </c>
      <c r="AA358">
        <f t="shared" si="62"/>
        <v>7.59295546657255</v>
      </c>
      <c r="AD358" s="9">
        <v>3.47037</v>
      </c>
      <c r="AE358">
        <f t="shared" si="63"/>
        <v>10.1873441502832</v>
      </c>
      <c r="AH358">
        <v>3.509</v>
      </c>
      <c r="AI358" s="10">
        <f t="shared" si="64"/>
        <v>9.93369734967227</v>
      </c>
      <c r="AJ358">
        <f t="shared" si="65"/>
        <v>3.55898234809667</v>
      </c>
    </row>
    <row r="359" spans="1:36">
      <c r="A359" s="1" t="s">
        <v>379</v>
      </c>
      <c r="B359" s="1">
        <v>35346376</v>
      </c>
      <c r="C359" s="2">
        <v>0</v>
      </c>
      <c r="E359">
        <v>9.971509</v>
      </c>
      <c r="F359">
        <v>3544.736988</v>
      </c>
      <c r="G359" s="3">
        <f t="shared" si="55"/>
        <v>3.544736988</v>
      </c>
      <c r="I359" t="s">
        <v>379</v>
      </c>
      <c r="J359">
        <v>7.83249</v>
      </c>
      <c r="K359" s="5">
        <f t="shared" si="56"/>
        <v>4.51278916411001</v>
      </c>
      <c r="L359">
        <f t="shared" si="57"/>
        <v>1.27309562864245</v>
      </c>
      <c r="O359">
        <v>0.016816</v>
      </c>
      <c r="P359" s="6">
        <f t="shared" si="58"/>
        <v>2.10194909609895</v>
      </c>
      <c r="Q359" s="4">
        <f t="shared" si="59"/>
        <v>2.14695454446798</v>
      </c>
      <c r="T359">
        <v>45.065</v>
      </c>
      <c r="U359" s="7">
        <f t="shared" si="60"/>
        <v>0.78434208365694</v>
      </c>
      <c r="V359">
        <f t="shared" si="61"/>
        <v>5.7535981533331</v>
      </c>
      <c r="Y359">
        <v>0.011144484</v>
      </c>
      <c r="Z359" s="8">
        <v>1.9029885636697</v>
      </c>
      <c r="AA359">
        <f t="shared" si="62"/>
        <v>2.37142211480641</v>
      </c>
      <c r="AD359" s="9">
        <v>1.385682</v>
      </c>
      <c r="AE359">
        <f t="shared" si="63"/>
        <v>3.25672785250152</v>
      </c>
      <c r="AH359">
        <v>17.9619</v>
      </c>
      <c r="AI359" s="10">
        <f t="shared" si="64"/>
        <v>1.96785284407552</v>
      </c>
      <c r="AJ359">
        <f t="shared" si="65"/>
        <v>2.29325540153897</v>
      </c>
    </row>
    <row r="360" spans="1:36">
      <c r="A360" s="1" t="s">
        <v>380</v>
      </c>
      <c r="B360" s="1">
        <v>35555734</v>
      </c>
      <c r="C360" s="2">
        <v>0</v>
      </c>
      <c r="E360">
        <v>11.429075</v>
      </c>
      <c r="F360">
        <v>3110.989675</v>
      </c>
      <c r="G360" s="3">
        <f t="shared" si="55"/>
        <v>3.110989675</v>
      </c>
      <c r="I360" t="s">
        <v>380</v>
      </c>
      <c r="J360">
        <v>4.55039</v>
      </c>
      <c r="K360" s="5">
        <f t="shared" si="56"/>
        <v>7.81377728062869</v>
      </c>
      <c r="L360">
        <f t="shared" si="57"/>
        <v>2.51166930685127</v>
      </c>
      <c r="O360">
        <v>0.0051136</v>
      </c>
      <c r="P360" s="6">
        <f t="shared" si="58"/>
        <v>6.95317076032541</v>
      </c>
      <c r="Q360" s="4">
        <f t="shared" si="59"/>
        <v>1.12377180857025</v>
      </c>
      <c r="T360">
        <v>7.432</v>
      </c>
      <c r="U360" s="7">
        <f t="shared" si="60"/>
        <v>4.78414074273412</v>
      </c>
      <c r="V360">
        <f t="shared" si="61"/>
        <v>1.63326659912667</v>
      </c>
      <c r="Y360">
        <v>0.013311522</v>
      </c>
      <c r="Z360" s="8">
        <v>1.6026296917813</v>
      </c>
      <c r="AA360">
        <f t="shared" si="62"/>
        <v>4.87559747626028</v>
      </c>
      <c r="AD360" s="9">
        <v>1.47933</v>
      </c>
      <c r="AE360">
        <f t="shared" si="63"/>
        <v>5.2819704059464</v>
      </c>
      <c r="AH360">
        <v>10.1165</v>
      </c>
      <c r="AI360" s="10">
        <f t="shared" si="64"/>
        <v>3.51462798398656</v>
      </c>
      <c r="AJ360">
        <f t="shared" si="65"/>
        <v>2.22321603203242</v>
      </c>
    </row>
    <row r="361" spans="1:36">
      <c r="A361" s="1" t="s">
        <v>381</v>
      </c>
      <c r="B361" s="1">
        <v>35562618</v>
      </c>
      <c r="C361" s="2">
        <v>0.0105084</v>
      </c>
      <c r="E361">
        <v>5.183106</v>
      </c>
      <c r="F361">
        <v>6861.255815</v>
      </c>
      <c r="G361" s="3">
        <f t="shared" si="55"/>
        <v>6.861255815</v>
      </c>
      <c r="I361" t="s">
        <v>381</v>
      </c>
      <c r="J361">
        <v>5.60409</v>
      </c>
      <c r="K361" s="5">
        <f t="shared" si="56"/>
        <v>6.34583277570489</v>
      </c>
      <c r="L361">
        <f t="shared" si="57"/>
        <v>0.924879198037143</v>
      </c>
      <c r="O361">
        <v>0.0044384</v>
      </c>
      <c r="P361" s="6">
        <f t="shared" si="58"/>
        <v>8.01248603100216</v>
      </c>
      <c r="Q361" s="4">
        <f t="shared" si="59"/>
        <v>0.791992990833481</v>
      </c>
      <c r="T361">
        <v>62.045</v>
      </c>
      <c r="U361" s="7">
        <f t="shared" si="60"/>
        <v>0.573174599081312</v>
      </c>
      <c r="V361">
        <f t="shared" si="61"/>
        <v>11.071378225546</v>
      </c>
      <c r="Y361">
        <v>0.0014786136</v>
      </c>
      <c r="Z361" s="8">
        <v>14.4307957129571</v>
      </c>
      <c r="AA361">
        <f t="shared" si="62"/>
        <v>0.439742402423943</v>
      </c>
      <c r="AD361" s="9">
        <v>2.7324</v>
      </c>
      <c r="AE361">
        <f t="shared" si="63"/>
        <v>2.32243916546073</v>
      </c>
      <c r="AH361">
        <v>5.0896</v>
      </c>
      <c r="AI361" s="10">
        <f t="shared" si="64"/>
        <v>6.98731098711097</v>
      </c>
      <c r="AJ361">
        <f t="shared" si="65"/>
        <v>0.90819383700119</v>
      </c>
    </row>
    <row r="362" spans="1:36">
      <c r="A362" s="1" t="s">
        <v>382</v>
      </c>
      <c r="B362" s="1">
        <v>36031146</v>
      </c>
      <c r="C362" s="2">
        <v>0</v>
      </c>
      <c r="E362">
        <v>6.324377</v>
      </c>
      <c r="F362">
        <v>5697.184989</v>
      </c>
      <c r="G362" s="3">
        <f t="shared" si="55"/>
        <v>5.697184989</v>
      </c>
      <c r="I362" t="s">
        <v>382</v>
      </c>
      <c r="J362">
        <v>5.84696</v>
      </c>
      <c r="K362" s="5">
        <f t="shared" si="56"/>
        <v>6.16237258335956</v>
      </c>
      <c r="L362">
        <f t="shared" si="57"/>
        <v>1.08165218353586</v>
      </c>
      <c r="O362">
        <v>0.003304</v>
      </c>
      <c r="P362" s="6">
        <f t="shared" si="58"/>
        <v>10.9053105326877</v>
      </c>
      <c r="Q362" s="4">
        <f t="shared" si="59"/>
        <v>0.565079973182645</v>
      </c>
      <c r="T362">
        <v>75.881</v>
      </c>
      <c r="U362" s="7">
        <f t="shared" si="60"/>
        <v>0.474837521909305</v>
      </c>
      <c r="V362">
        <f t="shared" si="61"/>
        <v>12.9778551589202</v>
      </c>
      <c r="Y362">
        <v>0.01057257</v>
      </c>
      <c r="Z362" s="8">
        <v>2.04479020711142</v>
      </c>
      <c r="AA362">
        <f t="shared" si="62"/>
        <v>3.01369429583921</v>
      </c>
      <c r="AD362" s="9">
        <v>3.08352</v>
      </c>
      <c r="AE362">
        <f t="shared" si="63"/>
        <v>1.99848633488985</v>
      </c>
      <c r="AH362">
        <v>4.0621</v>
      </c>
      <c r="AI362" s="10">
        <f t="shared" si="64"/>
        <v>8.87007853080919</v>
      </c>
      <c r="AJ362">
        <f t="shared" si="65"/>
        <v>0.69473709414807</v>
      </c>
    </row>
    <row r="363" spans="1:36">
      <c r="A363" s="1" t="s">
        <v>383</v>
      </c>
      <c r="B363" s="1">
        <v>36031146</v>
      </c>
      <c r="C363" s="2">
        <v>0</v>
      </c>
      <c r="E363">
        <v>6.308577</v>
      </c>
      <c r="F363">
        <v>5711.453808</v>
      </c>
      <c r="G363" s="3">
        <f t="shared" si="55"/>
        <v>5.711453808</v>
      </c>
      <c r="I363" t="s">
        <v>383</v>
      </c>
      <c r="J363">
        <v>5.95237</v>
      </c>
      <c r="K363" s="5">
        <f t="shared" si="56"/>
        <v>6.05324366596835</v>
      </c>
      <c r="L363">
        <f t="shared" si="57"/>
        <v>1.0598428822955</v>
      </c>
      <c r="O363">
        <v>0.003328</v>
      </c>
      <c r="P363" s="6">
        <f t="shared" si="58"/>
        <v>10.8266664663462</v>
      </c>
      <c r="Q363" s="4">
        <f t="shared" si="59"/>
        <v>0.559105028753253</v>
      </c>
      <c r="T363">
        <v>75.847</v>
      </c>
      <c r="U363" s="7">
        <f t="shared" si="60"/>
        <v>0.475050377734123</v>
      </c>
      <c r="V363">
        <f t="shared" si="61"/>
        <v>12.7423194458678</v>
      </c>
      <c r="Y363">
        <v>0.010666638</v>
      </c>
      <c r="Z363" s="8">
        <v>2.02675740941054</v>
      </c>
      <c r="AA363">
        <f t="shared" si="62"/>
        <v>2.98666413546201</v>
      </c>
      <c r="AD363" s="9">
        <v>3.1332</v>
      </c>
      <c r="AE363">
        <f t="shared" si="63"/>
        <v>1.93196848779789</v>
      </c>
      <c r="AH363">
        <v>4.5766</v>
      </c>
      <c r="AI363" s="10">
        <f t="shared" si="64"/>
        <v>7.8729069614998</v>
      </c>
      <c r="AJ363">
        <f t="shared" si="65"/>
        <v>0.768870214721195</v>
      </c>
    </row>
    <row r="364" spans="1:36">
      <c r="A364" s="1" t="s">
        <v>384</v>
      </c>
      <c r="B364" s="1">
        <v>36033704</v>
      </c>
      <c r="C364" s="2">
        <v>1</v>
      </c>
      <c r="E364">
        <v>2.331844</v>
      </c>
      <c r="F364">
        <v>15452.876759</v>
      </c>
      <c r="G364" s="3">
        <f t="shared" si="55"/>
        <v>15.452876759</v>
      </c>
      <c r="I364" t="s">
        <v>384</v>
      </c>
      <c r="J364">
        <v>0.99081</v>
      </c>
      <c r="K364" s="5">
        <f t="shared" si="56"/>
        <v>36.3679252328903</v>
      </c>
      <c r="L364">
        <f t="shared" si="57"/>
        <v>2.35347280639568</v>
      </c>
      <c r="O364">
        <v>0.0029776</v>
      </c>
      <c r="P364" s="6">
        <f t="shared" si="58"/>
        <v>12.1015932294465</v>
      </c>
      <c r="Q364" s="4">
        <f t="shared" si="59"/>
        <v>3.00521795298796</v>
      </c>
      <c r="T364">
        <v>9.941</v>
      </c>
      <c r="U364" s="7">
        <f t="shared" si="60"/>
        <v>3.62475646313248</v>
      </c>
      <c r="V364">
        <f t="shared" si="61"/>
        <v>10.0332051553779</v>
      </c>
      <c r="Y364">
        <v>0.004425228</v>
      </c>
      <c r="Z364" s="8">
        <v>4.88567422966681</v>
      </c>
      <c r="AA364">
        <f t="shared" si="62"/>
        <v>7.4437884155388</v>
      </c>
      <c r="AD364" s="9">
        <v>3.51543</v>
      </c>
      <c r="AE364">
        <f t="shared" si="63"/>
        <v>10.3452281037854</v>
      </c>
      <c r="AH364">
        <v>4.7283</v>
      </c>
      <c r="AI364" s="10">
        <f t="shared" si="64"/>
        <v>7.62085823657551</v>
      </c>
      <c r="AJ364">
        <f t="shared" si="65"/>
        <v>4.77215611469404</v>
      </c>
    </row>
    <row r="365" spans="1:36">
      <c r="A365" s="1" t="s">
        <v>385</v>
      </c>
      <c r="B365" s="1">
        <v>36962802</v>
      </c>
      <c r="C365" s="2">
        <v>0</v>
      </c>
      <c r="E365">
        <v>11.116592</v>
      </c>
      <c r="F365">
        <v>3325.011905</v>
      </c>
      <c r="G365" s="3">
        <f t="shared" si="55"/>
        <v>3.325011905</v>
      </c>
      <c r="I365" t="s">
        <v>385</v>
      </c>
      <c r="J365">
        <v>8.40927</v>
      </c>
      <c r="K365" s="5">
        <f t="shared" si="56"/>
        <v>4.3954828421492</v>
      </c>
      <c r="L365">
        <f t="shared" si="57"/>
        <v>1.32194499380272</v>
      </c>
      <c r="O365">
        <v>0.0151472</v>
      </c>
      <c r="P365" s="6">
        <f t="shared" si="58"/>
        <v>2.44023991232703</v>
      </c>
      <c r="Q365" s="4">
        <f t="shared" si="59"/>
        <v>1.80125028688578</v>
      </c>
      <c r="T365">
        <v>61.05</v>
      </c>
      <c r="U365" s="7">
        <f t="shared" si="60"/>
        <v>0.605451302211302</v>
      </c>
      <c r="V365">
        <f t="shared" si="61"/>
        <v>7.25984538491451</v>
      </c>
      <c r="Y365">
        <v>0.0102492</v>
      </c>
      <c r="Z365" s="8">
        <v>2.16384510010537</v>
      </c>
      <c r="AA365">
        <f t="shared" si="62"/>
        <v>2.03132971114021</v>
      </c>
      <c r="AD365" s="9">
        <v>1.653423</v>
      </c>
      <c r="AE365">
        <f t="shared" si="63"/>
        <v>2.6584139945732</v>
      </c>
      <c r="AH365">
        <v>11.2957</v>
      </c>
      <c r="AI365" s="10">
        <f t="shared" si="64"/>
        <v>3.27228963233797</v>
      </c>
      <c r="AJ365">
        <f t="shared" si="65"/>
        <v>1.34324382496935</v>
      </c>
    </row>
    <row r="366" spans="1:36">
      <c r="A366" s="1" t="s">
        <v>386</v>
      </c>
      <c r="B366" s="1">
        <v>37457212</v>
      </c>
      <c r="C366" s="2">
        <v>1</v>
      </c>
      <c r="E366">
        <v>2.888033</v>
      </c>
      <c r="F366">
        <v>12969.801687</v>
      </c>
      <c r="G366" s="3">
        <f t="shared" si="55"/>
        <v>12.969801687</v>
      </c>
      <c r="I366" t="s">
        <v>386</v>
      </c>
      <c r="J366">
        <v>1.0975</v>
      </c>
      <c r="K366" s="5">
        <f t="shared" si="56"/>
        <v>34.1295781321185</v>
      </c>
      <c r="L366">
        <f t="shared" si="57"/>
        <v>2.63146491795071</v>
      </c>
      <c r="O366">
        <v>0.0039488</v>
      </c>
      <c r="P366" s="6">
        <f t="shared" si="58"/>
        <v>9.48572021880065</v>
      </c>
      <c r="Q366" s="4">
        <f t="shared" si="59"/>
        <v>3.59799544419134</v>
      </c>
      <c r="T366">
        <v>15.222</v>
      </c>
      <c r="U366" s="7">
        <f t="shared" si="60"/>
        <v>2.46072868217054</v>
      </c>
      <c r="V366">
        <f t="shared" si="61"/>
        <v>13.8697038724374</v>
      </c>
      <c r="Y366">
        <v>0.005958918</v>
      </c>
      <c r="Z366" s="8">
        <v>3.77154496839862</v>
      </c>
      <c r="AA366">
        <f t="shared" si="62"/>
        <v>9.04923006833714</v>
      </c>
      <c r="AD366" s="9">
        <v>3.57282</v>
      </c>
      <c r="AE366">
        <f t="shared" si="63"/>
        <v>9.55256019953943</v>
      </c>
      <c r="AH366">
        <v>2.7044</v>
      </c>
      <c r="AI366" s="10">
        <f t="shared" si="64"/>
        <v>13.8504703446236</v>
      </c>
      <c r="AJ366">
        <f t="shared" si="65"/>
        <v>2.46414578587699</v>
      </c>
    </row>
    <row r="367" spans="1:36">
      <c r="A367" s="1" t="s">
        <v>387</v>
      </c>
      <c r="B367" s="1">
        <v>38110342</v>
      </c>
      <c r="C367" s="2">
        <v>0.038976</v>
      </c>
      <c r="E367">
        <v>7.53197</v>
      </c>
      <c r="F367">
        <v>5059.810432</v>
      </c>
      <c r="G367" s="3">
        <f t="shared" si="55"/>
        <v>5.059810432</v>
      </c>
      <c r="I367" t="s">
        <v>387</v>
      </c>
      <c r="J367">
        <v>6.44295</v>
      </c>
      <c r="K367" s="5">
        <f t="shared" si="56"/>
        <v>5.91504543726088</v>
      </c>
      <c r="L367">
        <f t="shared" si="57"/>
        <v>1.16902510810525</v>
      </c>
      <c r="O367">
        <v>0.0054272</v>
      </c>
      <c r="P367" s="6">
        <f t="shared" si="58"/>
        <v>7.02210016214623</v>
      </c>
      <c r="Q367" s="4">
        <f t="shared" si="59"/>
        <v>0.842347061516852</v>
      </c>
      <c r="T367">
        <v>86.012</v>
      </c>
      <c r="U367" s="7">
        <f t="shared" si="60"/>
        <v>0.443081686276334</v>
      </c>
      <c r="V367">
        <f t="shared" si="61"/>
        <v>13.3497854243786</v>
      </c>
      <c r="Y367">
        <v>0.0015765246</v>
      </c>
      <c r="Z367" s="8">
        <v>14.5041854722724</v>
      </c>
      <c r="AA367">
        <f t="shared" si="62"/>
        <v>0.40781645053896</v>
      </c>
      <c r="AD367" s="9">
        <v>2.708058</v>
      </c>
      <c r="AE367">
        <f t="shared" si="63"/>
        <v>2.1842388299146</v>
      </c>
      <c r="AH367">
        <v>16.2595</v>
      </c>
      <c r="AI367" s="10">
        <f t="shared" si="64"/>
        <v>2.34388154617301</v>
      </c>
      <c r="AJ367">
        <f t="shared" si="65"/>
        <v>2.52361107877603</v>
      </c>
    </row>
    <row r="368" spans="1:36">
      <c r="A368" s="1" t="s">
        <v>388</v>
      </c>
      <c r="B368" s="1">
        <v>38173744</v>
      </c>
      <c r="C368" s="2">
        <v>0.00241607</v>
      </c>
      <c r="E368">
        <v>6.500335</v>
      </c>
      <c r="F368">
        <v>5872.581079</v>
      </c>
      <c r="G368" s="3">
        <f t="shared" si="55"/>
        <v>5.872581079</v>
      </c>
      <c r="I368" t="s">
        <v>388</v>
      </c>
      <c r="J368">
        <v>5.2828</v>
      </c>
      <c r="K368" s="5">
        <f t="shared" si="56"/>
        <v>7.22604376467025</v>
      </c>
      <c r="L368">
        <f t="shared" si="57"/>
        <v>1.23047151967133</v>
      </c>
      <c r="O368">
        <v>0.0056688</v>
      </c>
      <c r="P368" s="6">
        <f t="shared" si="58"/>
        <v>6.73400790290714</v>
      </c>
      <c r="Q368" s="4">
        <f t="shared" si="59"/>
        <v>1.07306731278867</v>
      </c>
      <c r="T368">
        <v>35.23</v>
      </c>
      <c r="U368" s="7">
        <f t="shared" si="60"/>
        <v>1.08355787680954</v>
      </c>
      <c r="V368">
        <f t="shared" si="61"/>
        <v>6.66881199363974</v>
      </c>
      <c r="Y368">
        <v>0.016863048</v>
      </c>
      <c r="Z368" s="8">
        <v>1.35825067923664</v>
      </c>
      <c r="AA368">
        <f t="shared" si="62"/>
        <v>5.32011054743695</v>
      </c>
      <c r="AD368" s="9">
        <v>1.731063</v>
      </c>
      <c r="AE368">
        <f t="shared" si="63"/>
        <v>4.17433898400593</v>
      </c>
      <c r="AH368">
        <v>7.7396</v>
      </c>
      <c r="AI368" s="10">
        <f t="shared" si="64"/>
        <v>4.93226316605509</v>
      </c>
      <c r="AJ368">
        <f t="shared" si="65"/>
        <v>1.46505640947982</v>
      </c>
    </row>
    <row r="369" spans="1:36">
      <c r="A369" s="1" t="s">
        <v>389</v>
      </c>
      <c r="B369" s="1">
        <v>38178920</v>
      </c>
      <c r="C369" s="2">
        <v>0.641466</v>
      </c>
      <c r="E369">
        <v>3.200745</v>
      </c>
      <c r="F369">
        <v>11928.135913</v>
      </c>
      <c r="G369" s="3">
        <f t="shared" si="55"/>
        <v>11.928135913</v>
      </c>
      <c r="I369" t="s">
        <v>389</v>
      </c>
      <c r="J369">
        <v>2.0047</v>
      </c>
      <c r="K369" s="5">
        <f t="shared" si="56"/>
        <v>19.044704943383</v>
      </c>
      <c r="L369">
        <f t="shared" si="57"/>
        <v>1.59662038413119</v>
      </c>
      <c r="O369">
        <v>0.0034976</v>
      </c>
      <c r="P369" s="6">
        <f t="shared" si="58"/>
        <v>10.9157479414456</v>
      </c>
      <c r="Q369" s="4">
        <f t="shared" si="59"/>
        <v>1.7446999551055</v>
      </c>
      <c r="T369">
        <v>27.338</v>
      </c>
      <c r="U369" s="7">
        <f t="shared" si="60"/>
        <v>1.39655132050625</v>
      </c>
      <c r="V369">
        <f t="shared" si="61"/>
        <v>13.6369531600738</v>
      </c>
      <c r="Y369">
        <v>0.006821658</v>
      </c>
      <c r="Z369" s="8">
        <v>3.35803290050601</v>
      </c>
      <c r="AA369">
        <f t="shared" si="62"/>
        <v>5.67138723998603</v>
      </c>
      <c r="AD369" s="9">
        <v>3.23382</v>
      </c>
      <c r="AE369">
        <f t="shared" si="63"/>
        <v>5.88922851098176</v>
      </c>
      <c r="AH369">
        <v>4.1165</v>
      </c>
      <c r="AI369" s="10">
        <f t="shared" si="64"/>
        <v>9.27460706911211</v>
      </c>
      <c r="AJ369">
        <f t="shared" si="65"/>
        <v>2.05342445253654</v>
      </c>
    </row>
    <row r="370" spans="1:36">
      <c r="A370" s="1" t="s">
        <v>390</v>
      </c>
      <c r="B370" s="1">
        <v>38247776</v>
      </c>
      <c r="C370" s="2">
        <v>0.549592</v>
      </c>
      <c r="E370">
        <v>2.970925</v>
      </c>
      <c r="F370">
        <v>12874.030795</v>
      </c>
      <c r="G370" s="3">
        <f t="shared" si="55"/>
        <v>12.874030795</v>
      </c>
      <c r="I370" t="s">
        <v>390</v>
      </c>
      <c r="J370">
        <v>1.76276</v>
      </c>
      <c r="K370" s="5">
        <f t="shared" si="56"/>
        <v>21.6976650253012</v>
      </c>
      <c r="L370">
        <f t="shared" si="57"/>
        <v>1.68538240826083</v>
      </c>
      <c r="O370">
        <v>0.0032064</v>
      </c>
      <c r="P370" s="6">
        <f t="shared" si="58"/>
        <v>11.9285728542914</v>
      </c>
      <c r="Q370" s="4">
        <f t="shared" si="59"/>
        <v>1.81896571285938</v>
      </c>
      <c r="T370">
        <v>17.632</v>
      </c>
      <c r="U370" s="7">
        <f t="shared" si="60"/>
        <v>2.16922504537205</v>
      </c>
      <c r="V370">
        <f t="shared" si="61"/>
        <v>10.0024960856838</v>
      </c>
      <c r="Y370">
        <v>0.00550512</v>
      </c>
      <c r="Z370" s="8">
        <v>4.16860406312669</v>
      </c>
      <c r="AA370">
        <f t="shared" si="62"/>
        <v>5.20501940139327</v>
      </c>
      <c r="AD370" s="9">
        <v>3.41751</v>
      </c>
      <c r="AE370">
        <f t="shared" si="63"/>
        <v>6.34896899359511</v>
      </c>
      <c r="AH370">
        <v>3.2548</v>
      </c>
      <c r="AI370" s="10">
        <f t="shared" si="64"/>
        <v>11.751190856581</v>
      </c>
      <c r="AJ370">
        <f t="shared" si="65"/>
        <v>1.84642265538133</v>
      </c>
    </row>
    <row r="371" spans="1:36">
      <c r="A371" s="1" t="s">
        <v>391</v>
      </c>
      <c r="B371" s="1">
        <v>38301936</v>
      </c>
      <c r="C371" s="2">
        <v>0</v>
      </c>
      <c r="E371">
        <v>21.26822</v>
      </c>
      <c r="F371">
        <v>1800.899898</v>
      </c>
      <c r="G371" s="3">
        <f t="shared" si="55"/>
        <v>1.800899898</v>
      </c>
      <c r="I371" t="s">
        <v>391</v>
      </c>
      <c r="J371">
        <v>17.6301</v>
      </c>
      <c r="K371" s="5">
        <f t="shared" si="56"/>
        <v>2.1725308421393</v>
      </c>
      <c r="L371">
        <f t="shared" si="57"/>
        <v>1.20635846809254</v>
      </c>
      <c r="O371">
        <v>0.0293536</v>
      </c>
      <c r="P371" s="6">
        <f t="shared" si="58"/>
        <v>1.30484628801919</v>
      </c>
      <c r="Q371" s="4">
        <f t="shared" si="59"/>
        <v>1.66497070351274</v>
      </c>
      <c r="T371">
        <v>66.821</v>
      </c>
      <c r="U371" s="7">
        <f t="shared" si="60"/>
        <v>0.573202077191302</v>
      </c>
      <c r="V371">
        <f t="shared" si="61"/>
        <v>3.79016568255427</v>
      </c>
      <c r="Y371">
        <v>0.0140238</v>
      </c>
      <c r="Z371" s="8">
        <v>1.63872570915159</v>
      </c>
      <c r="AA371">
        <f t="shared" si="62"/>
        <v>1.32574404002246</v>
      </c>
      <c r="AD371" s="9">
        <v>0.944142</v>
      </c>
      <c r="AE371">
        <f t="shared" si="63"/>
        <v>2.30106365582645</v>
      </c>
      <c r="AH371">
        <v>22.765</v>
      </c>
      <c r="AI371" s="10">
        <f t="shared" si="64"/>
        <v>1.6824922468702</v>
      </c>
      <c r="AJ371">
        <f t="shared" si="65"/>
        <v>1.29125756518681</v>
      </c>
    </row>
    <row r="372" spans="1:36">
      <c r="A372" s="1" t="s">
        <v>393</v>
      </c>
      <c r="B372" s="1">
        <v>38356128</v>
      </c>
      <c r="C372" s="2">
        <v>0</v>
      </c>
      <c r="E372">
        <v>8.614068</v>
      </c>
      <c r="F372">
        <v>4452.730941</v>
      </c>
      <c r="G372" s="3">
        <f t="shared" si="55"/>
        <v>4.452730941</v>
      </c>
      <c r="I372" t="s">
        <v>393</v>
      </c>
      <c r="J372">
        <v>8.98483</v>
      </c>
      <c r="K372" s="5">
        <f t="shared" si="56"/>
        <v>4.2689876157924</v>
      </c>
      <c r="L372">
        <f t="shared" si="57"/>
        <v>0.958734689420435</v>
      </c>
      <c r="O372">
        <v>0.0238512</v>
      </c>
      <c r="P372" s="6">
        <f t="shared" si="58"/>
        <v>1.60814248339706</v>
      </c>
      <c r="Q372" s="4">
        <f t="shared" si="59"/>
        <v>2.65460782229603</v>
      </c>
      <c r="T372">
        <v>38.171</v>
      </c>
      <c r="U372" s="7">
        <f t="shared" si="60"/>
        <v>1.00484996463284</v>
      </c>
      <c r="V372">
        <f t="shared" si="61"/>
        <v>4.24838310797199</v>
      </c>
      <c r="Y372">
        <v>0.0253359</v>
      </c>
      <c r="Z372" s="8">
        <v>0.908342581080601</v>
      </c>
      <c r="AA372">
        <f t="shared" si="62"/>
        <v>4.69975503153649</v>
      </c>
      <c r="AD372" s="9">
        <v>1.656024</v>
      </c>
      <c r="AE372">
        <f t="shared" si="63"/>
        <v>2.57785371213968</v>
      </c>
      <c r="AH372">
        <v>24.6611</v>
      </c>
      <c r="AI372" s="10">
        <f t="shared" si="64"/>
        <v>1.55532916212172</v>
      </c>
      <c r="AJ372">
        <f t="shared" si="65"/>
        <v>2.7447486485554</v>
      </c>
    </row>
    <row r="373" spans="1:36">
      <c r="A373" s="1" t="s">
        <v>392</v>
      </c>
      <c r="B373" s="1">
        <v>38356128</v>
      </c>
      <c r="C373" s="2">
        <v>0</v>
      </c>
      <c r="E373">
        <v>8.597037</v>
      </c>
      <c r="F373">
        <v>4461.551894</v>
      </c>
      <c r="G373" s="3">
        <f t="shared" si="55"/>
        <v>4.461551894</v>
      </c>
      <c r="I373" t="s">
        <v>392</v>
      </c>
      <c r="J373">
        <v>9.6278</v>
      </c>
      <c r="K373" s="5">
        <f t="shared" si="56"/>
        <v>3.98389330895947</v>
      </c>
      <c r="L373">
        <f t="shared" si="57"/>
        <v>0.892938915339549</v>
      </c>
      <c r="O373">
        <v>0.0237792</v>
      </c>
      <c r="P373" s="6">
        <f t="shared" si="58"/>
        <v>1.61301170771094</v>
      </c>
      <c r="Q373" s="4">
        <f t="shared" si="59"/>
        <v>2.46984773260766</v>
      </c>
      <c r="T373">
        <v>36.862</v>
      </c>
      <c r="U373" s="7">
        <f t="shared" si="60"/>
        <v>1.04053301502903</v>
      </c>
      <c r="V373">
        <f t="shared" si="61"/>
        <v>3.82870437690854</v>
      </c>
      <c r="Y373">
        <v>0.02535912</v>
      </c>
      <c r="Z373" s="8">
        <v>0.907510859998296</v>
      </c>
      <c r="AA373">
        <f t="shared" si="62"/>
        <v>4.389912544922</v>
      </c>
      <c r="AD373" s="9">
        <v>1.644312</v>
      </c>
      <c r="AE373">
        <f t="shared" si="63"/>
        <v>2.42283295929208</v>
      </c>
      <c r="AH373">
        <v>24.4911</v>
      </c>
      <c r="AI373" s="10">
        <f t="shared" si="64"/>
        <v>1.56612516383503</v>
      </c>
      <c r="AJ373">
        <f t="shared" si="65"/>
        <v>2.54378985853466</v>
      </c>
    </row>
    <row r="374" spans="1:36">
      <c r="A374" s="1" t="s">
        <v>395</v>
      </c>
      <c r="B374" s="1">
        <v>38440814</v>
      </c>
      <c r="C374" s="2">
        <v>0.054763</v>
      </c>
      <c r="E374">
        <v>7.982973</v>
      </c>
      <c r="F374">
        <v>4815.350434</v>
      </c>
      <c r="G374" s="3">
        <f t="shared" si="55"/>
        <v>4.815350434</v>
      </c>
      <c r="I374" t="s">
        <v>395</v>
      </c>
      <c r="J374">
        <v>6.99574</v>
      </c>
      <c r="K374" s="5">
        <f t="shared" si="56"/>
        <v>5.4948888895242</v>
      </c>
      <c r="L374">
        <f t="shared" si="57"/>
        <v>1.14111921133011</v>
      </c>
      <c r="O374">
        <v>0.0075744</v>
      </c>
      <c r="P374" s="6">
        <f t="shared" si="58"/>
        <v>5.07509690536544</v>
      </c>
      <c r="Q374" s="4">
        <f t="shared" si="59"/>
        <v>1.0827160529122</v>
      </c>
      <c r="T374">
        <v>65.31</v>
      </c>
      <c r="U374" s="7">
        <f t="shared" si="60"/>
        <v>0.58859001684275</v>
      </c>
      <c r="V374">
        <f t="shared" si="61"/>
        <v>9.33568142898392</v>
      </c>
      <c r="Y374">
        <v>0.02681568</v>
      </c>
      <c r="Z374" s="8">
        <v>0.860112009093187</v>
      </c>
      <c r="AA374">
        <f t="shared" si="62"/>
        <v>6.38857361765875</v>
      </c>
      <c r="AD374" s="9">
        <v>2.028954</v>
      </c>
      <c r="AE374">
        <f t="shared" si="63"/>
        <v>2.70823729346461</v>
      </c>
      <c r="AH374">
        <v>11.9286</v>
      </c>
      <c r="AI374" s="10">
        <f t="shared" si="64"/>
        <v>3.22257549083715</v>
      </c>
      <c r="AJ374">
        <f t="shared" si="65"/>
        <v>1.70512340367138</v>
      </c>
    </row>
    <row r="375" spans="1:36">
      <c r="A375" s="1" t="s">
        <v>394</v>
      </c>
      <c r="B375" s="1">
        <v>38440814</v>
      </c>
      <c r="C375" s="2">
        <v>0.054763</v>
      </c>
      <c r="E375">
        <v>7.977126</v>
      </c>
      <c r="F375">
        <v>4818.880244</v>
      </c>
      <c r="G375" s="3">
        <f t="shared" si="55"/>
        <v>4.818880244</v>
      </c>
      <c r="I375" t="s">
        <v>394</v>
      </c>
      <c r="J375">
        <v>6.95178</v>
      </c>
      <c r="K375" s="5">
        <f t="shared" si="56"/>
        <v>5.52963615074125</v>
      </c>
      <c r="L375">
        <f t="shared" si="57"/>
        <v>1.14749399668652</v>
      </c>
      <c r="O375">
        <v>0.0078704</v>
      </c>
      <c r="P375" s="6">
        <f t="shared" si="58"/>
        <v>4.88422621467778</v>
      </c>
      <c r="Q375" s="4">
        <f t="shared" si="59"/>
        <v>1.13214169608359</v>
      </c>
      <c r="T375">
        <v>64.896</v>
      </c>
      <c r="U375" s="7">
        <f t="shared" si="60"/>
        <v>0.592344890285996</v>
      </c>
      <c r="V375">
        <f t="shared" si="61"/>
        <v>9.33516308053477</v>
      </c>
      <c r="Y375">
        <v>0.0394938</v>
      </c>
      <c r="Z375" s="8">
        <v>0.58400276499096</v>
      </c>
      <c r="AA375">
        <f t="shared" si="62"/>
        <v>9.46851022328095</v>
      </c>
      <c r="AD375" s="9">
        <v>2.076429</v>
      </c>
      <c r="AE375">
        <f t="shared" si="63"/>
        <v>2.66305091613595</v>
      </c>
      <c r="AH375">
        <v>11.9868</v>
      </c>
      <c r="AI375" s="10">
        <f t="shared" si="64"/>
        <v>3.20692878833383</v>
      </c>
      <c r="AJ375">
        <f t="shared" si="65"/>
        <v>1.72427781086283</v>
      </c>
    </row>
    <row r="376" spans="1:36">
      <c r="A376" s="1" t="s">
        <v>396</v>
      </c>
      <c r="B376" s="1">
        <v>38700932</v>
      </c>
      <c r="C376" s="2">
        <v>0.591558</v>
      </c>
      <c r="E376">
        <v>3.517696</v>
      </c>
      <c r="F376">
        <v>11001.783815</v>
      </c>
      <c r="G376" s="3">
        <f t="shared" si="55"/>
        <v>11.001783815</v>
      </c>
      <c r="I376" t="s">
        <v>396</v>
      </c>
      <c r="J376">
        <v>2.4437</v>
      </c>
      <c r="K376" s="5">
        <f t="shared" si="56"/>
        <v>15.8370225477759</v>
      </c>
      <c r="L376">
        <f t="shared" si="57"/>
        <v>1.43949588667462</v>
      </c>
      <c r="O376">
        <v>0.0034928</v>
      </c>
      <c r="P376" s="6">
        <f t="shared" si="58"/>
        <v>11.0802027027027</v>
      </c>
      <c r="Q376" s="4">
        <f t="shared" si="59"/>
        <v>1.42930801653231</v>
      </c>
      <c r="T376">
        <v>33.402</v>
      </c>
      <c r="U376" s="7">
        <f t="shared" si="60"/>
        <v>1.15864115921202</v>
      </c>
      <c r="V376">
        <f t="shared" si="61"/>
        <v>13.6686172607112</v>
      </c>
      <c r="Y376">
        <v>0.006706746</v>
      </c>
      <c r="Z376" s="8">
        <v>3.46226906461047</v>
      </c>
      <c r="AA376">
        <f t="shared" si="62"/>
        <v>4.57417440766051</v>
      </c>
      <c r="AD376" s="9">
        <v>3.33972</v>
      </c>
      <c r="AE376">
        <f t="shared" si="63"/>
        <v>4.74202105199715</v>
      </c>
      <c r="AH376">
        <v>3.2573</v>
      </c>
      <c r="AI376" s="10">
        <f t="shared" si="64"/>
        <v>11.8812918674976</v>
      </c>
      <c r="AJ376">
        <f t="shared" si="65"/>
        <v>1.33293775831731</v>
      </c>
    </row>
    <row r="377" spans="1:36">
      <c r="A377" s="1" t="s">
        <v>397</v>
      </c>
      <c r="B377" s="1">
        <v>39798360</v>
      </c>
      <c r="C377" s="2">
        <v>6.66978e-5</v>
      </c>
      <c r="E377">
        <v>9.774238</v>
      </c>
      <c r="F377">
        <v>4071.760971</v>
      </c>
      <c r="G377" s="3">
        <f t="shared" si="55"/>
        <v>4.071760971</v>
      </c>
      <c r="I377" t="s">
        <v>397</v>
      </c>
      <c r="J377">
        <v>19.9933</v>
      </c>
      <c r="K377" s="5">
        <f t="shared" si="56"/>
        <v>1.99058484592338</v>
      </c>
      <c r="L377">
        <f t="shared" si="57"/>
        <v>0.488875663404797</v>
      </c>
      <c r="O377">
        <v>0.0174032</v>
      </c>
      <c r="P377" s="6">
        <f t="shared" si="58"/>
        <v>2.28684150041372</v>
      </c>
      <c r="Q377" s="4">
        <f t="shared" si="59"/>
        <v>0.870451601286431</v>
      </c>
      <c r="T377">
        <v>314.04</v>
      </c>
      <c r="U377" s="7">
        <f t="shared" si="60"/>
        <v>0.126730225448987</v>
      </c>
      <c r="V377">
        <f t="shared" si="61"/>
        <v>15.7072619327475</v>
      </c>
      <c r="Y377">
        <v>0.002521548</v>
      </c>
      <c r="Z377" s="8">
        <v>9.46998272489756</v>
      </c>
      <c r="AA377">
        <f t="shared" si="62"/>
        <v>0.21019941680463</v>
      </c>
      <c r="AD377" s="9">
        <v>1.594323</v>
      </c>
      <c r="AE377">
        <f t="shared" si="63"/>
        <v>1.24854552429049</v>
      </c>
      <c r="AH377">
        <v>41.8038</v>
      </c>
      <c r="AI377" s="10">
        <f t="shared" si="64"/>
        <v>0.952027327659208</v>
      </c>
      <c r="AJ377">
        <f t="shared" si="65"/>
        <v>2.09089044830018</v>
      </c>
    </row>
    <row r="378" spans="1:36">
      <c r="A378" s="1" t="s">
        <v>398</v>
      </c>
      <c r="B378" s="1">
        <v>40588948</v>
      </c>
      <c r="C378" s="2">
        <v>0.126906</v>
      </c>
      <c r="E378">
        <v>18.341432</v>
      </c>
      <c r="F378">
        <v>2212.965026</v>
      </c>
      <c r="G378" s="3">
        <f t="shared" si="55"/>
        <v>2.212965026</v>
      </c>
      <c r="I378" t="s">
        <v>398</v>
      </c>
      <c r="J378">
        <v>28.1289</v>
      </c>
      <c r="K378" s="5">
        <f t="shared" si="56"/>
        <v>1.4429625047549</v>
      </c>
      <c r="L378">
        <f t="shared" si="57"/>
        <v>0.652049394274926</v>
      </c>
      <c r="O378">
        <v>0.046048</v>
      </c>
      <c r="P378" s="6">
        <f t="shared" si="58"/>
        <v>0.881448662265462</v>
      </c>
      <c r="Q378" s="4">
        <f t="shared" si="59"/>
        <v>1.63703522000505</v>
      </c>
      <c r="T378">
        <v>85.824</v>
      </c>
      <c r="U378" s="7">
        <f t="shared" si="60"/>
        <v>0.472932373228934</v>
      </c>
      <c r="V378">
        <f t="shared" si="61"/>
        <v>3.05109691456118</v>
      </c>
      <c r="Y378">
        <v>0.0750933</v>
      </c>
      <c r="Z378" s="8">
        <v>0.324308144668033</v>
      </c>
      <c r="AA378">
        <f t="shared" si="62"/>
        <v>4.44935635591864</v>
      </c>
      <c r="AD378" s="9">
        <v>0.798699</v>
      </c>
      <c r="AE378">
        <f t="shared" si="63"/>
        <v>1.80664118116449</v>
      </c>
      <c r="AH378">
        <v>43.8809</v>
      </c>
      <c r="AI378" s="10">
        <f t="shared" si="64"/>
        <v>0.924979843166389</v>
      </c>
      <c r="AJ378">
        <f t="shared" si="65"/>
        <v>1.55999345868484</v>
      </c>
    </row>
    <row r="379" spans="1:36">
      <c r="A379" s="1" t="s">
        <v>399</v>
      </c>
      <c r="B379" s="1">
        <v>41569568</v>
      </c>
      <c r="C379" s="2">
        <v>0</v>
      </c>
      <c r="E379">
        <v>23.92751</v>
      </c>
      <c r="F379">
        <v>1737.312722</v>
      </c>
      <c r="G379" s="3">
        <f t="shared" si="55"/>
        <v>1.737312722</v>
      </c>
      <c r="I379" t="s">
        <v>399</v>
      </c>
      <c r="J379">
        <v>18.9682</v>
      </c>
      <c r="K379" s="5">
        <f t="shared" si="56"/>
        <v>2.19153994580403</v>
      </c>
      <c r="L379">
        <f t="shared" si="57"/>
        <v>1.2614539213649</v>
      </c>
      <c r="O379">
        <v>0.0475616</v>
      </c>
      <c r="P379" s="6">
        <f t="shared" si="58"/>
        <v>0.874015340106304</v>
      </c>
      <c r="Q379" s="4">
        <f t="shared" si="59"/>
        <v>2.50743876593456</v>
      </c>
      <c r="T379">
        <v>68.15</v>
      </c>
      <c r="U379" s="7">
        <f t="shared" si="60"/>
        <v>0.609971650770359</v>
      </c>
      <c r="V379">
        <f t="shared" si="61"/>
        <v>3.59285541063464</v>
      </c>
      <c r="Y379">
        <v>0.015094008</v>
      </c>
      <c r="Z379" s="8">
        <v>1.6524266318131</v>
      </c>
      <c r="AA379">
        <f t="shared" si="62"/>
        <v>1.32625552240065</v>
      </c>
      <c r="AD379" s="9">
        <v>0.607122</v>
      </c>
      <c r="AE379">
        <f t="shared" si="63"/>
        <v>3.60971920932536</v>
      </c>
      <c r="AH379">
        <v>32.0349</v>
      </c>
      <c r="AI379" s="10">
        <f t="shared" si="64"/>
        <v>1.29763376817159</v>
      </c>
      <c r="AJ379">
        <f t="shared" si="65"/>
        <v>1.68887401018547</v>
      </c>
    </row>
    <row r="380" spans="1:36">
      <c r="A380" s="1" t="s">
        <v>400</v>
      </c>
      <c r="B380" s="1">
        <v>42568710</v>
      </c>
      <c r="C380" s="2">
        <v>0.568765</v>
      </c>
      <c r="E380">
        <v>8.283287</v>
      </c>
      <c r="F380">
        <v>5139.108318</v>
      </c>
      <c r="G380" s="3">
        <f t="shared" si="55"/>
        <v>5.139108318</v>
      </c>
      <c r="I380" t="s">
        <v>400</v>
      </c>
      <c r="J380">
        <v>7.17582</v>
      </c>
      <c r="K380" s="5">
        <f t="shared" si="56"/>
        <v>5.93224328369441</v>
      </c>
      <c r="L380">
        <f t="shared" si="57"/>
        <v>1.15433318712439</v>
      </c>
      <c r="O380">
        <v>0.0102784</v>
      </c>
      <c r="P380" s="6">
        <f t="shared" si="58"/>
        <v>4.14156969956413</v>
      </c>
      <c r="Q380" s="4">
        <f t="shared" si="59"/>
        <v>1.43236591776271</v>
      </c>
      <c r="T380">
        <v>40.896</v>
      </c>
      <c r="U380" s="7">
        <f t="shared" si="60"/>
        <v>1.04090155516432</v>
      </c>
      <c r="V380">
        <f t="shared" si="61"/>
        <v>5.69913961052535</v>
      </c>
      <c r="Y380">
        <v>0.010643094</v>
      </c>
      <c r="Z380" s="8">
        <v>2.39979333077393</v>
      </c>
      <c r="AA380">
        <f t="shared" si="62"/>
        <v>2.471980902531</v>
      </c>
      <c r="AD380" s="9">
        <v>2.250423</v>
      </c>
      <c r="AE380">
        <f t="shared" si="63"/>
        <v>2.63605699181639</v>
      </c>
      <c r="AH380">
        <v>8.9013</v>
      </c>
      <c r="AI380" s="10">
        <f t="shared" si="64"/>
        <v>4.78230258501567</v>
      </c>
      <c r="AJ380">
        <f t="shared" si="65"/>
        <v>1.24045753656028</v>
      </c>
    </row>
    <row r="381" spans="1:36">
      <c r="A381" s="1" t="s">
        <v>401</v>
      </c>
      <c r="B381" s="1">
        <v>42712232</v>
      </c>
      <c r="C381" s="2">
        <v>4.33651e-5</v>
      </c>
      <c r="E381">
        <v>30.245576</v>
      </c>
      <c r="F381">
        <v>1412.181132</v>
      </c>
      <c r="G381" s="3">
        <f t="shared" si="55"/>
        <v>1.412181132</v>
      </c>
      <c r="I381" t="s">
        <v>401</v>
      </c>
      <c r="J381">
        <v>39.1873</v>
      </c>
      <c r="K381" s="5">
        <f t="shared" si="56"/>
        <v>1.08995087694227</v>
      </c>
      <c r="L381">
        <f t="shared" si="57"/>
        <v>0.771820874988347</v>
      </c>
      <c r="O381">
        <v>0.0965904</v>
      </c>
      <c r="P381" s="6">
        <f t="shared" si="58"/>
        <v>0.442199556063543</v>
      </c>
      <c r="Q381" s="4">
        <f t="shared" si="59"/>
        <v>2.46483937398086</v>
      </c>
      <c r="T381">
        <v>91.756</v>
      </c>
      <c r="U381" s="7">
        <f t="shared" si="60"/>
        <v>0.465497972884607</v>
      </c>
      <c r="V381">
        <f t="shared" si="61"/>
        <v>2.34147287514067</v>
      </c>
      <c r="Y381">
        <v>0.0184365</v>
      </c>
      <c r="Z381" s="8">
        <v>1.39003277194695</v>
      </c>
      <c r="AA381">
        <f t="shared" si="62"/>
        <v>0.784118834418295</v>
      </c>
      <c r="AD381" s="9">
        <v>0.317343</v>
      </c>
      <c r="AE381">
        <f t="shared" si="63"/>
        <v>3.43461452416557</v>
      </c>
      <c r="AH381">
        <v>51.5476</v>
      </c>
      <c r="AI381" s="10">
        <f t="shared" si="64"/>
        <v>0.828597878465729</v>
      </c>
      <c r="AJ381">
        <f t="shared" si="65"/>
        <v>1.31541596384543</v>
      </c>
    </row>
    <row r="382" spans="1:36">
      <c r="A382" s="1" t="s">
        <v>402</v>
      </c>
      <c r="B382" s="1">
        <v>42805332</v>
      </c>
      <c r="C382" s="2">
        <v>1</v>
      </c>
      <c r="E382">
        <v>2.509611</v>
      </c>
      <c r="F382">
        <v>17056.559246</v>
      </c>
      <c r="G382" s="3">
        <f t="shared" si="55"/>
        <v>17.056559246</v>
      </c>
      <c r="I382" t="s">
        <v>402</v>
      </c>
      <c r="J382">
        <v>1.09862</v>
      </c>
      <c r="K382" s="5">
        <f t="shared" si="56"/>
        <v>38.9628188090514</v>
      </c>
      <c r="L382">
        <f t="shared" si="57"/>
        <v>2.28433051749219</v>
      </c>
      <c r="O382">
        <v>0.0031392</v>
      </c>
      <c r="P382" s="6">
        <f t="shared" si="58"/>
        <v>13.635745412844</v>
      </c>
      <c r="Q382" s="4">
        <f t="shared" si="59"/>
        <v>2.85740292366787</v>
      </c>
      <c r="T382">
        <v>12.189</v>
      </c>
      <c r="U382" s="7">
        <f t="shared" si="60"/>
        <v>3.51180014767413</v>
      </c>
      <c r="V382">
        <f t="shared" si="61"/>
        <v>11.094828057017</v>
      </c>
      <c r="Y382">
        <v>0.004442274</v>
      </c>
      <c r="Z382" s="8">
        <v>5.78154323663961</v>
      </c>
      <c r="AA382">
        <f t="shared" si="62"/>
        <v>6.73917278039723</v>
      </c>
      <c r="AD382" s="9">
        <v>3.56343</v>
      </c>
      <c r="AE382">
        <f t="shared" si="63"/>
        <v>10.9340772258895</v>
      </c>
      <c r="AH382">
        <v>2.7795</v>
      </c>
      <c r="AI382" s="10">
        <f t="shared" si="64"/>
        <v>15.4003712898003</v>
      </c>
      <c r="AJ382">
        <f t="shared" si="65"/>
        <v>2.5299921719976</v>
      </c>
    </row>
    <row r="383" spans="1:36">
      <c r="A383" s="1" t="s">
        <v>403</v>
      </c>
      <c r="B383" s="1">
        <v>43168124</v>
      </c>
      <c r="C383" s="2">
        <v>0.0545982</v>
      </c>
      <c r="E383">
        <v>33.67974</v>
      </c>
      <c r="F383">
        <v>1281.723809</v>
      </c>
      <c r="G383" s="3">
        <f t="shared" si="55"/>
        <v>1.281723809</v>
      </c>
      <c r="I383" t="s">
        <v>403</v>
      </c>
      <c r="J383">
        <v>40.8472</v>
      </c>
      <c r="K383" s="5">
        <f t="shared" si="56"/>
        <v>1.05681965960947</v>
      </c>
      <c r="L383">
        <f t="shared" si="57"/>
        <v>0.824529943337794</v>
      </c>
      <c r="O383">
        <v>0.032248</v>
      </c>
      <c r="P383" s="6">
        <f t="shared" si="58"/>
        <v>1.33862949640288</v>
      </c>
      <c r="Q383" s="4">
        <f t="shared" si="59"/>
        <v>0.78947883820678</v>
      </c>
      <c r="T383">
        <v>699.767</v>
      </c>
      <c r="U383" s="7">
        <f t="shared" si="60"/>
        <v>0.0616892822896764</v>
      </c>
      <c r="V383">
        <f t="shared" si="61"/>
        <v>17.1313333594469</v>
      </c>
      <c r="Y383">
        <v>0.10841418</v>
      </c>
      <c r="Z383" s="8">
        <v>0.238906703901648</v>
      </c>
      <c r="AA383">
        <f t="shared" si="62"/>
        <v>4.42356636440197</v>
      </c>
      <c r="AD383" s="9">
        <v>0.96591</v>
      </c>
      <c r="AE383">
        <f t="shared" si="63"/>
        <v>1.0941181472492</v>
      </c>
      <c r="AH383">
        <v>48.9881</v>
      </c>
      <c r="AI383" s="10">
        <f t="shared" si="64"/>
        <v>0.881196127222734</v>
      </c>
      <c r="AJ383">
        <f t="shared" si="65"/>
        <v>1.19930129849782</v>
      </c>
    </row>
    <row r="384" spans="1:36">
      <c r="A384" s="1" t="s">
        <v>404</v>
      </c>
      <c r="B384" s="1">
        <v>43444082</v>
      </c>
      <c r="C384" s="2">
        <v>1</v>
      </c>
      <c r="E384">
        <v>3.07073</v>
      </c>
      <c r="F384">
        <v>14147.804061</v>
      </c>
      <c r="G384" s="3">
        <f t="shared" si="55"/>
        <v>14.147804061</v>
      </c>
      <c r="I384" t="s">
        <v>404</v>
      </c>
      <c r="J384">
        <v>1.47991</v>
      </c>
      <c r="K384" s="5">
        <f t="shared" si="56"/>
        <v>29.3558946152131</v>
      </c>
      <c r="L384">
        <f t="shared" si="57"/>
        <v>2.0749435381379</v>
      </c>
      <c r="O384">
        <v>0.00348</v>
      </c>
      <c r="P384" s="6">
        <f t="shared" si="58"/>
        <v>12.4839316091954</v>
      </c>
      <c r="Q384" s="4">
        <f t="shared" si="59"/>
        <v>2.35149434762925</v>
      </c>
      <c r="T384">
        <v>15.476</v>
      </c>
      <c r="U384" s="7">
        <f t="shared" si="60"/>
        <v>2.80719061773068</v>
      </c>
      <c r="V384">
        <f t="shared" si="61"/>
        <v>10.4573926792846</v>
      </c>
      <c r="Y384">
        <v>0.005743836</v>
      </c>
      <c r="Z384" s="8">
        <v>4.53816042101481</v>
      </c>
      <c r="AA384">
        <f t="shared" si="62"/>
        <v>6.4686771492861</v>
      </c>
      <c r="AD384" s="9">
        <v>3.513</v>
      </c>
      <c r="AE384">
        <f t="shared" si="63"/>
        <v>8.35636055087193</v>
      </c>
      <c r="AH384">
        <v>3.1025</v>
      </c>
      <c r="AI384" s="10">
        <f t="shared" si="64"/>
        <v>14.0029273166801</v>
      </c>
      <c r="AJ384">
        <f t="shared" si="65"/>
        <v>2.0964112682528</v>
      </c>
    </row>
    <row r="385" spans="1:36">
      <c r="A385" s="1" t="s">
        <v>405</v>
      </c>
      <c r="B385" s="1">
        <v>44060988</v>
      </c>
      <c r="C385" s="2">
        <v>0.254212</v>
      </c>
      <c r="E385">
        <v>3.856084</v>
      </c>
      <c r="F385">
        <v>11426.354388</v>
      </c>
      <c r="G385" s="3">
        <f t="shared" si="55"/>
        <v>11.426354388</v>
      </c>
      <c r="I385" t="s">
        <v>405</v>
      </c>
      <c r="J385">
        <v>2.80434</v>
      </c>
      <c r="K385" s="5">
        <f t="shared" si="56"/>
        <v>15.7117139861786</v>
      </c>
      <c r="L385">
        <f t="shared" si="57"/>
        <v>1.3750417195776</v>
      </c>
      <c r="O385">
        <v>0.0041776</v>
      </c>
      <c r="P385" s="6">
        <f t="shared" si="58"/>
        <v>10.5469618919954</v>
      </c>
      <c r="Q385" s="4">
        <f t="shared" si="59"/>
        <v>1.48969097898258</v>
      </c>
      <c r="T385">
        <v>37.033</v>
      </c>
      <c r="U385" s="7">
        <f t="shared" si="60"/>
        <v>1.18977636162342</v>
      </c>
      <c r="V385">
        <f t="shared" si="61"/>
        <v>13.2056027443177</v>
      </c>
      <c r="Y385">
        <v>0.011158218</v>
      </c>
      <c r="Z385" s="8">
        <v>2.36924863808898</v>
      </c>
      <c r="AA385">
        <f t="shared" si="62"/>
        <v>6.63151757632814</v>
      </c>
      <c r="AD385" s="9">
        <v>2.942946</v>
      </c>
      <c r="AE385">
        <f t="shared" si="63"/>
        <v>5.33877073727434</v>
      </c>
      <c r="AH385">
        <v>5.3786</v>
      </c>
      <c r="AI385" s="10">
        <f t="shared" si="64"/>
        <v>8.19190644405607</v>
      </c>
      <c r="AJ385">
        <f t="shared" si="65"/>
        <v>1.91795574003152</v>
      </c>
    </row>
    <row r="386" spans="1:36">
      <c r="A386" s="1" t="s">
        <v>406</v>
      </c>
      <c r="B386" s="1">
        <v>44404850</v>
      </c>
      <c r="C386" s="2">
        <v>0.0503148</v>
      </c>
      <c r="E386">
        <v>35.683552</v>
      </c>
      <c r="F386">
        <v>1244.406663</v>
      </c>
      <c r="G386" s="3">
        <f t="shared" ref="G386:G449" si="66">F386/1000</f>
        <v>1.244406663</v>
      </c>
      <c r="I386" t="s">
        <v>406</v>
      </c>
      <c r="J386">
        <v>41.1562</v>
      </c>
      <c r="K386" s="5">
        <f t="shared" ref="K386:K449" si="67">B386/J386/1000000</f>
        <v>1.07893464411194</v>
      </c>
      <c r="L386">
        <f t="shared" ref="L386:L449" si="68">K386/G386</f>
        <v>0.8670273763328</v>
      </c>
      <c r="O386">
        <v>0.0307952</v>
      </c>
      <c r="P386" s="6">
        <f t="shared" ref="P386:P449" si="69">B386/O386/1000000000</f>
        <v>1.44194062711072</v>
      </c>
      <c r="Q386" s="4">
        <f t="shared" ref="Q386:Q449" si="70">K386/P386</f>
        <v>0.748251782234511</v>
      </c>
      <c r="T386">
        <v>689.956</v>
      </c>
      <c r="U386" s="7">
        <f t="shared" ref="U386:U449" si="71">B386/T386/1000000</f>
        <v>0.064358959122031</v>
      </c>
      <c r="V386">
        <f t="shared" ref="V386:V449" si="72">K386/U386</f>
        <v>16.7643271244673</v>
      </c>
      <c r="Y386">
        <v>0.11881026</v>
      </c>
      <c r="Z386" s="8">
        <v>0.224247552357852</v>
      </c>
      <c r="AA386">
        <f t="shared" ref="AA386:AA449" si="73">K386/Z386</f>
        <v>4.81135527575432</v>
      </c>
      <c r="AD386" s="9">
        <v>0.963678</v>
      </c>
      <c r="AE386">
        <f t="shared" ref="AE386:AE449" si="74">K386/AD386</f>
        <v>1.11960078378042</v>
      </c>
      <c r="AH386">
        <v>44.2905</v>
      </c>
      <c r="AI386" s="10">
        <f t="shared" ref="AI386:AI449" si="75">B386/AH386/1000000</f>
        <v>1.00258181777131</v>
      </c>
      <c r="AJ386">
        <f t="shared" ref="AJ386:AJ449" si="76">K386/AI386</f>
        <v>1.07615620489744</v>
      </c>
    </row>
    <row r="387" spans="1:36">
      <c r="A387" s="1" t="s">
        <v>407</v>
      </c>
      <c r="B387" s="1">
        <v>44711814</v>
      </c>
      <c r="C387" s="2">
        <v>0.0538439</v>
      </c>
      <c r="E387">
        <v>9.319675</v>
      </c>
      <c r="F387">
        <v>4797.572237</v>
      </c>
      <c r="G387" s="3">
        <f t="shared" si="66"/>
        <v>4.797572237</v>
      </c>
      <c r="I387" t="s">
        <v>407</v>
      </c>
      <c r="J387">
        <v>8.12702</v>
      </c>
      <c r="K387" s="5">
        <f t="shared" si="67"/>
        <v>5.50162470376596</v>
      </c>
      <c r="L387">
        <f t="shared" si="68"/>
        <v>1.14675182196031</v>
      </c>
      <c r="O387">
        <v>0.0086928</v>
      </c>
      <c r="P387" s="6">
        <f t="shared" si="69"/>
        <v>5.1435456929873</v>
      </c>
      <c r="Q387" s="4">
        <f t="shared" si="70"/>
        <v>1.06961715364303</v>
      </c>
      <c r="T387">
        <v>75.123</v>
      </c>
      <c r="U387" s="7">
        <f t="shared" si="71"/>
        <v>0.595181422467154</v>
      </c>
      <c r="V387">
        <f t="shared" si="72"/>
        <v>9.24360958875455</v>
      </c>
      <c r="Y387">
        <v>0.03083724</v>
      </c>
      <c r="Z387" s="8">
        <v>0.869957505924655</v>
      </c>
      <c r="AA387">
        <f t="shared" si="73"/>
        <v>6.32401544477557</v>
      </c>
      <c r="AD387" s="9">
        <v>2.034984</v>
      </c>
      <c r="AE387">
        <f t="shared" si="74"/>
        <v>2.70352233912697</v>
      </c>
      <c r="AH387">
        <v>13.6974</v>
      </c>
      <c r="AI387" s="10">
        <f t="shared" si="75"/>
        <v>3.26425555214858</v>
      </c>
      <c r="AJ387">
        <f t="shared" si="76"/>
        <v>1.68541482609862</v>
      </c>
    </row>
    <row r="388" spans="1:36">
      <c r="A388" s="1" t="s">
        <v>408</v>
      </c>
      <c r="B388" s="1">
        <v>44711814</v>
      </c>
      <c r="C388" s="2">
        <v>0.0531603</v>
      </c>
      <c r="E388">
        <v>8.0211</v>
      </c>
      <c r="F388">
        <v>5574.274257</v>
      </c>
      <c r="G388" s="3">
        <f t="shared" si="66"/>
        <v>5.574274257</v>
      </c>
      <c r="I388" t="s">
        <v>408</v>
      </c>
      <c r="J388">
        <v>8.15148</v>
      </c>
      <c r="K388" s="5">
        <f t="shared" si="67"/>
        <v>5.48511607708048</v>
      </c>
      <c r="L388">
        <f t="shared" si="68"/>
        <v>0.984005419215325</v>
      </c>
      <c r="O388">
        <v>0.0086672</v>
      </c>
      <c r="P388" s="6">
        <f t="shared" si="69"/>
        <v>5.15873800073842</v>
      </c>
      <c r="Q388" s="4">
        <f t="shared" si="70"/>
        <v>1.06326703862366</v>
      </c>
      <c r="T388">
        <v>74.958</v>
      </c>
      <c r="U388" s="7">
        <f t="shared" si="71"/>
        <v>0.596491555270952</v>
      </c>
      <c r="V388">
        <f t="shared" si="72"/>
        <v>9.19563073208792</v>
      </c>
      <c r="Y388">
        <v>0.03089358</v>
      </c>
      <c r="Z388" s="8">
        <v>0.868370981932168</v>
      </c>
      <c r="AA388">
        <f t="shared" si="73"/>
        <v>6.31655846545658</v>
      </c>
      <c r="AD388" s="9">
        <v>2.032944</v>
      </c>
      <c r="AE388">
        <f t="shared" si="74"/>
        <v>2.69811469331201</v>
      </c>
      <c r="AH388">
        <v>13.8552</v>
      </c>
      <c r="AI388" s="10">
        <f t="shared" si="75"/>
        <v>3.22707820890352</v>
      </c>
      <c r="AJ388">
        <f t="shared" si="76"/>
        <v>1.69971587981569</v>
      </c>
    </row>
    <row r="389" spans="1:36">
      <c r="A389" s="1" t="s">
        <v>409</v>
      </c>
      <c r="B389" s="1">
        <v>45278092</v>
      </c>
      <c r="C389" s="2">
        <v>0.0501619</v>
      </c>
      <c r="E389">
        <v>35.368786</v>
      </c>
      <c r="F389">
        <v>1280.170947</v>
      </c>
      <c r="G389" s="3">
        <f t="shared" si="66"/>
        <v>1.280170947</v>
      </c>
      <c r="I389" t="s">
        <v>409</v>
      </c>
      <c r="J389">
        <v>42.9267</v>
      </c>
      <c r="K389" s="5">
        <f t="shared" si="67"/>
        <v>1.05477691040774</v>
      </c>
      <c r="L389">
        <f t="shared" si="68"/>
        <v>0.823934422882776</v>
      </c>
      <c r="O389">
        <v>0.0344784</v>
      </c>
      <c r="P389" s="6">
        <f t="shared" si="69"/>
        <v>1.31323066035547</v>
      </c>
      <c r="Q389" s="4">
        <f t="shared" si="70"/>
        <v>0.803192418704443</v>
      </c>
      <c r="T389">
        <v>688.816</v>
      </c>
      <c r="U389" s="7">
        <f t="shared" si="71"/>
        <v>0.0657332175791503</v>
      </c>
      <c r="V389">
        <f t="shared" si="72"/>
        <v>16.0463301395169</v>
      </c>
      <c r="Y389">
        <v>0.1153152</v>
      </c>
      <c r="Z389" s="8">
        <v>0.235587808025308</v>
      </c>
      <c r="AA389">
        <f t="shared" si="73"/>
        <v>4.47721348251787</v>
      </c>
      <c r="AD389" s="9">
        <v>0.966189</v>
      </c>
      <c r="AE389">
        <f t="shared" si="74"/>
        <v>1.09168797244405</v>
      </c>
      <c r="AH389">
        <v>45.3392</v>
      </c>
      <c r="AI389" s="10">
        <f t="shared" si="75"/>
        <v>0.998652203832445</v>
      </c>
      <c r="AJ389">
        <f t="shared" si="76"/>
        <v>1.05620045333091</v>
      </c>
    </row>
    <row r="390" spans="1:36">
      <c r="A390" s="1" t="s">
        <v>410</v>
      </c>
      <c r="B390" s="1">
        <v>46610030</v>
      </c>
      <c r="C390" s="2">
        <v>0.465955</v>
      </c>
      <c r="E390">
        <v>13.41991</v>
      </c>
      <c r="F390">
        <v>3473.199887</v>
      </c>
      <c r="G390" s="3">
        <f t="shared" si="66"/>
        <v>3.473199887</v>
      </c>
      <c r="I390" t="s">
        <v>410</v>
      </c>
      <c r="J390">
        <v>22.0516</v>
      </c>
      <c r="K390" s="5">
        <f t="shared" si="67"/>
        <v>2.11368018647173</v>
      </c>
      <c r="L390">
        <f t="shared" si="68"/>
        <v>0.608568540608078</v>
      </c>
      <c r="O390">
        <v>0.0322704</v>
      </c>
      <c r="P390" s="6">
        <f t="shared" si="69"/>
        <v>1.44435860726858</v>
      </c>
      <c r="Q390" s="4">
        <f t="shared" si="70"/>
        <v>1.46340401603512</v>
      </c>
      <c r="T390">
        <v>150.569</v>
      </c>
      <c r="U390" s="7">
        <f t="shared" si="71"/>
        <v>0.309559271828863</v>
      </c>
      <c r="V390">
        <f t="shared" si="72"/>
        <v>6.8280306190934</v>
      </c>
      <c r="Y390">
        <v>0.08042706</v>
      </c>
      <c r="Z390" s="8">
        <v>0.347719013973655</v>
      </c>
      <c r="AA390">
        <f t="shared" si="73"/>
        <v>6.07870177220701</v>
      </c>
      <c r="AD390" s="9">
        <v>1.111035</v>
      </c>
      <c r="AE390">
        <f t="shared" si="74"/>
        <v>1.90244248513479</v>
      </c>
      <c r="AH390">
        <v>44.6364</v>
      </c>
      <c r="AI390" s="10">
        <f t="shared" si="75"/>
        <v>1.04421570735991</v>
      </c>
      <c r="AJ390">
        <f t="shared" si="76"/>
        <v>2.02417965136317</v>
      </c>
    </row>
    <row r="391" spans="1:36">
      <c r="A391" s="1" t="s">
        <v>411</v>
      </c>
      <c r="B391" s="1">
        <v>47745340</v>
      </c>
      <c r="C391" s="2">
        <v>1</v>
      </c>
      <c r="E391">
        <v>5.782552</v>
      </c>
      <c r="F391">
        <v>8256.794427</v>
      </c>
      <c r="G391" s="3">
        <f t="shared" si="66"/>
        <v>8.256794427</v>
      </c>
      <c r="I391" t="s">
        <v>411</v>
      </c>
      <c r="J391">
        <v>2.16353</v>
      </c>
      <c r="K391" s="5">
        <f t="shared" si="67"/>
        <v>22.0682588177654</v>
      </c>
      <c r="L391">
        <f t="shared" si="68"/>
        <v>2.67273928312923</v>
      </c>
      <c r="O391">
        <v>0.004512</v>
      </c>
      <c r="P391" s="6">
        <f t="shared" si="69"/>
        <v>10.5818572695035</v>
      </c>
      <c r="Q391" s="4">
        <f t="shared" si="70"/>
        <v>2.08548067278938</v>
      </c>
      <c r="T391">
        <v>7.406</v>
      </c>
      <c r="U391" s="7">
        <f t="shared" si="71"/>
        <v>6.44684580070213</v>
      </c>
      <c r="V391">
        <f t="shared" si="72"/>
        <v>3.42310945538079</v>
      </c>
      <c r="Y391">
        <v>0.00286542</v>
      </c>
      <c r="Z391" s="8">
        <v>9.99755847310342</v>
      </c>
      <c r="AA391">
        <f t="shared" si="73"/>
        <v>2.20736481583338</v>
      </c>
      <c r="AD391" s="9">
        <v>3.36462</v>
      </c>
      <c r="AE391">
        <f t="shared" si="74"/>
        <v>6.55891566291748</v>
      </c>
      <c r="AH391">
        <v>5.0528</v>
      </c>
      <c r="AI391" s="10">
        <f t="shared" si="75"/>
        <v>9.44928356554781</v>
      </c>
      <c r="AJ391">
        <f t="shared" si="76"/>
        <v>2.33544254066271</v>
      </c>
    </row>
    <row r="392" spans="1:36">
      <c r="A392" s="1" t="s">
        <v>412</v>
      </c>
      <c r="B392" s="1">
        <v>47813606</v>
      </c>
      <c r="C392" s="2">
        <v>0.797101</v>
      </c>
      <c r="E392">
        <v>3.516289</v>
      </c>
      <c r="F392">
        <v>13597.747507</v>
      </c>
      <c r="G392" s="3">
        <f t="shared" si="66"/>
        <v>13.597747507</v>
      </c>
      <c r="I392" t="s">
        <v>412</v>
      </c>
      <c r="J392">
        <v>1.94427</v>
      </c>
      <c r="K392" s="5">
        <f t="shared" si="67"/>
        <v>24.5920607734522</v>
      </c>
      <c r="L392">
        <f t="shared" si="68"/>
        <v>1.80853930114473</v>
      </c>
      <c r="O392">
        <v>0.0052288</v>
      </c>
      <c r="P392" s="6">
        <f t="shared" si="69"/>
        <v>9.14427899326805</v>
      </c>
      <c r="Q392" s="4">
        <f t="shared" si="70"/>
        <v>2.68933841493208</v>
      </c>
      <c r="T392">
        <v>22.48</v>
      </c>
      <c r="U392" s="7">
        <f t="shared" si="71"/>
        <v>2.12693976868327</v>
      </c>
      <c r="V392">
        <f t="shared" si="72"/>
        <v>11.5621801498763</v>
      </c>
      <c r="Y392">
        <v>0.06124176</v>
      </c>
      <c r="Z392" s="8">
        <v>0.468441200906048</v>
      </c>
      <c r="AA392">
        <f t="shared" si="73"/>
        <v>52.4976469317534</v>
      </c>
      <c r="AD392" s="9">
        <v>3.43419</v>
      </c>
      <c r="AE392">
        <f t="shared" si="74"/>
        <v>7.16094938644986</v>
      </c>
      <c r="AH392">
        <v>4.4151</v>
      </c>
      <c r="AI392" s="10">
        <f t="shared" si="75"/>
        <v>10.8295635432946</v>
      </c>
      <c r="AJ392">
        <f t="shared" si="76"/>
        <v>2.27082658272771</v>
      </c>
    </row>
    <row r="393" spans="1:36">
      <c r="A393" s="1" t="s">
        <v>413</v>
      </c>
      <c r="B393" s="1">
        <v>48301476</v>
      </c>
      <c r="C393" s="2">
        <v>1</v>
      </c>
      <c r="E393">
        <v>2.793693</v>
      </c>
      <c r="F393">
        <v>17289.471058</v>
      </c>
      <c r="G393" s="3">
        <f t="shared" si="66"/>
        <v>17.289471058</v>
      </c>
      <c r="I393" t="s">
        <v>413</v>
      </c>
      <c r="J393">
        <v>1.25827</v>
      </c>
      <c r="K393" s="5">
        <f t="shared" si="67"/>
        <v>38.387211011945</v>
      </c>
      <c r="L393">
        <f t="shared" si="68"/>
        <v>2.2202652055213</v>
      </c>
      <c r="O393">
        <v>0.0035136</v>
      </c>
      <c r="P393" s="6">
        <f t="shared" si="69"/>
        <v>13.7470047814208</v>
      </c>
      <c r="Q393" s="4">
        <f t="shared" si="70"/>
        <v>2.79240544557209</v>
      </c>
      <c r="T393">
        <v>13.158</v>
      </c>
      <c r="U393" s="7">
        <f t="shared" si="71"/>
        <v>3.67088280893753</v>
      </c>
      <c r="V393">
        <f t="shared" si="72"/>
        <v>10.4572150651291</v>
      </c>
      <c r="Y393">
        <v>0.004930632</v>
      </c>
      <c r="Z393" s="8">
        <v>5.87772228793388</v>
      </c>
      <c r="AA393">
        <f t="shared" si="73"/>
        <v>6.530967121524</v>
      </c>
      <c r="AD393" s="9">
        <v>3.60816</v>
      </c>
      <c r="AE393">
        <f t="shared" si="74"/>
        <v>10.6389991053459</v>
      </c>
      <c r="AH393">
        <v>3.0238</v>
      </c>
      <c r="AI393" s="10">
        <f t="shared" si="75"/>
        <v>15.9737667835174</v>
      </c>
      <c r="AJ393">
        <f t="shared" si="76"/>
        <v>2.40314082033268</v>
      </c>
    </row>
    <row r="394" spans="1:36">
      <c r="A394" s="1" t="s">
        <v>414</v>
      </c>
      <c r="B394" s="1">
        <v>48844004</v>
      </c>
      <c r="C394" s="2">
        <v>5.6164e-5</v>
      </c>
      <c r="E394">
        <v>13.39043</v>
      </c>
      <c r="F394">
        <v>3647.680132</v>
      </c>
      <c r="G394" s="3">
        <f t="shared" si="66"/>
        <v>3.647680132</v>
      </c>
      <c r="I394" t="s">
        <v>414</v>
      </c>
      <c r="J394">
        <v>22.2208</v>
      </c>
      <c r="K394" s="5">
        <f t="shared" si="67"/>
        <v>2.19812085973502</v>
      </c>
      <c r="L394">
        <f t="shared" si="68"/>
        <v>0.602607898771488</v>
      </c>
      <c r="O394">
        <v>0.0175616</v>
      </c>
      <c r="P394" s="6">
        <f t="shared" si="69"/>
        <v>2.78129578170554</v>
      </c>
      <c r="Q394" s="4">
        <f t="shared" si="70"/>
        <v>0.790322580645161</v>
      </c>
      <c r="T394">
        <v>405.27</v>
      </c>
      <c r="U394" s="7">
        <f t="shared" si="71"/>
        <v>0.120522130925062</v>
      </c>
      <c r="V394">
        <f t="shared" si="72"/>
        <v>18.2383172523041</v>
      </c>
      <c r="Y394">
        <v>0.002530692</v>
      </c>
      <c r="Z394" s="8">
        <v>11.5803908180055</v>
      </c>
      <c r="AA394">
        <f t="shared" si="73"/>
        <v>0.189814048099078</v>
      </c>
      <c r="AD394" s="9">
        <v>1.677276</v>
      </c>
      <c r="AE394">
        <f t="shared" si="74"/>
        <v>1.31053020476953</v>
      </c>
      <c r="AH394">
        <v>41.3634</v>
      </c>
      <c r="AI394" s="10">
        <f t="shared" si="75"/>
        <v>1.18085080046611</v>
      </c>
      <c r="AJ394">
        <f t="shared" si="76"/>
        <v>1.86147213421659</v>
      </c>
    </row>
    <row r="395" spans="1:36">
      <c r="A395" s="1" t="s">
        <v>415</v>
      </c>
      <c r="B395" s="1">
        <v>49280096</v>
      </c>
      <c r="C395" s="2">
        <v>7.3654e-5</v>
      </c>
      <c r="E395">
        <v>12.807597</v>
      </c>
      <c r="F395">
        <v>3847.723813</v>
      </c>
      <c r="G395" s="3">
        <f t="shared" si="66"/>
        <v>3.847723813</v>
      </c>
      <c r="I395" t="s">
        <v>415</v>
      </c>
      <c r="J395">
        <v>20.6268</v>
      </c>
      <c r="K395" s="5">
        <f t="shared" si="67"/>
        <v>2.38912948203308</v>
      </c>
      <c r="L395">
        <f t="shared" si="68"/>
        <v>0.620920211050783</v>
      </c>
      <c r="O395">
        <v>0.0168032</v>
      </c>
      <c r="P395" s="6">
        <f t="shared" si="69"/>
        <v>2.93278042277661</v>
      </c>
      <c r="Q395" s="4">
        <f t="shared" si="70"/>
        <v>0.814629511121454</v>
      </c>
      <c r="T395">
        <v>384.77</v>
      </c>
      <c r="U395" s="7">
        <f t="shared" si="71"/>
        <v>0.128076762741378</v>
      </c>
      <c r="V395">
        <f t="shared" si="72"/>
        <v>18.6538871759071</v>
      </c>
      <c r="Y395">
        <v>0.0023742</v>
      </c>
      <c r="Z395" s="8">
        <v>12.4539034622189</v>
      </c>
      <c r="AA395">
        <f t="shared" si="73"/>
        <v>0.191837803246261</v>
      </c>
      <c r="AD395" s="9">
        <v>1.779804</v>
      </c>
      <c r="AE395">
        <f t="shared" si="74"/>
        <v>1.34235538409459</v>
      </c>
      <c r="AH395">
        <v>45.1533</v>
      </c>
      <c r="AI395" s="10">
        <f t="shared" si="75"/>
        <v>1.09139522471226</v>
      </c>
      <c r="AJ395">
        <f t="shared" si="76"/>
        <v>2.18905986386643</v>
      </c>
    </row>
    <row r="396" spans="1:36">
      <c r="A396" s="1" t="s">
        <v>416</v>
      </c>
      <c r="B396" s="1">
        <v>50814278</v>
      </c>
      <c r="C396" s="2">
        <v>0.0549182</v>
      </c>
      <c r="E396">
        <v>10.841497</v>
      </c>
      <c r="F396">
        <v>4687.016913</v>
      </c>
      <c r="G396" s="3">
        <f t="shared" si="66"/>
        <v>4.687016913</v>
      </c>
      <c r="I396" t="s">
        <v>416</v>
      </c>
      <c r="J396">
        <v>19.5973</v>
      </c>
      <c r="K396" s="5">
        <f t="shared" si="67"/>
        <v>2.59292239237038</v>
      </c>
      <c r="L396">
        <f t="shared" si="68"/>
        <v>0.55321379045563</v>
      </c>
      <c r="O396">
        <v>0.024336</v>
      </c>
      <c r="P396" s="6">
        <f t="shared" si="69"/>
        <v>2.08802917488494</v>
      </c>
      <c r="Q396" s="4">
        <f t="shared" si="70"/>
        <v>1.24180371785909</v>
      </c>
      <c r="T396">
        <v>995.009</v>
      </c>
      <c r="U396" s="7">
        <f t="shared" si="71"/>
        <v>0.0510691641985148</v>
      </c>
      <c r="V396">
        <f t="shared" si="72"/>
        <v>50.77275951279</v>
      </c>
      <c r="Y396">
        <v>0.1457838</v>
      </c>
      <c r="Z396" s="8">
        <v>0.209135492420969</v>
      </c>
      <c r="AA396">
        <f t="shared" si="73"/>
        <v>12.3982895602965</v>
      </c>
      <c r="AD396" s="9">
        <v>1.184664</v>
      </c>
      <c r="AE396">
        <f t="shared" si="74"/>
        <v>2.18874076731493</v>
      </c>
      <c r="AH396">
        <v>62.7944</v>
      </c>
      <c r="AI396" s="10">
        <f t="shared" si="75"/>
        <v>0.809216713592295</v>
      </c>
      <c r="AJ396">
        <f t="shared" si="76"/>
        <v>3.20423731840611</v>
      </c>
    </row>
    <row r="397" spans="1:36">
      <c r="A397" s="1" t="s">
        <v>417</v>
      </c>
      <c r="B397" s="1">
        <v>50982814</v>
      </c>
      <c r="C397" s="2">
        <v>0.05307</v>
      </c>
      <c r="E397">
        <v>9.388101</v>
      </c>
      <c r="F397">
        <v>5430.577969</v>
      </c>
      <c r="G397" s="3">
        <f t="shared" si="66"/>
        <v>5.430577969</v>
      </c>
      <c r="I397" t="s">
        <v>417</v>
      </c>
      <c r="J397">
        <v>9.50833</v>
      </c>
      <c r="K397" s="5">
        <f t="shared" si="67"/>
        <v>5.36191045115178</v>
      </c>
      <c r="L397">
        <f t="shared" si="68"/>
        <v>0.987355394169791</v>
      </c>
      <c r="O397">
        <v>0.0098272</v>
      </c>
      <c r="P397" s="6">
        <f t="shared" si="69"/>
        <v>5.18792880983393</v>
      </c>
      <c r="Q397" s="4">
        <f t="shared" si="70"/>
        <v>1.033535857506</v>
      </c>
      <c r="T397">
        <v>85.107</v>
      </c>
      <c r="U397" s="7">
        <f t="shared" si="71"/>
        <v>0.59904372143302</v>
      </c>
      <c r="V397">
        <f t="shared" si="72"/>
        <v>8.95078315540163</v>
      </c>
      <c r="Y397">
        <v>0.03652956</v>
      </c>
      <c r="Z397" s="8">
        <v>0.837395479168104</v>
      </c>
      <c r="AA397">
        <f t="shared" si="73"/>
        <v>6.40308024647861</v>
      </c>
      <c r="AD397" s="9">
        <v>2.051043</v>
      </c>
      <c r="AE397">
        <f t="shared" si="74"/>
        <v>2.61423600146451</v>
      </c>
      <c r="AH397">
        <v>16.0632</v>
      </c>
      <c r="AI397" s="10">
        <f t="shared" si="75"/>
        <v>3.17388901339708</v>
      </c>
      <c r="AJ397">
        <f t="shared" si="76"/>
        <v>1.68938183676839</v>
      </c>
    </row>
    <row r="398" spans="1:36">
      <c r="A398" s="1" t="s">
        <v>418</v>
      </c>
      <c r="B398" s="1">
        <v>50982814</v>
      </c>
      <c r="C398" s="2">
        <v>0.05307</v>
      </c>
      <c r="E398">
        <v>9.686421</v>
      </c>
      <c r="F398">
        <v>5263.328173</v>
      </c>
      <c r="G398" s="3">
        <f t="shared" si="66"/>
        <v>5.263328173</v>
      </c>
      <c r="I398" t="s">
        <v>418</v>
      </c>
      <c r="J398">
        <v>9.50365</v>
      </c>
      <c r="K398" s="5">
        <f t="shared" si="67"/>
        <v>5.36455088308176</v>
      </c>
      <c r="L398">
        <f t="shared" si="68"/>
        <v>1.01923169271508</v>
      </c>
      <c r="O398">
        <v>0.0100128</v>
      </c>
      <c r="P398" s="6">
        <f t="shared" si="69"/>
        <v>5.09176394215404</v>
      </c>
      <c r="Q398" s="4">
        <f t="shared" si="70"/>
        <v>1.05357415308855</v>
      </c>
      <c r="T398">
        <v>87.404</v>
      </c>
      <c r="U398" s="7">
        <f t="shared" si="71"/>
        <v>0.583300695620338</v>
      </c>
      <c r="V398">
        <f t="shared" si="72"/>
        <v>9.19688751164026</v>
      </c>
      <c r="Y398">
        <v>0.07492518</v>
      </c>
      <c r="Z398" s="8">
        <v>0.40826980195443</v>
      </c>
      <c r="AA398">
        <f t="shared" si="73"/>
        <v>13.1397200023149</v>
      </c>
      <c r="AD398" s="9">
        <v>2.051214</v>
      </c>
      <c r="AE398">
        <f t="shared" si="74"/>
        <v>2.61530531825629</v>
      </c>
      <c r="AH398">
        <v>16.2935</v>
      </c>
      <c r="AI398" s="10">
        <f t="shared" si="75"/>
        <v>3.12902777181084</v>
      </c>
      <c r="AJ398">
        <f t="shared" si="76"/>
        <v>1.71444655474476</v>
      </c>
    </row>
    <row r="399" spans="1:36">
      <c r="A399" s="1" t="s">
        <v>419</v>
      </c>
      <c r="B399" s="1">
        <v>51802184</v>
      </c>
      <c r="C399" s="2">
        <v>0.095743</v>
      </c>
      <c r="E399">
        <v>19.109365</v>
      </c>
      <c r="F399">
        <v>2710.827091</v>
      </c>
      <c r="G399" s="3">
        <f t="shared" si="66"/>
        <v>2.710827091</v>
      </c>
      <c r="I399" t="s">
        <v>419</v>
      </c>
      <c r="J399">
        <v>25.4311</v>
      </c>
      <c r="K399" s="5">
        <f t="shared" si="67"/>
        <v>2.03696198748776</v>
      </c>
      <c r="L399">
        <f t="shared" si="68"/>
        <v>0.751417157608656</v>
      </c>
      <c r="O399">
        <v>0.02356</v>
      </c>
      <c r="P399" s="6">
        <f t="shared" si="69"/>
        <v>2.19873446519525</v>
      </c>
      <c r="Q399" s="4">
        <f t="shared" si="70"/>
        <v>0.926424731922725</v>
      </c>
      <c r="T399">
        <v>58.177</v>
      </c>
      <c r="U399" s="7">
        <f t="shared" si="71"/>
        <v>0.890423775718927</v>
      </c>
      <c r="V399">
        <f t="shared" si="72"/>
        <v>2.2876320725411</v>
      </c>
      <c r="Y399">
        <v>0.015824214</v>
      </c>
      <c r="Z399" s="8">
        <v>1.96416140479394</v>
      </c>
      <c r="AA399">
        <f t="shared" si="73"/>
        <v>1.0370644604441</v>
      </c>
      <c r="AD399" s="9">
        <v>1.257375</v>
      </c>
      <c r="AE399">
        <f t="shared" si="74"/>
        <v>1.62001152201035</v>
      </c>
      <c r="AH399">
        <v>49.107</v>
      </c>
      <c r="AI399" s="10">
        <f t="shared" si="75"/>
        <v>1.05488390657136</v>
      </c>
      <c r="AJ399">
        <f t="shared" si="76"/>
        <v>1.93098214391041</v>
      </c>
    </row>
    <row r="400" spans="1:36">
      <c r="A400" s="1" t="s">
        <v>420</v>
      </c>
      <c r="B400" s="1">
        <v>51970628</v>
      </c>
      <c r="C400" s="2">
        <v>0.234481</v>
      </c>
      <c r="E400">
        <v>6.268639</v>
      </c>
      <c r="F400">
        <v>8290.576515</v>
      </c>
      <c r="G400" s="3">
        <f t="shared" si="66"/>
        <v>8.290576515</v>
      </c>
      <c r="I400" t="s">
        <v>420</v>
      </c>
      <c r="J400">
        <v>3.60753</v>
      </c>
      <c r="K400" s="5">
        <f t="shared" si="67"/>
        <v>14.4061526861869</v>
      </c>
      <c r="L400">
        <f t="shared" si="68"/>
        <v>1.7376539086422</v>
      </c>
      <c r="O400">
        <v>0.0059744</v>
      </c>
      <c r="P400" s="6">
        <f t="shared" si="69"/>
        <v>8.69888658275308</v>
      </c>
      <c r="Q400" s="4">
        <f t="shared" si="70"/>
        <v>1.65609156403412</v>
      </c>
      <c r="T400">
        <v>24.309</v>
      </c>
      <c r="U400" s="7">
        <f t="shared" si="71"/>
        <v>2.13791715002674</v>
      </c>
      <c r="V400">
        <f t="shared" si="72"/>
        <v>6.73840550182535</v>
      </c>
      <c r="Y400">
        <v>0.006615054</v>
      </c>
      <c r="Z400" s="8">
        <v>4.71385068058401</v>
      </c>
      <c r="AA400">
        <f t="shared" si="73"/>
        <v>3.05613258933398</v>
      </c>
      <c r="AD400" s="9">
        <v>3.14004</v>
      </c>
      <c r="AE400">
        <f t="shared" si="74"/>
        <v>4.58788827090959</v>
      </c>
      <c r="AH400">
        <v>6.5014</v>
      </c>
      <c r="AI400" s="10">
        <f t="shared" si="75"/>
        <v>7.99375949795429</v>
      </c>
      <c r="AJ400">
        <f t="shared" si="76"/>
        <v>1.80217489528847</v>
      </c>
    </row>
    <row r="401" spans="1:36">
      <c r="A401" s="1" t="s">
        <v>421</v>
      </c>
      <c r="B401" s="1">
        <v>52252762</v>
      </c>
      <c r="C401" s="2">
        <v>0.0497453</v>
      </c>
      <c r="E401">
        <v>10.312757</v>
      </c>
      <c r="F401">
        <v>5066.80838</v>
      </c>
      <c r="G401" s="3">
        <f t="shared" si="66"/>
        <v>5.06680838</v>
      </c>
      <c r="I401" t="s">
        <v>421</v>
      </c>
      <c r="J401">
        <v>10.1175</v>
      </c>
      <c r="K401" s="5">
        <f t="shared" si="67"/>
        <v>5.1645922411663</v>
      </c>
      <c r="L401">
        <f t="shared" si="68"/>
        <v>1.01929890649749</v>
      </c>
      <c r="O401">
        <v>0.0120816</v>
      </c>
      <c r="P401" s="6">
        <f t="shared" si="69"/>
        <v>4.32498692226195</v>
      </c>
      <c r="Q401" s="4">
        <f t="shared" si="70"/>
        <v>1.19412898443291</v>
      </c>
      <c r="T401">
        <v>115.256</v>
      </c>
      <c r="U401" s="7">
        <f t="shared" si="71"/>
        <v>0.453362618865829</v>
      </c>
      <c r="V401">
        <f t="shared" si="72"/>
        <v>11.3917469730665</v>
      </c>
      <c r="Y401">
        <v>0.002109438</v>
      </c>
      <c r="Z401" s="8">
        <v>14.8625639625341</v>
      </c>
      <c r="AA401">
        <f t="shared" si="73"/>
        <v>0.347489992587102</v>
      </c>
      <c r="AD401" s="9">
        <v>2.208927</v>
      </c>
      <c r="AE401">
        <f t="shared" si="74"/>
        <v>2.33805473932199</v>
      </c>
      <c r="AH401">
        <v>23.4887</v>
      </c>
      <c r="AI401" s="10">
        <f t="shared" si="75"/>
        <v>2.22459148441591</v>
      </c>
      <c r="AJ401">
        <f t="shared" si="76"/>
        <v>2.32159130219916</v>
      </c>
    </row>
    <row r="402" spans="1:36">
      <c r="A402" s="1" t="s">
        <v>423</v>
      </c>
      <c r="B402" s="1">
        <v>52477872</v>
      </c>
      <c r="C402" s="2">
        <v>0.0170809</v>
      </c>
      <c r="E402">
        <v>9.625138</v>
      </c>
      <c r="F402">
        <v>5452.168498</v>
      </c>
      <c r="G402" s="3">
        <f t="shared" si="66"/>
        <v>5.452168498</v>
      </c>
      <c r="I402" t="s">
        <v>423</v>
      </c>
      <c r="J402">
        <v>18.0265</v>
      </c>
      <c r="K402" s="5">
        <f t="shared" si="67"/>
        <v>2.91115147144482</v>
      </c>
      <c r="L402">
        <f t="shared" si="68"/>
        <v>0.533943782645878</v>
      </c>
      <c r="O402">
        <v>0.0240976</v>
      </c>
      <c r="P402" s="6">
        <f t="shared" si="69"/>
        <v>2.17772193081469</v>
      </c>
      <c r="Q402" s="4">
        <f t="shared" si="70"/>
        <v>1.33678750728095</v>
      </c>
      <c r="T402">
        <v>1766.991</v>
      </c>
      <c r="U402" s="7">
        <f t="shared" si="71"/>
        <v>0.0296990035602898</v>
      </c>
      <c r="V402">
        <f t="shared" si="72"/>
        <v>98.0218567109533</v>
      </c>
      <c r="Y402">
        <v>0.08885412</v>
      </c>
      <c r="Z402" s="8">
        <v>0.354364245574657</v>
      </c>
      <c r="AA402">
        <f t="shared" si="73"/>
        <v>8.21513882339887</v>
      </c>
      <c r="AD402" s="9">
        <v>1.248534</v>
      </c>
      <c r="AE402">
        <f t="shared" si="74"/>
        <v>2.33165574301126</v>
      </c>
      <c r="AH402">
        <v>70.4364</v>
      </c>
      <c r="AI402" s="10">
        <f t="shared" si="75"/>
        <v>0.745039099102169</v>
      </c>
      <c r="AJ402">
        <f t="shared" si="76"/>
        <v>3.90738080048817</v>
      </c>
    </row>
    <row r="403" spans="1:36">
      <c r="A403" s="1" t="s">
        <v>422</v>
      </c>
      <c r="B403" s="1">
        <v>52477872</v>
      </c>
      <c r="C403" s="2">
        <v>0.0137664</v>
      </c>
      <c r="E403">
        <v>9.268887</v>
      </c>
      <c r="F403">
        <v>5661.723215</v>
      </c>
      <c r="G403" s="3">
        <f t="shared" si="66"/>
        <v>5.661723215</v>
      </c>
      <c r="I403" t="s">
        <v>422</v>
      </c>
      <c r="J403">
        <v>15.8295</v>
      </c>
      <c r="K403" s="5">
        <f t="shared" si="67"/>
        <v>3.31519454183644</v>
      </c>
      <c r="L403">
        <f t="shared" si="68"/>
        <v>0.585545145169454</v>
      </c>
      <c r="O403">
        <v>0.029632</v>
      </c>
      <c r="P403" s="6">
        <f t="shared" si="69"/>
        <v>1.77098650107991</v>
      </c>
      <c r="Q403" s="4">
        <f t="shared" si="70"/>
        <v>1.87194794529202</v>
      </c>
      <c r="T403">
        <v>1764.519</v>
      </c>
      <c r="U403" s="7">
        <f t="shared" si="71"/>
        <v>0.029740610330634</v>
      </c>
      <c r="V403">
        <f t="shared" si="72"/>
        <v>111.470292807732</v>
      </c>
      <c r="Y403">
        <v>0.09214398</v>
      </c>
      <c r="Z403" s="8">
        <v>0.341712211693048</v>
      </c>
      <c r="AA403">
        <f t="shared" si="73"/>
        <v>9.70171515208946</v>
      </c>
      <c r="AD403" s="9">
        <v>1.252101</v>
      </c>
      <c r="AE403">
        <f t="shared" si="74"/>
        <v>2.64770537028278</v>
      </c>
      <c r="AH403">
        <v>68.9355</v>
      </c>
      <c r="AI403" s="10">
        <f t="shared" si="75"/>
        <v>0.761260482625062</v>
      </c>
      <c r="AJ403">
        <f t="shared" si="76"/>
        <v>4.35487539088411</v>
      </c>
    </row>
    <row r="404" spans="1:36">
      <c r="A404" s="1" t="s">
        <v>424</v>
      </c>
      <c r="B404" s="1">
        <v>52600628</v>
      </c>
      <c r="C404" s="2">
        <v>1</v>
      </c>
      <c r="E404">
        <v>3.05102</v>
      </c>
      <c r="F404">
        <v>17240.341681</v>
      </c>
      <c r="G404" s="3">
        <f t="shared" si="66"/>
        <v>17.240341681</v>
      </c>
      <c r="I404" t="s">
        <v>424</v>
      </c>
      <c r="J404">
        <v>1.29306</v>
      </c>
      <c r="K404" s="5">
        <f t="shared" si="67"/>
        <v>40.6791858073098</v>
      </c>
      <c r="L404">
        <f t="shared" si="68"/>
        <v>2.35953477953056</v>
      </c>
      <c r="O404">
        <v>0.003808</v>
      </c>
      <c r="P404" s="6">
        <f t="shared" si="69"/>
        <v>13.8131901260504</v>
      </c>
      <c r="Q404" s="4">
        <f t="shared" si="70"/>
        <v>2.94495228373007</v>
      </c>
      <c r="T404">
        <v>14.462</v>
      </c>
      <c r="U404" s="7">
        <f t="shared" si="71"/>
        <v>3.63716138846633</v>
      </c>
      <c r="V404">
        <f t="shared" si="72"/>
        <v>11.1843224599013</v>
      </c>
      <c r="Y404">
        <v>0.005329296</v>
      </c>
      <c r="Z404" s="8">
        <v>5.92205364460897</v>
      </c>
      <c r="AA404">
        <f t="shared" si="73"/>
        <v>6.86910120180038</v>
      </c>
      <c r="AD404" s="9">
        <v>3.61095</v>
      </c>
      <c r="AE404">
        <f t="shared" si="74"/>
        <v>11.2655079154543</v>
      </c>
      <c r="AH404">
        <v>4.6081</v>
      </c>
      <c r="AI404" s="10">
        <f t="shared" si="75"/>
        <v>11.4148191228489</v>
      </c>
      <c r="AJ404">
        <f t="shared" si="76"/>
        <v>3.56371707422703</v>
      </c>
    </row>
    <row r="405" spans="1:36">
      <c r="A405" s="1" t="s">
        <v>425</v>
      </c>
      <c r="B405" s="1">
        <v>53408952</v>
      </c>
      <c r="C405" s="2">
        <v>0</v>
      </c>
      <c r="E405">
        <v>8.405901</v>
      </c>
      <c r="F405">
        <v>6353.745134</v>
      </c>
      <c r="G405" s="3">
        <f t="shared" si="66"/>
        <v>6.353745134</v>
      </c>
      <c r="I405" t="s">
        <v>425</v>
      </c>
      <c r="J405">
        <v>6.25522</v>
      </c>
      <c r="K405" s="5">
        <f t="shared" si="67"/>
        <v>8.53830113089548</v>
      </c>
      <c r="L405">
        <f t="shared" si="68"/>
        <v>1.34382178554905</v>
      </c>
      <c r="O405">
        <v>0.0103376</v>
      </c>
      <c r="P405" s="6">
        <f t="shared" si="69"/>
        <v>5.16647500386937</v>
      </c>
      <c r="Q405" s="4">
        <f t="shared" si="70"/>
        <v>1.65263571864779</v>
      </c>
      <c r="T405">
        <v>33.829</v>
      </c>
      <c r="U405" s="7">
        <f t="shared" si="71"/>
        <v>1.5787919240888</v>
      </c>
      <c r="V405">
        <f t="shared" si="72"/>
        <v>5.40812313555718</v>
      </c>
      <c r="Y405">
        <v>0.007540506</v>
      </c>
      <c r="Z405" s="8">
        <v>4.249764034403</v>
      </c>
      <c r="AA405">
        <f t="shared" si="73"/>
        <v>2.00912357998599</v>
      </c>
      <c r="AD405" s="9">
        <v>2.682987</v>
      </c>
      <c r="AE405">
        <f t="shared" si="74"/>
        <v>3.18238632199689</v>
      </c>
      <c r="AH405">
        <v>7.1047</v>
      </c>
      <c r="AI405" s="10">
        <f t="shared" si="75"/>
        <v>7.51741129111715</v>
      </c>
      <c r="AJ405">
        <f t="shared" si="76"/>
        <v>1.13580337701951</v>
      </c>
    </row>
    <row r="406" spans="1:36">
      <c r="A406" s="1" t="s">
        <v>426</v>
      </c>
      <c r="B406" s="1">
        <v>53901560</v>
      </c>
      <c r="C406" s="2">
        <v>0.724507</v>
      </c>
      <c r="E406">
        <v>34.725149</v>
      </c>
      <c r="F406">
        <v>1552.234106</v>
      </c>
      <c r="G406" s="3">
        <f t="shared" si="66"/>
        <v>1.552234106</v>
      </c>
      <c r="I406" t="s">
        <v>426</v>
      </c>
      <c r="J406">
        <v>16.2109</v>
      </c>
      <c r="K406" s="5">
        <f t="shared" si="67"/>
        <v>3.32501958558748</v>
      </c>
      <c r="L406">
        <f t="shared" si="68"/>
        <v>2.14208641127969</v>
      </c>
      <c r="O406">
        <v>0.0191728</v>
      </c>
      <c r="P406" s="6">
        <f t="shared" si="69"/>
        <v>2.81135567053326</v>
      </c>
      <c r="Q406" s="4">
        <f t="shared" si="70"/>
        <v>1.18271039855899</v>
      </c>
      <c r="T406">
        <v>90.811</v>
      </c>
      <c r="U406" s="7">
        <f t="shared" si="71"/>
        <v>0.593557608659744</v>
      </c>
      <c r="V406">
        <f t="shared" si="72"/>
        <v>5.60184813921497</v>
      </c>
      <c r="Y406">
        <v>0.00592146</v>
      </c>
      <c r="Z406" s="8">
        <v>5.46164898521648</v>
      </c>
      <c r="AA406">
        <f t="shared" si="73"/>
        <v>0.608794082993542</v>
      </c>
      <c r="AD406" s="9">
        <v>1.675347</v>
      </c>
      <c r="AE406">
        <f t="shared" si="74"/>
        <v>1.98467516615213</v>
      </c>
      <c r="AH406">
        <v>48.4663</v>
      </c>
      <c r="AI406" s="10">
        <f t="shared" si="75"/>
        <v>1.11214514002513</v>
      </c>
      <c r="AJ406">
        <f t="shared" si="76"/>
        <v>2.98973530155636</v>
      </c>
    </row>
    <row r="407" spans="1:36">
      <c r="A407" s="1" t="s">
        <v>427</v>
      </c>
      <c r="B407" s="1">
        <v>54370360</v>
      </c>
      <c r="C407" s="2">
        <v>0.000294066</v>
      </c>
      <c r="E407">
        <v>33.070401</v>
      </c>
      <c r="F407">
        <v>1644.079259</v>
      </c>
      <c r="G407" s="3">
        <f t="shared" si="66"/>
        <v>1.644079259</v>
      </c>
      <c r="I407" t="s">
        <v>427</v>
      </c>
      <c r="J407">
        <v>44.6946</v>
      </c>
      <c r="K407" s="5">
        <f t="shared" si="67"/>
        <v>1.21648610794145</v>
      </c>
      <c r="L407">
        <f t="shared" si="68"/>
        <v>0.739919381186872</v>
      </c>
      <c r="O407">
        <v>0.03216</v>
      </c>
      <c r="P407" s="6">
        <f t="shared" si="69"/>
        <v>1.69062064676617</v>
      </c>
      <c r="Q407" s="4">
        <f t="shared" si="70"/>
        <v>0.719550012753219</v>
      </c>
      <c r="T407">
        <v>222.005</v>
      </c>
      <c r="U407" s="7">
        <f t="shared" si="71"/>
        <v>0.244906015630279</v>
      </c>
      <c r="V407">
        <f t="shared" si="72"/>
        <v>4.96715486882084</v>
      </c>
      <c r="Y407">
        <v>0.01350927</v>
      </c>
      <c r="Z407" s="8">
        <v>2.41480228021203</v>
      </c>
      <c r="AA407">
        <f t="shared" si="73"/>
        <v>0.503762199460338</v>
      </c>
      <c r="AD407" s="9">
        <v>1.04595</v>
      </c>
      <c r="AE407">
        <f t="shared" si="74"/>
        <v>1.16304422576744</v>
      </c>
      <c r="AH407">
        <v>73.6118</v>
      </c>
      <c r="AI407" s="10">
        <f t="shared" si="75"/>
        <v>0.738609299052598</v>
      </c>
      <c r="AJ407">
        <f t="shared" si="76"/>
        <v>1.64699538646727</v>
      </c>
    </row>
    <row r="408" spans="1:36">
      <c r="A408" s="1" t="s">
        <v>428</v>
      </c>
      <c r="B408" s="1">
        <v>54377724</v>
      </c>
      <c r="C408" s="2">
        <v>0.477522</v>
      </c>
      <c r="E408">
        <v>25.857978</v>
      </c>
      <c r="F408">
        <v>2102.938009</v>
      </c>
      <c r="G408" s="3">
        <f t="shared" si="66"/>
        <v>2.102938009</v>
      </c>
      <c r="I408" t="s">
        <v>428</v>
      </c>
      <c r="J408">
        <v>31.2067</v>
      </c>
      <c r="K408" s="5">
        <f t="shared" si="67"/>
        <v>1.74250157818674</v>
      </c>
      <c r="L408">
        <f t="shared" si="68"/>
        <v>0.828603397118367</v>
      </c>
      <c r="O408">
        <v>0.0486624</v>
      </c>
      <c r="P408" s="6">
        <f t="shared" si="69"/>
        <v>1.11744846123496</v>
      </c>
      <c r="Q408" s="4">
        <f t="shared" si="70"/>
        <v>1.55935744567673</v>
      </c>
      <c r="T408">
        <v>148.028</v>
      </c>
      <c r="U408" s="7">
        <f t="shared" si="71"/>
        <v>0.367347555867809</v>
      </c>
      <c r="V408">
        <f t="shared" si="72"/>
        <v>4.74346855002291</v>
      </c>
      <c r="Y408">
        <v>0.02054466</v>
      </c>
      <c r="Z408" s="8">
        <v>1.58808344358096</v>
      </c>
      <c r="AA408">
        <f t="shared" si="73"/>
        <v>1.09723552954974</v>
      </c>
      <c r="AD408" s="9">
        <v>1.017132</v>
      </c>
      <c r="AE408">
        <f t="shared" si="74"/>
        <v>1.71315186051244</v>
      </c>
      <c r="AH408">
        <v>43.0356</v>
      </c>
      <c r="AI408" s="10">
        <f t="shared" si="75"/>
        <v>1.26355212893511</v>
      </c>
      <c r="AJ408">
        <f t="shared" si="76"/>
        <v>1.37905001169621</v>
      </c>
    </row>
    <row r="409" spans="1:36">
      <c r="A409" s="1" t="s">
        <v>429</v>
      </c>
      <c r="B409" s="1">
        <v>54434958</v>
      </c>
      <c r="C409" s="2">
        <v>0.046291</v>
      </c>
      <c r="E409">
        <v>10.737032</v>
      </c>
      <c r="F409">
        <v>5069.832958</v>
      </c>
      <c r="G409" s="3">
        <f t="shared" si="66"/>
        <v>5.069832958</v>
      </c>
      <c r="I409" t="s">
        <v>429</v>
      </c>
      <c r="J409">
        <v>20.2307</v>
      </c>
      <c r="K409" s="5">
        <f t="shared" si="67"/>
        <v>2.69071055376235</v>
      </c>
      <c r="L409">
        <f t="shared" si="68"/>
        <v>0.530729626804866</v>
      </c>
      <c r="O409">
        <v>0.0260864</v>
      </c>
      <c r="P409" s="6">
        <f t="shared" si="69"/>
        <v>2.08671790664868</v>
      </c>
      <c r="Q409" s="4">
        <f t="shared" si="70"/>
        <v>1.28944623764872</v>
      </c>
      <c r="T409">
        <v>986.391</v>
      </c>
      <c r="U409" s="7">
        <f t="shared" si="71"/>
        <v>0.0551859840570322</v>
      </c>
      <c r="V409">
        <f t="shared" si="72"/>
        <v>48.7571364312654</v>
      </c>
      <c r="Y409">
        <v>0.08701956</v>
      </c>
      <c r="Z409" s="8">
        <v>0.375329119108394</v>
      </c>
      <c r="AA409">
        <f t="shared" si="73"/>
        <v>7.16893631955394</v>
      </c>
      <c r="AD409" s="9">
        <v>1.18356</v>
      </c>
      <c r="AE409">
        <f t="shared" si="74"/>
        <v>2.27340443556926</v>
      </c>
      <c r="AH409">
        <v>66.8525</v>
      </c>
      <c r="AI409" s="10">
        <f t="shared" si="75"/>
        <v>0.814254635204368</v>
      </c>
      <c r="AJ409">
        <f t="shared" si="76"/>
        <v>3.30450750591922</v>
      </c>
    </row>
    <row r="410" spans="1:36">
      <c r="A410" s="1" t="s">
        <v>430</v>
      </c>
      <c r="B410" s="1">
        <v>54549924</v>
      </c>
      <c r="C410" s="2">
        <v>0.0241443</v>
      </c>
      <c r="E410">
        <v>31.75983</v>
      </c>
      <c r="F410">
        <v>1717.576074</v>
      </c>
      <c r="G410" s="3">
        <f t="shared" si="66"/>
        <v>1.717576074</v>
      </c>
      <c r="I410" t="s">
        <v>430</v>
      </c>
      <c r="J410">
        <v>45.4428</v>
      </c>
      <c r="K410" s="5">
        <f t="shared" si="67"/>
        <v>1.2004085135599</v>
      </c>
      <c r="L410">
        <f t="shared" si="68"/>
        <v>0.698896853380308</v>
      </c>
      <c r="O410">
        <v>0.0238224</v>
      </c>
      <c r="P410" s="6">
        <f t="shared" si="69"/>
        <v>2.28985845254886</v>
      </c>
      <c r="Q410" s="4">
        <f t="shared" si="70"/>
        <v>0.524228260582534</v>
      </c>
      <c r="T410">
        <v>529.248</v>
      </c>
      <c r="U410" s="7">
        <f t="shared" si="71"/>
        <v>0.10307062851442</v>
      </c>
      <c r="V410">
        <f t="shared" si="72"/>
        <v>11.6464654466714</v>
      </c>
      <c r="Y410">
        <v>0.013887486</v>
      </c>
      <c r="Z410" s="8">
        <v>2.35679477192632</v>
      </c>
      <c r="AA410">
        <f t="shared" si="73"/>
        <v>0.509339433309568</v>
      </c>
      <c r="AD410" s="9">
        <v>1.124289</v>
      </c>
      <c r="AE410">
        <f t="shared" si="74"/>
        <v>1.06770457912503</v>
      </c>
      <c r="AH410">
        <v>50.6427</v>
      </c>
      <c r="AI410" s="10">
        <f t="shared" si="75"/>
        <v>1.07715275844297</v>
      </c>
      <c r="AJ410">
        <f t="shared" si="76"/>
        <v>1.1144273680319</v>
      </c>
    </row>
    <row r="411" spans="1:36">
      <c r="A411" s="1" t="s">
        <v>431</v>
      </c>
      <c r="B411" s="1">
        <v>54901212</v>
      </c>
      <c r="C411" s="2">
        <v>0.0145166</v>
      </c>
      <c r="E411">
        <v>21.868896</v>
      </c>
      <c r="F411">
        <v>2510.470264</v>
      </c>
      <c r="G411" s="3">
        <f t="shared" si="66"/>
        <v>2.510470264</v>
      </c>
      <c r="I411" t="s">
        <v>431</v>
      </c>
      <c r="J411">
        <v>18.9398</v>
      </c>
      <c r="K411" s="5">
        <f t="shared" si="67"/>
        <v>2.89872184500364</v>
      </c>
      <c r="L411">
        <f t="shared" si="68"/>
        <v>1.15465292960094</v>
      </c>
      <c r="O411">
        <v>0.0341792</v>
      </c>
      <c r="P411" s="6">
        <f t="shared" si="69"/>
        <v>1.60627551259245</v>
      </c>
      <c r="Q411" s="4">
        <f t="shared" si="70"/>
        <v>1.8046230688814</v>
      </c>
      <c r="T411">
        <v>73.656</v>
      </c>
      <c r="U411" s="7">
        <f t="shared" si="71"/>
        <v>0.745373248615184</v>
      </c>
      <c r="V411">
        <f t="shared" si="72"/>
        <v>3.88895342083866</v>
      </c>
      <c r="Y411">
        <v>0.0211752</v>
      </c>
      <c r="Z411" s="8">
        <v>1.55562767766066</v>
      </c>
      <c r="AA411">
        <f t="shared" si="73"/>
        <v>1.8633776491832</v>
      </c>
      <c r="AD411" s="9">
        <v>1.16052</v>
      </c>
      <c r="AE411">
        <f t="shared" si="74"/>
        <v>2.49777844845728</v>
      </c>
      <c r="AH411">
        <v>29.8564</v>
      </c>
      <c r="AI411" s="10">
        <f t="shared" si="75"/>
        <v>1.8388423252636</v>
      </c>
      <c r="AJ411">
        <f t="shared" si="76"/>
        <v>1.57638412232442</v>
      </c>
    </row>
    <row r="412" spans="1:36">
      <c r="A412" s="1" t="s">
        <v>432</v>
      </c>
      <c r="B412" s="1">
        <v>54947426</v>
      </c>
      <c r="C412" s="2">
        <v>0.0377657</v>
      </c>
      <c r="E412">
        <v>13.278289</v>
      </c>
      <c r="F412">
        <v>4138.140525</v>
      </c>
      <c r="G412" s="3">
        <f t="shared" si="66"/>
        <v>4.138140525</v>
      </c>
      <c r="I412" t="s">
        <v>432</v>
      </c>
      <c r="J412">
        <v>11.4565</v>
      </c>
      <c r="K412" s="5">
        <f t="shared" si="67"/>
        <v>4.79617911229433</v>
      </c>
      <c r="L412">
        <f t="shared" si="68"/>
        <v>1.15901794134802</v>
      </c>
      <c r="O412">
        <v>0.0125792</v>
      </c>
      <c r="P412" s="6">
        <f t="shared" si="69"/>
        <v>4.36811768633935</v>
      </c>
      <c r="Q412" s="4">
        <f t="shared" si="70"/>
        <v>1.09799677039235</v>
      </c>
      <c r="T412">
        <v>119.05</v>
      </c>
      <c r="U412" s="7">
        <f t="shared" si="71"/>
        <v>0.461549147417052</v>
      </c>
      <c r="V412">
        <f t="shared" si="72"/>
        <v>10.3914808187492</v>
      </c>
      <c r="Y412">
        <v>0.0016746048</v>
      </c>
      <c r="Z412" s="8">
        <v>19.6873050883408</v>
      </c>
      <c r="AA412">
        <f t="shared" si="73"/>
        <v>0.243617858857418</v>
      </c>
      <c r="AD412" s="9">
        <v>2.004489</v>
      </c>
      <c r="AE412">
        <f t="shared" si="74"/>
        <v>2.39271909813141</v>
      </c>
      <c r="AH412">
        <v>31.1059</v>
      </c>
      <c r="AI412" s="10">
        <f t="shared" si="75"/>
        <v>1.76646314686281</v>
      </c>
      <c r="AJ412">
        <f t="shared" si="76"/>
        <v>2.71513114825645</v>
      </c>
    </row>
    <row r="413" spans="1:36">
      <c r="A413" s="1" t="s">
        <v>433</v>
      </c>
      <c r="B413" s="1">
        <v>55150168</v>
      </c>
      <c r="C413" s="2">
        <v>4.02382e-5</v>
      </c>
      <c r="E413">
        <v>16.58476</v>
      </c>
      <c r="F413">
        <v>3325.352266</v>
      </c>
      <c r="G413" s="3">
        <f t="shared" si="66"/>
        <v>3.325352266</v>
      </c>
      <c r="I413" t="s">
        <v>433</v>
      </c>
      <c r="J413">
        <v>22.9153</v>
      </c>
      <c r="K413" s="5">
        <f t="shared" si="67"/>
        <v>2.40669631207097</v>
      </c>
      <c r="L413">
        <f t="shared" si="68"/>
        <v>0.723741763144373</v>
      </c>
      <c r="O413">
        <v>0.0241328</v>
      </c>
      <c r="P413" s="6">
        <f t="shared" si="69"/>
        <v>2.28527845919247</v>
      </c>
      <c r="Q413" s="4">
        <f t="shared" si="70"/>
        <v>1.05313044123359</v>
      </c>
      <c r="T413">
        <v>393.392</v>
      </c>
      <c r="U413" s="7">
        <f t="shared" si="71"/>
        <v>0.140191381624436</v>
      </c>
      <c r="V413">
        <f t="shared" si="72"/>
        <v>17.1672201542201</v>
      </c>
      <c r="Y413">
        <v>0.002743776</v>
      </c>
      <c r="Z413" s="8">
        <v>12.0600591301914</v>
      </c>
      <c r="AA413">
        <f t="shared" si="73"/>
        <v>0.199559246442333</v>
      </c>
      <c r="AD413" s="9">
        <v>1.692291</v>
      </c>
      <c r="AE413">
        <f t="shared" si="74"/>
        <v>1.42215275745777</v>
      </c>
      <c r="AH413">
        <v>37.6602</v>
      </c>
      <c r="AI413" s="10">
        <f t="shared" si="75"/>
        <v>1.46441516508144</v>
      </c>
      <c r="AJ413">
        <f t="shared" si="76"/>
        <v>1.64345219133068</v>
      </c>
    </row>
    <row r="414" spans="1:36">
      <c r="A414" s="1" t="s">
        <v>435</v>
      </c>
      <c r="B414" s="1">
        <v>56334928</v>
      </c>
      <c r="C414" s="2">
        <v>1</v>
      </c>
      <c r="E414">
        <v>3.920175</v>
      </c>
      <c r="F414">
        <v>14370.51409</v>
      </c>
      <c r="G414" s="3">
        <f t="shared" si="66"/>
        <v>14.37051409</v>
      </c>
      <c r="I414" t="s">
        <v>435</v>
      </c>
      <c r="J414">
        <v>1.7806</v>
      </c>
      <c r="K414" s="5">
        <f t="shared" si="67"/>
        <v>31.6381714028979</v>
      </c>
      <c r="L414">
        <f t="shared" si="68"/>
        <v>2.20160331111007</v>
      </c>
      <c r="O414">
        <v>0.0044</v>
      </c>
      <c r="P414" s="6">
        <f t="shared" si="69"/>
        <v>12.8033927272727</v>
      </c>
      <c r="Q414" s="4">
        <f t="shared" si="70"/>
        <v>2.47107716500056</v>
      </c>
      <c r="T414">
        <v>14.093</v>
      </c>
      <c r="U414" s="7">
        <f t="shared" si="71"/>
        <v>3.99736947420705</v>
      </c>
      <c r="V414">
        <f t="shared" si="72"/>
        <v>7.91474783780748</v>
      </c>
      <c r="Y414">
        <v>0.010198512</v>
      </c>
      <c r="Z414" s="8">
        <v>3.31430279240736</v>
      </c>
      <c r="AA414">
        <f t="shared" si="73"/>
        <v>9.54595080310009</v>
      </c>
      <c r="AD414" s="9">
        <v>3.66348</v>
      </c>
      <c r="AE414">
        <f t="shared" si="74"/>
        <v>8.63609775483909</v>
      </c>
      <c r="AH414">
        <v>3.5623</v>
      </c>
      <c r="AI414" s="10">
        <f t="shared" si="75"/>
        <v>15.8142009375965</v>
      </c>
      <c r="AJ414">
        <f t="shared" si="76"/>
        <v>2.00061776929125</v>
      </c>
    </row>
    <row r="415" spans="1:36">
      <c r="A415" s="1" t="s">
        <v>434</v>
      </c>
      <c r="B415" s="1">
        <v>56334928</v>
      </c>
      <c r="C415" s="2">
        <v>1</v>
      </c>
      <c r="E415">
        <v>3.963243</v>
      </c>
      <c r="F415">
        <v>14214.349616</v>
      </c>
      <c r="G415" s="3">
        <f t="shared" si="66"/>
        <v>14.214349616</v>
      </c>
      <c r="I415" t="s">
        <v>434</v>
      </c>
      <c r="J415">
        <v>1.74819</v>
      </c>
      <c r="K415" s="5">
        <f t="shared" si="67"/>
        <v>32.2247169930042</v>
      </c>
      <c r="L415">
        <f t="shared" si="68"/>
        <v>2.26705532532641</v>
      </c>
      <c r="O415">
        <v>0.009328</v>
      </c>
      <c r="P415" s="6">
        <f t="shared" si="69"/>
        <v>6.03933619210978</v>
      </c>
      <c r="Q415" s="4">
        <f t="shared" si="70"/>
        <v>5.33580446061355</v>
      </c>
      <c r="T415">
        <v>14.101</v>
      </c>
      <c r="U415" s="7">
        <f t="shared" si="71"/>
        <v>3.9951016239983</v>
      </c>
      <c r="V415">
        <f t="shared" si="72"/>
        <v>8.06605689312947</v>
      </c>
      <c r="Y415">
        <v>0.010385622</v>
      </c>
      <c r="Z415" s="8">
        <v>3.25459147271102</v>
      </c>
      <c r="AA415">
        <f t="shared" si="73"/>
        <v>9.9013093542464</v>
      </c>
      <c r="AD415" s="9">
        <v>3.69546</v>
      </c>
      <c r="AE415">
        <f t="shared" si="74"/>
        <v>8.72008274829228</v>
      </c>
      <c r="AH415">
        <v>3.547</v>
      </c>
      <c r="AI415" s="10">
        <f t="shared" si="75"/>
        <v>15.8824155624471</v>
      </c>
      <c r="AJ415">
        <f t="shared" si="76"/>
        <v>2.02895566271401</v>
      </c>
    </row>
    <row r="416" spans="1:36">
      <c r="A416" s="1" t="s">
        <v>437</v>
      </c>
      <c r="B416" s="1">
        <v>57145790</v>
      </c>
      <c r="C416" s="2">
        <v>6.09088e-5</v>
      </c>
      <c r="E416">
        <v>13.608718</v>
      </c>
      <c r="F416">
        <v>4199.204413</v>
      </c>
      <c r="G416" s="3">
        <f t="shared" si="66"/>
        <v>4.199204413</v>
      </c>
      <c r="I416" t="s">
        <v>437</v>
      </c>
      <c r="J416">
        <v>22.913</v>
      </c>
      <c r="K416" s="5">
        <f t="shared" si="67"/>
        <v>2.49403351809017</v>
      </c>
      <c r="L416">
        <f t="shared" si="68"/>
        <v>0.593930009782109</v>
      </c>
      <c r="O416">
        <v>0.0168912</v>
      </c>
      <c r="P416" s="6">
        <f t="shared" si="69"/>
        <v>3.38316934261627</v>
      </c>
      <c r="Q416" s="4">
        <f t="shared" si="70"/>
        <v>0.737188495613844</v>
      </c>
      <c r="T416">
        <v>41.048</v>
      </c>
      <c r="U416" s="7">
        <f t="shared" si="71"/>
        <v>1.39216989865523</v>
      </c>
      <c r="V416">
        <f t="shared" si="72"/>
        <v>1.79147209007987</v>
      </c>
      <c r="Y416">
        <v>0.0416961</v>
      </c>
      <c r="Z416" s="8">
        <v>0.82231849021851</v>
      </c>
      <c r="AA416">
        <f t="shared" si="73"/>
        <v>3.03292890498843</v>
      </c>
      <c r="AD416" s="9">
        <v>1.754673</v>
      </c>
      <c r="AE416">
        <f t="shared" si="74"/>
        <v>1.42136655552925</v>
      </c>
      <c r="AH416">
        <v>27.9728</v>
      </c>
      <c r="AI416" s="10">
        <f t="shared" si="75"/>
        <v>2.04290560830521</v>
      </c>
      <c r="AJ416">
        <f t="shared" si="76"/>
        <v>1.22082660498407</v>
      </c>
    </row>
    <row r="417" spans="1:36">
      <c r="A417" s="1" t="s">
        <v>436</v>
      </c>
      <c r="B417" s="1">
        <v>57145790</v>
      </c>
      <c r="C417" s="2">
        <v>7.00574e-5</v>
      </c>
      <c r="E417">
        <v>13.993048</v>
      </c>
      <c r="F417">
        <v>4083.869935</v>
      </c>
      <c r="G417" s="3">
        <f t="shared" si="66"/>
        <v>4.083869935</v>
      </c>
      <c r="I417" t="s">
        <v>436</v>
      </c>
      <c r="J417">
        <v>21.5467</v>
      </c>
      <c r="K417" s="5">
        <f t="shared" si="67"/>
        <v>2.65218293288531</v>
      </c>
      <c r="L417">
        <f t="shared" si="68"/>
        <v>0.649428844477956</v>
      </c>
      <c r="O417">
        <v>0.0168608</v>
      </c>
      <c r="P417" s="6">
        <f t="shared" si="69"/>
        <v>3.38926919244638</v>
      </c>
      <c r="Q417" s="4">
        <f t="shared" si="70"/>
        <v>0.782523541888085</v>
      </c>
      <c r="T417">
        <v>40.823</v>
      </c>
      <c r="U417" s="7">
        <f t="shared" si="71"/>
        <v>1.39984298067266</v>
      </c>
      <c r="V417">
        <f t="shared" si="72"/>
        <v>1.89462887588355</v>
      </c>
      <c r="Y417">
        <v>0.04722156</v>
      </c>
      <c r="Z417" s="8">
        <v>0.726097867160678</v>
      </c>
      <c r="AA417">
        <f t="shared" si="73"/>
        <v>3.65265214626834</v>
      </c>
      <c r="AD417" s="9">
        <v>1.711566</v>
      </c>
      <c r="AE417">
        <f t="shared" si="74"/>
        <v>1.54956509587437</v>
      </c>
      <c r="AH417">
        <v>26.5615</v>
      </c>
      <c r="AI417" s="10">
        <f t="shared" si="75"/>
        <v>2.1514519134838</v>
      </c>
      <c r="AJ417">
        <f t="shared" si="76"/>
        <v>1.23274097657646</v>
      </c>
    </row>
    <row r="418" spans="1:36">
      <c r="A418" s="1" t="s">
        <v>438</v>
      </c>
      <c r="B418" s="1">
        <v>57801612</v>
      </c>
      <c r="C418" s="2">
        <v>4.85555e-5</v>
      </c>
      <c r="E418">
        <v>14.574602</v>
      </c>
      <c r="F418">
        <v>3965.913469</v>
      </c>
      <c r="G418" s="3">
        <f t="shared" si="66"/>
        <v>3.965913469</v>
      </c>
      <c r="I418" t="s">
        <v>438</v>
      </c>
      <c r="J418">
        <v>21.725</v>
      </c>
      <c r="K418" s="5">
        <f t="shared" si="67"/>
        <v>2.6606035443038</v>
      </c>
      <c r="L418">
        <f t="shared" si="68"/>
        <v>0.670867774877263</v>
      </c>
      <c r="O418">
        <v>0.018744</v>
      </c>
      <c r="P418" s="6">
        <f t="shared" si="69"/>
        <v>3.08373943661972</v>
      </c>
      <c r="Q418" s="4">
        <f t="shared" si="70"/>
        <v>0.862784810126582</v>
      </c>
      <c r="T418">
        <v>401.165</v>
      </c>
      <c r="U418" s="7">
        <f t="shared" si="71"/>
        <v>0.144084384230927</v>
      </c>
      <c r="V418">
        <f t="shared" si="72"/>
        <v>18.4655926352129</v>
      </c>
      <c r="Y418">
        <v>0.003050946</v>
      </c>
      <c r="Z418" s="8">
        <v>11.3672831967527</v>
      </c>
      <c r="AA418">
        <f t="shared" si="73"/>
        <v>0.234057997698505</v>
      </c>
      <c r="AD418" s="9">
        <v>1.780368</v>
      </c>
      <c r="AE418">
        <f t="shared" si="74"/>
        <v>1.49441213518991</v>
      </c>
      <c r="AH418">
        <v>40.2829</v>
      </c>
      <c r="AI418" s="10">
        <f t="shared" si="75"/>
        <v>1.43489202614509</v>
      </c>
      <c r="AJ418">
        <f t="shared" si="76"/>
        <v>1.85421864211738</v>
      </c>
    </row>
    <row r="419" spans="1:36">
      <c r="A419" s="1" t="s">
        <v>439</v>
      </c>
      <c r="B419" s="1">
        <v>59165700</v>
      </c>
      <c r="C419" s="2">
        <v>0.14575</v>
      </c>
      <c r="E419">
        <v>6.643723</v>
      </c>
      <c r="F419">
        <v>8905.503614</v>
      </c>
      <c r="G419" s="3">
        <f t="shared" si="66"/>
        <v>8.905503614</v>
      </c>
      <c r="I419" t="s">
        <v>439</v>
      </c>
      <c r="J419">
        <v>6.80482</v>
      </c>
      <c r="K419" s="5">
        <f t="shared" si="67"/>
        <v>8.69467524489994</v>
      </c>
      <c r="L419">
        <f t="shared" si="68"/>
        <v>0.976326058779132</v>
      </c>
      <c r="O419">
        <v>0.0118736</v>
      </c>
      <c r="P419" s="6">
        <f t="shared" si="69"/>
        <v>4.98296220185959</v>
      </c>
      <c r="Q419" s="4">
        <f t="shared" si="70"/>
        <v>1.74488083446733</v>
      </c>
      <c r="T419">
        <v>37.024</v>
      </c>
      <c r="U419" s="7">
        <f t="shared" si="71"/>
        <v>1.5980364088159</v>
      </c>
      <c r="V419">
        <f t="shared" si="72"/>
        <v>5.44084928036304</v>
      </c>
      <c r="Y419">
        <v>0.028917</v>
      </c>
      <c r="Z419" s="8">
        <v>1.22763149704326</v>
      </c>
      <c r="AA419">
        <f t="shared" si="73"/>
        <v>7.08247977169125</v>
      </c>
      <c r="AD419" s="9">
        <v>2.544342</v>
      </c>
      <c r="AE419">
        <f t="shared" si="74"/>
        <v>3.41725886099429</v>
      </c>
      <c r="AH419">
        <v>11.6246</v>
      </c>
      <c r="AI419" s="10">
        <f t="shared" si="75"/>
        <v>5.08969771002873</v>
      </c>
      <c r="AJ419">
        <f t="shared" si="76"/>
        <v>1.70828912447353</v>
      </c>
    </row>
    <row r="420" spans="1:36">
      <c r="A420" s="1" t="s">
        <v>440</v>
      </c>
      <c r="B420" s="1">
        <v>59838604</v>
      </c>
      <c r="C420" s="2">
        <v>0.0640357</v>
      </c>
      <c r="E420">
        <v>55.736799</v>
      </c>
      <c r="F420">
        <v>1073.592407</v>
      </c>
      <c r="G420" s="3">
        <f t="shared" si="66"/>
        <v>1.073592407</v>
      </c>
      <c r="I420" t="s">
        <v>440</v>
      </c>
      <c r="J420">
        <v>33.2692</v>
      </c>
      <c r="K420" s="5">
        <f t="shared" si="67"/>
        <v>1.79861866230628</v>
      </c>
      <c r="L420">
        <f t="shared" si="68"/>
        <v>1.67532729421239</v>
      </c>
      <c r="O420">
        <v>0.0306096</v>
      </c>
      <c r="P420" s="6">
        <f t="shared" si="69"/>
        <v>1.95489663373582</v>
      </c>
      <c r="Q420" s="4">
        <f t="shared" si="70"/>
        <v>0.920058191961334</v>
      </c>
      <c r="T420">
        <v>227.271</v>
      </c>
      <c r="U420" s="7">
        <f t="shared" si="71"/>
        <v>0.263291858618125</v>
      </c>
      <c r="V420">
        <f t="shared" si="72"/>
        <v>6.83127336996381</v>
      </c>
      <c r="Y420">
        <v>0.08590968</v>
      </c>
      <c r="Z420" s="8">
        <v>0.417917543168593</v>
      </c>
      <c r="AA420">
        <f t="shared" si="73"/>
        <v>4.30376444278792</v>
      </c>
      <c r="AD420" s="9">
        <v>1.085781</v>
      </c>
      <c r="AE420">
        <f t="shared" si="74"/>
        <v>1.65652066328871</v>
      </c>
      <c r="AH420">
        <v>81.1154</v>
      </c>
      <c r="AI420" s="10">
        <f t="shared" si="75"/>
        <v>0.737697206695646</v>
      </c>
      <c r="AJ420">
        <f t="shared" si="76"/>
        <v>2.43815300638428</v>
      </c>
    </row>
    <row r="421" spans="1:36">
      <c r="A421" s="1" t="s">
        <v>441</v>
      </c>
      <c r="B421" s="1">
        <v>61431294</v>
      </c>
      <c r="C421" s="2">
        <v>0.0913733</v>
      </c>
      <c r="E421">
        <v>22.842644</v>
      </c>
      <c r="F421">
        <v>2689.325006</v>
      </c>
      <c r="G421" s="3">
        <f t="shared" si="66"/>
        <v>2.689325006</v>
      </c>
      <c r="I421" t="s">
        <v>441</v>
      </c>
      <c r="J421">
        <v>30.624</v>
      </c>
      <c r="K421" s="5">
        <f t="shared" si="67"/>
        <v>2.00598530564263</v>
      </c>
      <c r="L421">
        <f t="shared" si="68"/>
        <v>0.745906612688014</v>
      </c>
      <c r="O421">
        <v>0.052624</v>
      </c>
      <c r="P421" s="6">
        <f t="shared" si="69"/>
        <v>1.16736268622682</v>
      </c>
      <c r="Q421" s="4">
        <f t="shared" si="70"/>
        <v>1.7183908045977</v>
      </c>
      <c r="T421">
        <v>164.285</v>
      </c>
      <c r="U421" s="7">
        <f t="shared" si="71"/>
        <v>0.37393124144018</v>
      </c>
      <c r="V421">
        <f t="shared" si="72"/>
        <v>5.36458333333333</v>
      </c>
      <c r="Y421">
        <v>0.103977</v>
      </c>
      <c r="Z421" s="8">
        <v>0.354489708300874</v>
      </c>
      <c r="AA421">
        <f t="shared" si="73"/>
        <v>5.65879702194358</v>
      </c>
      <c r="AD421" s="9">
        <v>0.964791</v>
      </c>
      <c r="AE421">
        <f t="shared" si="74"/>
        <v>2.07919156132534</v>
      </c>
      <c r="AH421">
        <v>57.5472</v>
      </c>
      <c r="AI421" s="10">
        <f t="shared" si="75"/>
        <v>1.0674940570523</v>
      </c>
      <c r="AJ421">
        <f t="shared" si="76"/>
        <v>1.87915360501567</v>
      </c>
    </row>
    <row r="422" spans="1:36">
      <c r="A422" s="1" t="s">
        <v>442</v>
      </c>
      <c r="B422" s="1">
        <v>61590860</v>
      </c>
      <c r="C422" s="2">
        <v>0.122781</v>
      </c>
      <c r="E422">
        <v>12.566123</v>
      </c>
      <c r="F422">
        <v>4901.341426</v>
      </c>
      <c r="G422" s="3">
        <f t="shared" si="66"/>
        <v>4.901341426</v>
      </c>
      <c r="I422" t="s">
        <v>442</v>
      </c>
      <c r="J422">
        <v>7.85031</v>
      </c>
      <c r="K422" s="5">
        <f t="shared" si="67"/>
        <v>7.845659598156</v>
      </c>
      <c r="L422">
        <f t="shared" si="68"/>
        <v>1.60071680714536</v>
      </c>
      <c r="O422">
        <v>0.0112912</v>
      </c>
      <c r="P422" s="6">
        <f t="shared" si="69"/>
        <v>5.45476654385716</v>
      </c>
      <c r="Q422" s="4">
        <f t="shared" si="70"/>
        <v>1.43831262714466</v>
      </c>
      <c r="T422">
        <v>26.215</v>
      </c>
      <c r="U422" s="7">
        <f t="shared" si="71"/>
        <v>2.34945107762731</v>
      </c>
      <c r="V422">
        <f t="shared" si="72"/>
        <v>3.33935857310094</v>
      </c>
      <c r="Y422">
        <v>0.010710414</v>
      </c>
      <c r="Z422" s="8">
        <v>3.45033497304586</v>
      </c>
      <c r="AA422">
        <f t="shared" si="73"/>
        <v>2.2738834517363</v>
      </c>
      <c r="AD422" s="9">
        <v>2.364357</v>
      </c>
      <c r="AE422">
        <f t="shared" si="74"/>
        <v>3.31830582190253</v>
      </c>
      <c r="AH422">
        <v>11.8464</v>
      </c>
      <c r="AI422" s="10">
        <f t="shared" si="75"/>
        <v>5.19912040788763</v>
      </c>
      <c r="AJ422">
        <f t="shared" si="76"/>
        <v>1.50903594889883</v>
      </c>
    </row>
    <row r="423" spans="1:36">
      <c r="A423" s="1" t="s">
        <v>443</v>
      </c>
      <c r="B423" s="1">
        <v>61701012</v>
      </c>
      <c r="C423" s="2">
        <v>0.0734007</v>
      </c>
      <c r="E423">
        <v>3.908804</v>
      </c>
      <c r="F423">
        <v>15785.137755</v>
      </c>
      <c r="G423" s="3">
        <f t="shared" si="66"/>
        <v>15.785137755</v>
      </c>
      <c r="I423" t="s">
        <v>443</v>
      </c>
      <c r="J423">
        <v>2.5793</v>
      </c>
      <c r="K423" s="5">
        <f t="shared" si="67"/>
        <v>23.9216112898849</v>
      </c>
      <c r="L423">
        <f t="shared" si="68"/>
        <v>1.51545153809681</v>
      </c>
      <c r="O423">
        <v>0.0052704</v>
      </c>
      <c r="P423" s="6">
        <f t="shared" si="69"/>
        <v>11.7070833333333</v>
      </c>
      <c r="Q423" s="4">
        <f t="shared" si="70"/>
        <v>2.04334509363005</v>
      </c>
      <c r="T423">
        <v>38.542</v>
      </c>
      <c r="U423" s="7">
        <f t="shared" si="71"/>
        <v>1.60087727673707</v>
      </c>
      <c r="V423">
        <f t="shared" si="72"/>
        <v>14.9428139417671</v>
      </c>
      <c r="Y423">
        <v>0.006765624</v>
      </c>
      <c r="Z423" s="8">
        <v>5.47186884757415</v>
      </c>
      <c r="AA423">
        <f t="shared" si="73"/>
        <v>4.37174427170162</v>
      </c>
      <c r="AD423" s="9">
        <v>3.3369</v>
      </c>
      <c r="AE423">
        <f t="shared" si="74"/>
        <v>7.16881275731513</v>
      </c>
      <c r="AH423">
        <v>4.7709</v>
      </c>
      <c r="AI423" s="10">
        <f t="shared" si="75"/>
        <v>12.9327824938691</v>
      </c>
      <c r="AJ423">
        <f t="shared" si="76"/>
        <v>1.84968789981778</v>
      </c>
    </row>
    <row r="424" spans="1:36">
      <c r="A424" s="1" t="s">
        <v>444</v>
      </c>
      <c r="B424" s="1">
        <v>61999464</v>
      </c>
      <c r="C424" s="2">
        <v>1</v>
      </c>
      <c r="E424">
        <v>3.720079</v>
      </c>
      <c r="F424">
        <v>16666.170154</v>
      </c>
      <c r="G424" s="3">
        <f t="shared" si="66"/>
        <v>16.666170154</v>
      </c>
      <c r="I424" t="s">
        <v>444</v>
      </c>
      <c r="J424">
        <v>1.61895</v>
      </c>
      <c r="K424" s="5">
        <f t="shared" si="67"/>
        <v>38.2960956175299</v>
      </c>
      <c r="L424">
        <f t="shared" si="68"/>
        <v>2.29783419127871</v>
      </c>
      <c r="O424">
        <v>0.0046224</v>
      </c>
      <c r="P424" s="6">
        <f t="shared" si="69"/>
        <v>13.4128296988577</v>
      </c>
      <c r="Q424" s="4">
        <f t="shared" si="70"/>
        <v>2.85518391550079</v>
      </c>
      <c r="T424">
        <v>20.937</v>
      </c>
      <c r="U424" s="7">
        <f t="shared" si="71"/>
        <v>2.96123914600946</v>
      </c>
      <c r="V424">
        <f t="shared" si="72"/>
        <v>12.9324562216251</v>
      </c>
      <c r="Y424">
        <v>0.005896854</v>
      </c>
      <c r="Z424" s="8">
        <v>6.30839400127593</v>
      </c>
      <c r="AA424">
        <f t="shared" si="73"/>
        <v>6.07065690725471</v>
      </c>
      <c r="AD424" s="9">
        <v>3.65889</v>
      </c>
      <c r="AE424">
        <f t="shared" si="74"/>
        <v>10.4665883963524</v>
      </c>
      <c r="AH424">
        <v>4.0648</v>
      </c>
      <c r="AI424" s="10">
        <f t="shared" si="75"/>
        <v>15.2527711080496</v>
      </c>
      <c r="AJ424">
        <f t="shared" si="76"/>
        <v>2.51076314895457</v>
      </c>
    </row>
    <row r="425" spans="1:36">
      <c r="A425" s="1" t="s">
        <v>445</v>
      </c>
      <c r="B425" s="1">
        <v>62153632</v>
      </c>
      <c r="C425" s="2">
        <v>0.0781043</v>
      </c>
      <c r="E425">
        <v>7.293063</v>
      </c>
      <c r="F425">
        <v>8522.294128</v>
      </c>
      <c r="G425" s="3">
        <f t="shared" si="66"/>
        <v>8.522294128</v>
      </c>
      <c r="I425" t="s">
        <v>445</v>
      </c>
      <c r="J425">
        <v>6.08097</v>
      </c>
      <c r="K425" s="5">
        <f t="shared" si="67"/>
        <v>10.2210061881575</v>
      </c>
      <c r="L425">
        <f t="shared" si="68"/>
        <v>1.19932567858417</v>
      </c>
      <c r="O425">
        <v>0.0096928</v>
      </c>
      <c r="P425" s="6">
        <f t="shared" si="69"/>
        <v>6.41235061076263</v>
      </c>
      <c r="Q425" s="4">
        <f t="shared" si="70"/>
        <v>1.5939562273782</v>
      </c>
      <c r="T425">
        <v>33.104</v>
      </c>
      <c r="U425" s="7">
        <f t="shared" si="71"/>
        <v>1.87752634122765</v>
      </c>
      <c r="V425">
        <f t="shared" si="72"/>
        <v>5.44386833021705</v>
      </c>
      <c r="Y425">
        <v>0.004715082</v>
      </c>
      <c r="Z425" s="8">
        <v>7.90912633120696</v>
      </c>
      <c r="AA425">
        <f t="shared" si="73"/>
        <v>1.2923053394442</v>
      </c>
      <c r="AD425" s="9">
        <v>2.840853</v>
      </c>
      <c r="AE425">
        <f t="shared" si="74"/>
        <v>3.59786521448223</v>
      </c>
      <c r="AH425">
        <v>15.8715</v>
      </c>
      <c r="AI425" s="10">
        <f t="shared" si="75"/>
        <v>3.91605279904231</v>
      </c>
      <c r="AJ425">
        <f t="shared" si="76"/>
        <v>2.61002767650556</v>
      </c>
    </row>
    <row r="426" spans="1:36">
      <c r="A426" s="1" t="s">
        <v>446</v>
      </c>
      <c r="B426" s="1">
        <v>62573378</v>
      </c>
      <c r="C426" s="2">
        <v>0.807097</v>
      </c>
      <c r="E426">
        <v>33.677342</v>
      </c>
      <c r="F426">
        <v>1858.026023</v>
      </c>
      <c r="G426" s="3">
        <f t="shared" si="66"/>
        <v>1.858026023</v>
      </c>
      <c r="I426" t="s">
        <v>446</v>
      </c>
      <c r="J426">
        <v>18.8721</v>
      </c>
      <c r="K426" s="5">
        <f t="shared" si="67"/>
        <v>3.31565527948665</v>
      </c>
      <c r="L426">
        <f t="shared" si="68"/>
        <v>1.78450422030857</v>
      </c>
      <c r="O426">
        <v>0.0241392</v>
      </c>
      <c r="P426" s="6">
        <f t="shared" si="69"/>
        <v>2.59218938490091</v>
      </c>
      <c r="Q426" s="4">
        <f t="shared" si="70"/>
        <v>1.2790945363791</v>
      </c>
      <c r="T426">
        <v>676.446</v>
      </c>
      <c r="U426" s="7">
        <f t="shared" si="71"/>
        <v>0.0925031384619023</v>
      </c>
      <c r="V426">
        <f t="shared" si="72"/>
        <v>35.8437057879091</v>
      </c>
      <c r="Y426">
        <v>0.05021154</v>
      </c>
      <c r="Z426" s="8">
        <v>0.747717094516519</v>
      </c>
      <c r="AA426">
        <f t="shared" si="73"/>
        <v>4.43437137361502</v>
      </c>
      <c r="AD426" s="9">
        <v>1.330605</v>
      </c>
      <c r="AE426">
        <f t="shared" si="74"/>
        <v>2.49184038800895</v>
      </c>
      <c r="AH426">
        <v>49.2763</v>
      </c>
      <c r="AI426" s="10">
        <f t="shared" si="75"/>
        <v>1.26984733025816</v>
      </c>
      <c r="AJ426">
        <f t="shared" si="76"/>
        <v>2.61106607107847</v>
      </c>
    </row>
    <row r="427" spans="1:36">
      <c r="A427" s="1" t="s">
        <v>447</v>
      </c>
      <c r="B427" s="1">
        <v>62797572</v>
      </c>
      <c r="C427" s="2">
        <v>0.952862</v>
      </c>
      <c r="E427">
        <v>4.72054</v>
      </c>
      <c r="F427">
        <v>13303.047146</v>
      </c>
      <c r="G427" s="3">
        <f t="shared" si="66"/>
        <v>13.303047146</v>
      </c>
      <c r="I427" t="s">
        <v>447</v>
      </c>
      <c r="J427">
        <v>1.22946</v>
      </c>
      <c r="K427" s="5">
        <f t="shared" si="67"/>
        <v>51.0773607925431</v>
      </c>
      <c r="L427">
        <f t="shared" si="68"/>
        <v>3.83952339881026</v>
      </c>
      <c r="O427">
        <v>0.004064</v>
      </c>
      <c r="P427" s="6">
        <f t="shared" si="69"/>
        <v>15.4521584645669</v>
      </c>
      <c r="Q427" s="4">
        <f t="shared" si="70"/>
        <v>3.30551624290339</v>
      </c>
      <c r="T427">
        <v>11.581</v>
      </c>
      <c r="U427" s="7">
        <f t="shared" si="71"/>
        <v>5.42246541749417</v>
      </c>
      <c r="V427">
        <f t="shared" si="72"/>
        <v>9.41958258097051</v>
      </c>
      <c r="Y427">
        <v>0.005063436</v>
      </c>
      <c r="Z427" s="8">
        <v>7.44129938642456</v>
      </c>
      <c r="AA427">
        <f t="shared" si="73"/>
        <v>6.86403787028451</v>
      </c>
      <c r="AD427" s="9">
        <v>3.96393</v>
      </c>
      <c r="AE427">
        <f t="shared" si="74"/>
        <v>12.885535514639</v>
      </c>
      <c r="AH427">
        <v>3.2959</v>
      </c>
      <c r="AI427" s="10">
        <f t="shared" si="75"/>
        <v>19.0532394793531</v>
      </c>
      <c r="AJ427">
        <f t="shared" si="76"/>
        <v>2.68077041953378</v>
      </c>
    </row>
    <row r="428" spans="1:36">
      <c r="A428" s="1" t="s">
        <v>448</v>
      </c>
      <c r="B428" s="1">
        <v>63644576</v>
      </c>
      <c r="C428" s="2">
        <v>0.000453474</v>
      </c>
      <c r="E428">
        <v>15.775127</v>
      </c>
      <c r="F428">
        <v>4034.488957</v>
      </c>
      <c r="G428" s="3">
        <f t="shared" si="66"/>
        <v>4.034488957</v>
      </c>
      <c r="I428" t="s">
        <v>448</v>
      </c>
      <c r="J428">
        <v>17.3397</v>
      </c>
      <c r="K428" s="5">
        <f t="shared" si="67"/>
        <v>3.67045427544883</v>
      </c>
      <c r="L428">
        <f t="shared" si="68"/>
        <v>0.909769320121806</v>
      </c>
      <c r="O428">
        <v>0.023888</v>
      </c>
      <c r="P428" s="6">
        <f t="shared" si="69"/>
        <v>2.66429068988614</v>
      </c>
      <c r="Q428" s="4">
        <f t="shared" si="70"/>
        <v>1.37764782551025</v>
      </c>
      <c r="T428">
        <v>65.917</v>
      </c>
      <c r="U428" s="7">
        <f t="shared" si="71"/>
        <v>0.965525979641064</v>
      </c>
      <c r="V428">
        <f t="shared" si="72"/>
        <v>3.80150752319821</v>
      </c>
      <c r="Y428">
        <v>0.03608424</v>
      </c>
      <c r="Z428" s="8">
        <v>1.05826658951387</v>
      </c>
      <c r="AA428">
        <f t="shared" si="73"/>
        <v>3.46836450457621</v>
      </c>
      <c r="AD428" s="9">
        <v>1.687974</v>
      </c>
      <c r="AE428">
        <f t="shared" si="74"/>
        <v>2.17447322971137</v>
      </c>
      <c r="AH428">
        <v>24.5876</v>
      </c>
      <c r="AI428" s="10">
        <f t="shared" si="75"/>
        <v>2.58848264979095</v>
      </c>
      <c r="AJ428">
        <f t="shared" si="76"/>
        <v>1.41799454431161</v>
      </c>
    </row>
    <row r="429" spans="1:36">
      <c r="A429" s="1" t="s">
        <v>449</v>
      </c>
      <c r="B429" s="1">
        <v>64527332</v>
      </c>
      <c r="C429" s="2">
        <v>0.990619</v>
      </c>
      <c r="E429">
        <v>8.576729</v>
      </c>
      <c r="F429">
        <v>7523.536439</v>
      </c>
      <c r="G429" s="3">
        <f t="shared" si="66"/>
        <v>7.523536439</v>
      </c>
      <c r="I429" t="s">
        <v>449</v>
      </c>
      <c r="J429">
        <v>2.72229</v>
      </c>
      <c r="K429" s="5">
        <f t="shared" si="67"/>
        <v>23.7033277130651</v>
      </c>
      <c r="L429">
        <f t="shared" si="68"/>
        <v>3.15055664384017</v>
      </c>
      <c r="O429">
        <v>0.00556</v>
      </c>
      <c r="P429" s="6">
        <f t="shared" si="69"/>
        <v>11.6056352517986</v>
      </c>
      <c r="Q429" s="4">
        <f t="shared" si="70"/>
        <v>2.04239812804661</v>
      </c>
      <c r="T429">
        <v>26.266</v>
      </c>
      <c r="U429" s="7">
        <f t="shared" si="71"/>
        <v>2.45668666717429</v>
      </c>
      <c r="V429">
        <f t="shared" si="72"/>
        <v>9.64849446605615</v>
      </c>
      <c r="Y429">
        <v>0.016056108</v>
      </c>
      <c r="Z429" s="8">
        <v>2.41131905689723</v>
      </c>
      <c r="AA429">
        <f t="shared" si="73"/>
        <v>9.83002545650903</v>
      </c>
      <c r="AD429" s="9">
        <v>3.36264</v>
      </c>
      <c r="AE429">
        <f t="shared" si="74"/>
        <v>7.04902330105664</v>
      </c>
      <c r="AH429">
        <v>5.7931</v>
      </c>
      <c r="AI429" s="10">
        <f t="shared" si="75"/>
        <v>11.1386532253888</v>
      </c>
      <c r="AJ429">
        <f t="shared" si="76"/>
        <v>2.12802456755158</v>
      </c>
    </row>
    <row r="430" spans="1:36">
      <c r="A430" s="1" t="s">
        <v>450</v>
      </c>
      <c r="B430" s="1">
        <v>64631728</v>
      </c>
      <c r="C430" s="2">
        <v>0.00101209</v>
      </c>
      <c r="E430">
        <v>33.099175</v>
      </c>
      <c r="F430">
        <v>1952.668851</v>
      </c>
      <c r="G430" s="3">
        <f t="shared" si="66"/>
        <v>1.952668851</v>
      </c>
      <c r="I430" t="s">
        <v>450</v>
      </c>
      <c r="J430">
        <v>71.8839</v>
      </c>
      <c r="K430" s="5">
        <f t="shared" si="67"/>
        <v>0.89911270813075</v>
      </c>
      <c r="L430">
        <f t="shared" si="68"/>
        <v>0.460453244629931</v>
      </c>
      <c r="O430">
        <v>0.0376128</v>
      </c>
      <c r="P430" s="6">
        <f t="shared" si="69"/>
        <v>1.71834396801089</v>
      </c>
      <c r="Q430" s="4">
        <f t="shared" si="70"/>
        <v>0.523243730515456</v>
      </c>
      <c r="T430">
        <v>194.406</v>
      </c>
      <c r="U430" s="7">
        <f t="shared" si="71"/>
        <v>0.332457475592317</v>
      </c>
      <c r="V430">
        <f t="shared" si="72"/>
        <v>2.70444424968595</v>
      </c>
      <c r="Y430">
        <v>0.010207062</v>
      </c>
      <c r="Z430" s="8">
        <v>3.79923594076337</v>
      </c>
      <c r="AA430">
        <f t="shared" si="73"/>
        <v>0.236656191442033</v>
      </c>
      <c r="AD430" s="9">
        <v>1.036011</v>
      </c>
      <c r="AE430">
        <f t="shared" si="74"/>
        <v>0.867860194660819</v>
      </c>
      <c r="AH430">
        <v>64.7809</v>
      </c>
      <c r="AI430" s="10">
        <f t="shared" si="75"/>
        <v>0.997697284230383</v>
      </c>
      <c r="AJ430">
        <f t="shared" si="76"/>
        <v>0.901187887691124</v>
      </c>
    </row>
    <row r="431" spans="1:36">
      <c r="A431" s="1" t="s">
        <v>452</v>
      </c>
      <c r="B431" s="1">
        <v>66596856</v>
      </c>
      <c r="C431" s="2">
        <v>0.00528817</v>
      </c>
      <c r="E431">
        <v>13.870465</v>
      </c>
      <c r="F431">
        <v>4801.342714</v>
      </c>
      <c r="G431" s="3">
        <f t="shared" si="66"/>
        <v>4.801342714</v>
      </c>
      <c r="I431" t="s">
        <v>452</v>
      </c>
      <c r="J431">
        <v>9.52017</v>
      </c>
      <c r="K431" s="5">
        <f t="shared" si="67"/>
        <v>6.99534315038492</v>
      </c>
      <c r="L431">
        <f t="shared" si="68"/>
        <v>1.45695559910513</v>
      </c>
      <c r="O431">
        <v>0.0176704</v>
      </c>
      <c r="P431" s="6">
        <f t="shared" si="69"/>
        <v>3.76883692502716</v>
      </c>
      <c r="Q431" s="4">
        <f t="shared" si="70"/>
        <v>1.85610130911528</v>
      </c>
      <c r="T431">
        <v>38.985</v>
      </c>
      <c r="U431" s="7">
        <f t="shared" si="71"/>
        <v>1.70826871873798</v>
      </c>
      <c r="V431">
        <f t="shared" si="72"/>
        <v>4.09498990039043</v>
      </c>
      <c r="Y431">
        <v>0.03673566</v>
      </c>
      <c r="Z431" s="8">
        <v>1.08772004096292</v>
      </c>
      <c r="AA431">
        <f t="shared" si="73"/>
        <v>6.43119818238541</v>
      </c>
      <c r="AD431" s="9">
        <v>2.202696</v>
      </c>
      <c r="AE431">
        <f t="shared" si="74"/>
        <v>3.17580962165679</v>
      </c>
      <c r="AH431">
        <v>17.6896</v>
      </c>
      <c r="AI431" s="10">
        <f t="shared" si="75"/>
        <v>3.76474629160637</v>
      </c>
      <c r="AJ431">
        <f t="shared" si="76"/>
        <v>1.8581180798242</v>
      </c>
    </row>
    <row r="432" spans="1:36">
      <c r="A432" s="1" t="s">
        <v>451</v>
      </c>
      <c r="B432" s="1">
        <v>66596856</v>
      </c>
      <c r="C432" s="2">
        <v>0.00503488</v>
      </c>
      <c r="E432">
        <v>13.981347</v>
      </c>
      <c r="F432">
        <v>4763.264808</v>
      </c>
      <c r="G432" s="3">
        <f t="shared" si="66"/>
        <v>4.763264808</v>
      </c>
      <c r="I432" t="s">
        <v>451</v>
      </c>
      <c r="J432">
        <v>9.70436</v>
      </c>
      <c r="K432" s="5">
        <f t="shared" si="67"/>
        <v>6.86257063835225</v>
      </c>
      <c r="L432">
        <f t="shared" si="68"/>
        <v>1.44072834809151</v>
      </c>
      <c r="O432">
        <v>0.0180848</v>
      </c>
      <c r="P432" s="6">
        <f t="shared" si="69"/>
        <v>3.68247677607715</v>
      </c>
      <c r="Q432" s="4">
        <f t="shared" si="70"/>
        <v>1.86357472311415</v>
      </c>
      <c r="T432">
        <v>38.577</v>
      </c>
      <c r="U432" s="7">
        <f t="shared" si="71"/>
        <v>1.72633579594059</v>
      </c>
      <c r="V432">
        <f t="shared" si="72"/>
        <v>3.97522350778413</v>
      </c>
      <c r="Y432">
        <v>0.0383283</v>
      </c>
      <c r="Z432" s="8">
        <v>1.0425224599056</v>
      </c>
      <c r="AA432">
        <f t="shared" si="73"/>
        <v>6.58265975293583</v>
      </c>
      <c r="AD432" s="9">
        <v>2.272299</v>
      </c>
      <c r="AE432">
        <f t="shared" si="74"/>
        <v>3.02010018855452</v>
      </c>
      <c r="AH432">
        <v>17.6991</v>
      </c>
      <c r="AI432" s="10">
        <f t="shared" si="75"/>
        <v>3.76272556231673</v>
      </c>
      <c r="AJ432">
        <f t="shared" si="76"/>
        <v>1.82382970128891</v>
      </c>
    </row>
    <row r="433" spans="1:36">
      <c r="A433" s="1" t="s">
        <v>453</v>
      </c>
      <c r="B433" s="1">
        <v>67360030</v>
      </c>
      <c r="C433" s="2">
        <v>0.00178547</v>
      </c>
      <c r="E433">
        <v>18.230356</v>
      </c>
      <c r="F433">
        <v>3694.937818</v>
      </c>
      <c r="G433" s="3">
        <f t="shared" si="66"/>
        <v>3.694937818</v>
      </c>
      <c r="I433" t="s">
        <v>453</v>
      </c>
      <c r="J433">
        <v>23.7388</v>
      </c>
      <c r="K433" s="5">
        <f t="shared" si="67"/>
        <v>2.83754991827725</v>
      </c>
      <c r="L433">
        <f t="shared" si="68"/>
        <v>0.767956068016637</v>
      </c>
      <c r="O433">
        <v>0.0340496</v>
      </c>
      <c r="P433" s="6">
        <f t="shared" si="69"/>
        <v>1.97829137493539</v>
      </c>
      <c r="Q433" s="4">
        <f t="shared" si="70"/>
        <v>1.43434377474851</v>
      </c>
      <c r="T433">
        <v>1118.782</v>
      </c>
      <c r="U433" s="7">
        <f t="shared" si="71"/>
        <v>0.0602083605206376</v>
      </c>
      <c r="V433">
        <f t="shared" si="72"/>
        <v>47.1288354929482</v>
      </c>
      <c r="Y433">
        <v>0.1038105</v>
      </c>
      <c r="Z433" s="8">
        <v>0.389324952678197</v>
      </c>
      <c r="AA433">
        <f t="shared" si="73"/>
        <v>7.28838441707248</v>
      </c>
      <c r="AD433" s="9">
        <v>1.269789</v>
      </c>
      <c r="AE433">
        <f t="shared" si="74"/>
        <v>2.23466254494034</v>
      </c>
      <c r="AH433">
        <v>64.7628</v>
      </c>
      <c r="AI433" s="10">
        <f t="shared" si="75"/>
        <v>1.04010373238958</v>
      </c>
      <c r="AJ433">
        <f t="shared" si="76"/>
        <v>2.72814127083088</v>
      </c>
    </row>
    <row r="434" spans="1:36">
      <c r="A434" s="1" t="s">
        <v>454</v>
      </c>
      <c r="B434" s="1">
        <v>68330640</v>
      </c>
      <c r="C434" s="2">
        <v>0.000100005</v>
      </c>
      <c r="E434">
        <v>109.305919</v>
      </c>
      <c r="F434">
        <v>625.13211</v>
      </c>
      <c r="G434" s="3">
        <f t="shared" si="66"/>
        <v>0.62513211</v>
      </c>
      <c r="I434" t="s">
        <v>454</v>
      </c>
      <c r="J434">
        <v>77.4229</v>
      </c>
      <c r="K434" s="5">
        <f t="shared" si="67"/>
        <v>0.882563685937881</v>
      </c>
      <c r="L434">
        <f t="shared" si="68"/>
        <v>1.41180347612904</v>
      </c>
      <c r="O434">
        <v>0.0748192</v>
      </c>
      <c r="P434" s="6">
        <f t="shared" si="69"/>
        <v>0.913276805953552</v>
      </c>
      <c r="Q434" s="4">
        <f t="shared" si="70"/>
        <v>0.966370414954749</v>
      </c>
      <c r="T434">
        <v>216.768</v>
      </c>
      <c r="U434" s="7">
        <f t="shared" si="71"/>
        <v>0.315224756421612</v>
      </c>
      <c r="V434">
        <f t="shared" si="72"/>
        <v>2.79979179286748</v>
      </c>
      <c r="Y434">
        <v>0.0187434</v>
      </c>
      <c r="Z434" s="8">
        <v>2.18735042735043</v>
      </c>
      <c r="AA434">
        <f t="shared" si="73"/>
        <v>0.40348527373684</v>
      </c>
      <c r="AD434" s="9">
        <v>0.637179</v>
      </c>
      <c r="AE434">
        <f t="shared" si="74"/>
        <v>1.38511106916248</v>
      </c>
      <c r="AH434">
        <v>86.0204</v>
      </c>
      <c r="AI434" s="10">
        <f t="shared" si="75"/>
        <v>0.794353897447582</v>
      </c>
      <c r="AJ434">
        <f t="shared" si="76"/>
        <v>1.11104595668723</v>
      </c>
    </row>
    <row r="435" spans="1:36">
      <c r="A435" s="1" t="s">
        <v>455</v>
      </c>
      <c r="B435" s="1">
        <v>68585642</v>
      </c>
      <c r="C435" s="2">
        <v>0.866393</v>
      </c>
      <c r="E435">
        <v>4.307234</v>
      </c>
      <c r="F435">
        <v>15923.362287</v>
      </c>
      <c r="G435" s="3">
        <f t="shared" si="66"/>
        <v>15.923362287</v>
      </c>
      <c r="I435" t="s">
        <v>455</v>
      </c>
      <c r="J435">
        <v>2.45969</v>
      </c>
      <c r="K435" s="5">
        <f t="shared" si="67"/>
        <v>27.8838560956869</v>
      </c>
      <c r="L435">
        <f t="shared" si="68"/>
        <v>1.75112866196931</v>
      </c>
      <c r="O435">
        <v>0.005736</v>
      </c>
      <c r="P435" s="6">
        <f t="shared" si="69"/>
        <v>11.9570505578801</v>
      </c>
      <c r="Q435" s="4">
        <f t="shared" si="70"/>
        <v>2.33200118714147</v>
      </c>
      <c r="T435">
        <v>22.941</v>
      </c>
      <c r="U435" s="7">
        <f t="shared" si="71"/>
        <v>2.98965354605292</v>
      </c>
      <c r="V435">
        <f t="shared" si="72"/>
        <v>9.32678508267302</v>
      </c>
      <c r="Y435">
        <v>0.007139286</v>
      </c>
      <c r="Z435" s="8">
        <v>5.76407573530462</v>
      </c>
      <c r="AA435">
        <f t="shared" si="73"/>
        <v>4.83752424085962</v>
      </c>
      <c r="AD435" s="9">
        <v>3.41196</v>
      </c>
      <c r="AE435">
        <f t="shared" si="74"/>
        <v>8.17238657419397</v>
      </c>
      <c r="AH435">
        <v>5.2755</v>
      </c>
      <c r="AI435" s="10">
        <f t="shared" si="75"/>
        <v>13.0007851388494</v>
      </c>
      <c r="AJ435">
        <f t="shared" si="76"/>
        <v>2.14478247258801</v>
      </c>
    </row>
    <row r="436" spans="1:36">
      <c r="A436" s="1" t="s">
        <v>456</v>
      </c>
      <c r="B436" s="1">
        <v>69913200</v>
      </c>
      <c r="C436" s="2">
        <v>0.364257</v>
      </c>
      <c r="E436">
        <v>6.178915</v>
      </c>
      <c r="F436">
        <v>11314.802267</v>
      </c>
      <c r="G436" s="3">
        <f t="shared" si="66"/>
        <v>11.314802267</v>
      </c>
      <c r="I436" t="s">
        <v>456</v>
      </c>
      <c r="J436">
        <v>4.2908</v>
      </c>
      <c r="K436" s="5">
        <f t="shared" si="67"/>
        <v>16.2937447562226</v>
      </c>
      <c r="L436">
        <f t="shared" si="68"/>
        <v>1.44003795839578</v>
      </c>
      <c r="O436">
        <v>0.006432</v>
      </c>
      <c r="P436" s="6">
        <f t="shared" si="69"/>
        <v>10.8695895522388</v>
      </c>
      <c r="Q436" s="4">
        <f t="shared" si="70"/>
        <v>1.49902116155495</v>
      </c>
      <c r="T436">
        <v>50.606</v>
      </c>
      <c r="U436" s="7">
        <f t="shared" si="71"/>
        <v>1.38151997786824</v>
      </c>
      <c r="V436">
        <f t="shared" si="72"/>
        <v>11.7940710357043</v>
      </c>
      <c r="Y436">
        <v>0.007553682</v>
      </c>
      <c r="Z436" s="8">
        <v>5.55330764519873</v>
      </c>
      <c r="AA436">
        <f t="shared" si="73"/>
        <v>2.93406124731984</v>
      </c>
      <c r="AD436" s="9">
        <v>3.19302</v>
      </c>
      <c r="AE436">
        <f t="shared" si="74"/>
        <v>5.1029259936432</v>
      </c>
      <c r="AH436">
        <v>5.7417</v>
      </c>
      <c r="AI436" s="10">
        <f t="shared" si="75"/>
        <v>12.1763937509797</v>
      </c>
      <c r="AJ436">
        <f t="shared" si="76"/>
        <v>1.33814207140859</v>
      </c>
    </row>
    <row r="437" spans="1:36">
      <c r="A437" s="1" t="s">
        <v>457</v>
      </c>
      <c r="B437" s="1">
        <v>72986388</v>
      </c>
      <c r="C437" s="2">
        <v>0.728121</v>
      </c>
      <c r="E437">
        <v>9.822586</v>
      </c>
      <c r="F437">
        <v>7430.46544</v>
      </c>
      <c r="G437" s="3">
        <f t="shared" si="66"/>
        <v>7.43046544</v>
      </c>
      <c r="I437" t="s">
        <v>457</v>
      </c>
      <c r="J437">
        <v>8.91762</v>
      </c>
      <c r="K437" s="5">
        <f t="shared" si="67"/>
        <v>8.18451425380315</v>
      </c>
      <c r="L437">
        <f t="shared" si="68"/>
        <v>1.10148069725806</v>
      </c>
      <c r="O437">
        <v>0.009144</v>
      </c>
      <c r="P437" s="6">
        <f t="shared" si="69"/>
        <v>7.98188845144357</v>
      </c>
      <c r="Q437" s="4">
        <f t="shared" si="70"/>
        <v>1.02538569708061</v>
      </c>
      <c r="T437">
        <v>42.991</v>
      </c>
      <c r="U437" s="7">
        <f t="shared" si="71"/>
        <v>1.69771319578516</v>
      </c>
      <c r="V437">
        <f t="shared" si="72"/>
        <v>4.82090512939551</v>
      </c>
      <c r="Y437">
        <v>0.008175042</v>
      </c>
      <c r="Z437" s="8">
        <v>5.35677159823766</v>
      </c>
      <c r="AA437">
        <f t="shared" si="73"/>
        <v>1.52788187879726</v>
      </c>
      <c r="AD437" s="9">
        <v>3.11664</v>
      </c>
      <c r="AE437">
        <f t="shared" si="74"/>
        <v>2.62606982320805</v>
      </c>
      <c r="AH437">
        <v>8.2517</v>
      </c>
      <c r="AI437" s="10">
        <f t="shared" si="75"/>
        <v>8.84501230049566</v>
      </c>
      <c r="AJ437">
        <f t="shared" si="76"/>
        <v>0.925325367082248</v>
      </c>
    </row>
    <row r="438" spans="1:36">
      <c r="A438" s="1" t="s">
        <v>458</v>
      </c>
      <c r="B438" s="1">
        <v>73016184</v>
      </c>
      <c r="C438" s="2">
        <v>1</v>
      </c>
      <c r="E438">
        <v>4.543361</v>
      </c>
      <c r="F438">
        <v>16070.961792</v>
      </c>
      <c r="G438" s="3">
        <f t="shared" si="66"/>
        <v>16.070961792</v>
      </c>
      <c r="I438" t="s">
        <v>458</v>
      </c>
      <c r="J438">
        <v>1.71789</v>
      </c>
      <c r="K438" s="5">
        <f t="shared" si="67"/>
        <v>42.5034105792571</v>
      </c>
      <c r="L438">
        <f t="shared" si="68"/>
        <v>2.6447334720449</v>
      </c>
      <c r="O438">
        <v>0.005232</v>
      </c>
      <c r="P438" s="6">
        <f t="shared" si="69"/>
        <v>13.9556926605505</v>
      </c>
      <c r="Q438" s="4">
        <f t="shared" si="70"/>
        <v>3.04559663307895</v>
      </c>
      <c r="T438">
        <v>19.567</v>
      </c>
      <c r="U438" s="7">
        <f t="shared" si="71"/>
        <v>3.7315983032657</v>
      </c>
      <c r="V438">
        <f t="shared" si="72"/>
        <v>11.3901355732905</v>
      </c>
      <c r="Y438">
        <v>0.006159006</v>
      </c>
      <c r="Z438" s="8">
        <v>7.11311377193008</v>
      </c>
      <c r="AA438">
        <f t="shared" si="73"/>
        <v>5.97535930705691</v>
      </c>
      <c r="AD438" s="9">
        <v>3.63963</v>
      </c>
      <c r="AE438">
        <f t="shared" si="74"/>
        <v>11.6779481923319</v>
      </c>
      <c r="AH438">
        <v>4.4858</v>
      </c>
      <c r="AI438" s="10">
        <f t="shared" si="75"/>
        <v>16.277182219448</v>
      </c>
      <c r="AJ438">
        <f t="shared" si="76"/>
        <v>2.61122656281834</v>
      </c>
    </row>
    <row r="439" spans="1:36">
      <c r="A439" s="1" t="s">
        <v>459</v>
      </c>
      <c r="B439" s="1">
        <v>73755448</v>
      </c>
      <c r="C439" s="2">
        <v>0.320076</v>
      </c>
      <c r="E439">
        <v>36.355442</v>
      </c>
      <c r="F439">
        <v>2028.732007</v>
      </c>
      <c r="G439" s="3">
        <f t="shared" si="66"/>
        <v>2.028732007</v>
      </c>
      <c r="I439" t="s">
        <v>459</v>
      </c>
      <c r="J439">
        <v>49.2991</v>
      </c>
      <c r="K439" s="5">
        <f t="shared" si="67"/>
        <v>1.49608102379151</v>
      </c>
      <c r="L439">
        <f t="shared" si="68"/>
        <v>0.737446354979063</v>
      </c>
      <c r="O439">
        <v>0.0329712</v>
      </c>
      <c r="P439" s="6">
        <f t="shared" si="69"/>
        <v>2.23696583685156</v>
      </c>
      <c r="Q439" s="4">
        <f t="shared" si="70"/>
        <v>0.668799227572106</v>
      </c>
      <c r="T439">
        <v>106.371</v>
      </c>
      <c r="U439" s="7">
        <f t="shared" si="71"/>
        <v>0.693379285707571</v>
      </c>
      <c r="V439">
        <f t="shared" si="72"/>
        <v>2.15766616429103</v>
      </c>
      <c r="Y439">
        <v>0.0742275</v>
      </c>
      <c r="Z439" s="8">
        <v>0.596184282105689</v>
      </c>
      <c r="AA439">
        <f t="shared" si="73"/>
        <v>2.50942714978569</v>
      </c>
      <c r="AD439" s="9">
        <v>1.191795</v>
      </c>
      <c r="AE439">
        <f t="shared" si="74"/>
        <v>1.25531741934771</v>
      </c>
      <c r="AH439">
        <v>53.9855</v>
      </c>
      <c r="AI439" s="10">
        <f t="shared" si="75"/>
        <v>1.36620848190718</v>
      </c>
      <c r="AJ439">
        <f t="shared" si="76"/>
        <v>1.09506055891487</v>
      </c>
    </row>
    <row r="440" spans="1:36">
      <c r="A440" s="1" t="s">
        <v>460</v>
      </c>
      <c r="B440" s="1">
        <v>74599276</v>
      </c>
      <c r="C440" s="2">
        <v>0.0102403</v>
      </c>
      <c r="E440">
        <v>18.773335</v>
      </c>
      <c r="F440">
        <v>3973.68271</v>
      </c>
      <c r="G440" s="3">
        <f t="shared" si="66"/>
        <v>3.97368271</v>
      </c>
      <c r="I440" t="s">
        <v>460</v>
      </c>
      <c r="J440">
        <v>12.1896</v>
      </c>
      <c r="K440" s="5">
        <f t="shared" si="67"/>
        <v>6.11991172803045</v>
      </c>
      <c r="L440">
        <f t="shared" si="68"/>
        <v>1.54011081776342</v>
      </c>
      <c r="O440">
        <v>0.017864</v>
      </c>
      <c r="P440" s="6">
        <f t="shared" si="69"/>
        <v>4.17595588893865</v>
      </c>
      <c r="Q440" s="4">
        <f t="shared" si="70"/>
        <v>1.46551158364507</v>
      </c>
      <c r="T440">
        <v>112.36</v>
      </c>
      <c r="U440" s="7">
        <f t="shared" si="71"/>
        <v>0.663930900676397</v>
      </c>
      <c r="V440">
        <f t="shared" si="72"/>
        <v>9.21769377173984</v>
      </c>
      <c r="Y440">
        <v>0.008355384</v>
      </c>
      <c r="Z440" s="8">
        <v>5.35697289316685</v>
      </c>
      <c r="AA440">
        <f t="shared" si="73"/>
        <v>1.1424197676708</v>
      </c>
      <c r="AD440" s="9">
        <v>2.261967</v>
      </c>
      <c r="AE440">
        <f t="shared" si="74"/>
        <v>2.70557073910913</v>
      </c>
      <c r="AH440">
        <v>23.7683</v>
      </c>
      <c r="AI440" s="10">
        <f t="shared" si="75"/>
        <v>3.13860377056836</v>
      </c>
      <c r="AJ440">
        <f t="shared" si="76"/>
        <v>1.94988350725208</v>
      </c>
    </row>
    <row r="441" spans="1:36">
      <c r="A441" s="1" t="s">
        <v>461</v>
      </c>
      <c r="B441" s="1">
        <v>74735032</v>
      </c>
      <c r="C441" s="2">
        <v>0.00803272</v>
      </c>
      <c r="E441">
        <v>29.949741</v>
      </c>
      <c r="F441">
        <v>2495.348225</v>
      </c>
      <c r="G441" s="3">
        <f t="shared" si="66"/>
        <v>2.495348225</v>
      </c>
      <c r="I441" t="s">
        <v>461</v>
      </c>
      <c r="J441">
        <v>35.4088</v>
      </c>
      <c r="K441" s="5">
        <f t="shared" si="67"/>
        <v>2.11063441856262</v>
      </c>
      <c r="L441">
        <f t="shared" si="68"/>
        <v>0.845827607312249</v>
      </c>
      <c r="O441">
        <v>0.0553376</v>
      </c>
      <c r="P441" s="6">
        <f t="shared" si="69"/>
        <v>1.35052897126005</v>
      </c>
      <c r="Q441" s="4">
        <f t="shared" si="70"/>
        <v>1.56282054178622</v>
      </c>
      <c r="T441">
        <v>159.538</v>
      </c>
      <c r="U441" s="7">
        <f t="shared" si="71"/>
        <v>0.46844658952726</v>
      </c>
      <c r="V441">
        <f t="shared" si="72"/>
        <v>4.50560312690631</v>
      </c>
      <c r="Y441">
        <v>0.017167446</v>
      </c>
      <c r="Z441" s="8">
        <v>2.61197962702198</v>
      </c>
      <c r="AA441">
        <f t="shared" si="73"/>
        <v>0.808059295994216</v>
      </c>
      <c r="AD441" s="9">
        <v>1.003758</v>
      </c>
      <c r="AE441">
        <f t="shared" si="74"/>
        <v>2.10273235038985</v>
      </c>
      <c r="AH441">
        <v>57.7224</v>
      </c>
      <c r="AI441" s="10">
        <f t="shared" si="75"/>
        <v>1.29473188917994</v>
      </c>
      <c r="AJ441">
        <f t="shared" si="76"/>
        <v>1.63017103093016</v>
      </c>
    </row>
    <row r="442" spans="1:36">
      <c r="A442" s="1" t="s">
        <v>462</v>
      </c>
      <c r="B442" s="1">
        <v>76045944</v>
      </c>
      <c r="C442" s="2">
        <v>0.151151</v>
      </c>
      <c r="E442">
        <v>4.568202</v>
      </c>
      <c r="F442">
        <v>16646.798574</v>
      </c>
      <c r="G442" s="3">
        <f t="shared" si="66"/>
        <v>16.646798574</v>
      </c>
      <c r="I442" t="s">
        <v>462</v>
      </c>
      <c r="J442">
        <v>2.93493</v>
      </c>
      <c r="K442" s="5">
        <f t="shared" si="67"/>
        <v>25.9106499984667</v>
      </c>
      <c r="L442">
        <f t="shared" si="68"/>
        <v>1.55649447449527</v>
      </c>
      <c r="O442">
        <v>0.0060688</v>
      </c>
      <c r="P442" s="6">
        <f t="shared" si="69"/>
        <v>12.5306393356182</v>
      </c>
      <c r="Q442" s="4">
        <f t="shared" si="70"/>
        <v>2.06778355872201</v>
      </c>
      <c r="T442">
        <v>52.494</v>
      </c>
      <c r="U442" s="7">
        <f t="shared" si="71"/>
        <v>1.44865973254086</v>
      </c>
      <c r="V442">
        <f t="shared" si="72"/>
        <v>17.8859461724811</v>
      </c>
      <c r="Y442">
        <v>0.006078708</v>
      </c>
      <c r="Z442" s="8">
        <v>7.50612899978088</v>
      </c>
      <c r="AA442">
        <f t="shared" si="73"/>
        <v>3.45193241406098</v>
      </c>
      <c r="AD442" s="9">
        <v>3.3069</v>
      </c>
      <c r="AE442">
        <f t="shared" si="74"/>
        <v>7.83532915977706</v>
      </c>
      <c r="AH442">
        <v>7.1269</v>
      </c>
      <c r="AI442" s="10">
        <f t="shared" si="75"/>
        <v>10.6702695421572</v>
      </c>
      <c r="AJ442">
        <f t="shared" si="76"/>
        <v>2.42830323040073</v>
      </c>
    </row>
    <row r="443" spans="1:36">
      <c r="A443" s="1" t="s">
        <v>463</v>
      </c>
      <c r="B443" s="1">
        <v>76045944</v>
      </c>
      <c r="C443" s="2">
        <v>0.052932</v>
      </c>
      <c r="E443">
        <v>5.12057</v>
      </c>
      <c r="F443">
        <v>14851.070897</v>
      </c>
      <c r="G443" s="3">
        <f t="shared" si="66"/>
        <v>14.851070897</v>
      </c>
      <c r="I443" t="s">
        <v>463</v>
      </c>
      <c r="J443">
        <v>2.85437</v>
      </c>
      <c r="K443" s="5">
        <f t="shared" si="67"/>
        <v>26.6419363992755</v>
      </c>
      <c r="L443">
        <f t="shared" si="68"/>
        <v>1.79394042248208</v>
      </c>
      <c r="O443">
        <v>0.0078032</v>
      </c>
      <c r="P443" s="6">
        <f t="shared" si="69"/>
        <v>9.74548185359852</v>
      </c>
      <c r="Q443" s="4">
        <f t="shared" si="70"/>
        <v>2.73377312681958</v>
      </c>
      <c r="T443">
        <v>46.34</v>
      </c>
      <c r="U443" s="7">
        <f t="shared" si="71"/>
        <v>1.64104324557618</v>
      </c>
      <c r="V443">
        <f t="shared" si="72"/>
        <v>16.2347558305335</v>
      </c>
      <c r="Y443">
        <v>0.010661058</v>
      </c>
      <c r="Z443" s="8">
        <v>4.27983474060454</v>
      </c>
      <c r="AA443">
        <f t="shared" si="73"/>
        <v>6.22499185459489</v>
      </c>
      <c r="AD443" s="9">
        <v>3.28932</v>
      </c>
      <c r="AE443">
        <f t="shared" si="74"/>
        <v>8.09952707528471</v>
      </c>
      <c r="AH443">
        <v>7.0494</v>
      </c>
      <c r="AI443" s="10">
        <f t="shared" si="75"/>
        <v>10.7875768150481</v>
      </c>
      <c r="AJ443">
        <f t="shared" si="76"/>
        <v>2.46968683106955</v>
      </c>
    </row>
    <row r="444" spans="1:36">
      <c r="A444" s="1" t="s">
        <v>464</v>
      </c>
      <c r="B444" s="1">
        <v>76063056</v>
      </c>
      <c r="C444" s="2">
        <v>0.875164</v>
      </c>
      <c r="E444">
        <v>7.875769</v>
      </c>
      <c r="F444">
        <v>9657.857061</v>
      </c>
      <c r="G444" s="3">
        <f t="shared" si="66"/>
        <v>9.657857061</v>
      </c>
      <c r="I444" t="s">
        <v>464</v>
      </c>
      <c r="J444">
        <v>5.83456</v>
      </c>
      <c r="K444" s="5">
        <f t="shared" si="67"/>
        <v>13.0366396094993</v>
      </c>
      <c r="L444">
        <f t="shared" si="68"/>
        <v>1.3498480591666</v>
      </c>
      <c r="O444">
        <v>0.010424</v>
      </c>
      <c r="P444" s="6">
        <f t="shared" si="69"/>
        <v>7.29691634689179</v>
      </c>
      <c r="Q444" s="4">
        <f t="shared" si="70"/>
        <v>1.78659573301157</v>
      </c>
      <c r="T444">
        <v>37.397</v>
      </c>
      <c r="U444" s="7">
        <f t="shared" si="71"/>
        <v>2.03393470064444</v>
      </c>
      <c r="V444">
        <f t="shared" si="72"/>
        <v>6.40956644545604</v>
      </c>
      <c r="Y444">
        <v>0.01651617</v>
      </c>
      <c r="Z444" s="8">
        <v>2.76322135216579</v>
      </c>
      <c r="AA444">
        <f t="shared" si="73"/>
        <v>4.71791360445346</v>
      </c>
      <c r="AD444" s="9">
        <v>2.934576</v>
      </c>
      <c r="AE444">
        <f t="shared" si="74"/>
        <v>4.44242698417055</v>
      </c>
      <c r="AH444">
        <v>9.4876</v>
      </c>
      <c r="AI444" s="10">
        <f t="shared" si="75"/>
        <v>8.01710190142923</v>
      </c>
      <c r="AJ444">
        <f t="shared" si="76"/>
        <v>1.62610376789338</v>
      </c>
    </row>
    <row r="445" spans="1:36">
      <c r="A445" s="1" t="s">
        <v>465</v>
      </c>
      <c r="B445" s="1">
        <v>76260962</v>
      </c>
      <c r="C445" s="2">
        <v>0.870627</v>
      </c>
      <c r="E445">
        <v>3.916934</v>
      </c>
      <c r="F445">
        <v>19469.554471</v>
      </c>
      <c r="G445" s="3">
        <f t="shared" si="66"/>
        <v>19.469554471</v>
      </c>
      <c r="I445" t="s">
        <v>465</v>
      </c>
      <c r="J445">
        <v>2.33138</v>
      </c>
      <c r="K445" s="5">
        <f t="shared" si="67"/>
        <v>32.7106529180142</v>
      </c>
      <c r="L445">
        <f t="shared" si="68"/>
        <v>1.68009252429155</v>
      </c>
      <c r="O445">
        <v>0.0061232</v>
      </c>
      <c r="P445" s="6">
        <f t="shared" si="69"/>
        <v>12.454429383329</v>
      </c>
      <c r="Q445" s="4">
        <f t="shared" si="70"/>
        <v>2.62642726625432</v>
      </c>
      <c r="T445">
        <v>23.127</v>
      </c>
      <c r="U445" s="7">
        <f t="shared" si="71"/>
        <v>3.29748614173909</v>
      </c>
      <c r="V445">
        <f t="shared" si="72"/>
        <v>9.91987578172585</v>
      </c>
      <c r="Y445">
        <v>0.005626476</v>
      </c>
      <c r="Z445" s="8">
        <v>8.13236867979176</v>
      </c>
      <c r="AA445">
        <f t="shared" si="73"/>
        <v>4.02227865041306</v>
      </c>
      <c r="AD445" s="9">
        <v>3.55383</v>
      </c>
      <c r="AE445">
        <f t="shared" si="74"/>
        <v>9.20433811353223</v>
      </c>
      <c r="AH445">
        <v>6.3844</v>
      </c>
      <c r="AI445" s="10">
        <f t="shared" si="75"/>
        <v>11.9448909842742</v>
      </c>
      <c r="AJ445">
        <f t="shared" si="76"/>
        <v>2.73846391407664</v>
      </c>
    </row>
    <row r="446" spans="1:36">
      <c r="A446" s="1" t="s">
        <v>466</v>
      </c>
      <c r="B446" s="1">
        <v>76536664</v>
      </c>
      <c r="C446" s="2">
        <v>3.73009e-5</v>
      </c>
      <c r="E446">
        <v>18.154068</v>
      </c>
      <c r="F446">
        <v>4215.951085</v>
      </c>
      <c r="G446" s="3">
        <f t="shared" si="66"/>
        <v>4.215951085</v>
      </c>
      <c r="I446" t="s">
        <v>466</v>
      </c>
      <c r="J446">
        <v>36.0453</v>
      </c>
      <c r="K446" s="5">
        <f t="shared" si="67"/>
        <v>2.12334656668137</v>
      </c>
      <c r="L446">
        <f t="shared" si="68"/>
        <v>0.503645920901706</v>
      </c>
      <c r="O446">
        <v>0.0307424</v>
      </c>
      <c r="P446" s="6">
        <f t="shared" si="69"/>
        <v>2.48961252211929</v>
      </c>
      <c r="Q446" s="4">
        <f t="shared" si="70"/>
        <v>0.85288234527109</v>
      </c>
      <c r="T446">
        <v>339.301</v>
      </c>
      <c r="U446" s="7">
        <f t="shared" si="71"/>
        <v>0.22557158393285</v>
      </c>
      <c r="V446">
        <f t="shared" si="72"/>
        <v>9.41318285601729</v>
      </c>
      <c r="Y446">
        <v>0.002781702</v>
      </c>
      <c r="Z446" s="8">
        <v>16.5085973982835</v>
      </c>
      <c r="AA446">
        <f t="shared" si="73"/>
        <v>0.128620652345798</v>
      </c>
      <c r="AD446" s="9">
        <v>1.624986</v>
      </c>
      <c r="AE446">
        <f t="shared" si="74"/>
        <v>1.30668606786851</v>
      </c>
      <c r="AH446">
        <v>60.5591</v>
      </c>
      <c r="AI446" s="10">
        <f t="shared" si="75"/>
        <v>1.26383423795928</v>
      </c>
      <c r="AJ446">
        <f t="shared" si="76"/>
        <v>1.68008311763253</v>
      </c>
    </row>
    <row r="447" spans="1:36">
      <c r="A447" s="1" t="s">
        <v>467</v>
      </c>
      <c r="B447" s="1">
        <v>79848200</v>
      </c>
      <c r="C447" s="2">
        <v>0.0461752</v>
      </c>
      <c r="E447">
        <v>50.623414</v>
      </c>
      <c r="F447">
        <v>1577.297798</v>
      </c>
      <c r="G447" s="3">
        <f t="shared" si="66"/>
        <v>1.577297798</v>
      </c>
      <c r="I447" t="s">
        <v>467</v>
      </c>
      <c r="J447">
        <v>65.3455</v>
      </c>
      <c r="K447" s="5">
        <f t="shared" si="67"/>
        <v>1.22193877160631</v>
      </c>
      <c r="L447">
        <f t="shared" si="68"/>
        <v>0.774703910165674</v>
      </c>
      <c r="O447">
        <v>0.0481648</v>
      </c>
      <c r="P447" s="6">
        <f t="shared" si="69"/>
        <v>1.65781234428462</v>
      </c>
      <c r="Q447" s="4">
        <f t="shared" si="70"/>
        <v>0.737079064357913</v>
      </c>
      <c r="T447">
        <v>601.204</v>
      </c>
      <c r="U447" s="7">
        <f t="shared" si="71"/>
        <v>0.13281382026733</v>
      </c>
      <c r="V447">
        <f t="shared" si="72"/>
        <v>9.20038870312416</v>
      </c>
      <c r="Y447">
        <v>0.13668858</v>
      </c>
      <c r="Z447" s="8">
        <v>0.350496873989034</v>
      </c>
      <c r="AA447">
        <f t="shared" si="73"/>
        <v>3.48630433618229</v>
      </c>
      <c r="AD447" s="9">
        <v>1.186278</v>
      </c>
      <c r="AE447">
        <f t="shared" si="74"/>
        <v>1.03006105786865</v>
      </c>
      <c r="AH447">
        <v>60.6463</v>
      </c>
      <c r="AI447" s="10">
        <f t="shared" si="75"/>
        <v>1.31662112940113</v>
      </c>
      <c r="AJ447">
        <f t="shared" si="76"/>
        <v>0.928086861375305</v>
      </c>
    </row>
    <row r="448" spans="1:36">
      <c r="A448" s="1" t="s">
        <v>468</v>
      </c>
      <c r="B448" s="1">
        <v>80922402</v>
      </c>
      <c r="C448" s="2">
        <v>0.968254</v>
      </c>
      <c r="E448">
        <v>5.171163</v>
      </c>
      <c r="F448">
        <v>15648.78111</v>
      </c>
      <c r="G448" s="3">
        <f t="shared" si="66"/>
        <v>15.64878111</v>
      </c>
      <c r="I448" t="s">
        <v>468</v>
      </c>
      <c r="J448">
        <v>2.43739</v>
      </c>
      <c r="K448" s="5">
        <f t="shared" si="67"/>
        <v>33.2004324297712</v>
      </c>
      <c r="L448">
        <f t="shared" si="68"/>
        <v>2.12159862141309</v>
      </c>
      <c r="O448">
        <v>0.0052656</v>
      </c>
      <c r="P448" s="6">
        <f t="shared" si="69"/>
        <v>15.3681255697356</v>
      </c>
      <c r="Q448" s="4">
        <f t="shared" si="70"/>
        <v>2.16034364627737</v>
      </c>
      <c r="T448">
        <v>11.297</v>
      </c>
      <c r="U448" s="7">
        <f t="shared" si="71"/>
        <v>7.16317624148004</v>
      </c>
      <c r="V448">
        <f t="shared" si="72"/>
        <v>4.63487583029388</v>
      </c>
      <c r="Y448">
        <v>0.00567999</v>
      </c>
      <c r="Z448" s="8">
        <v>8.54815610590864</v>
      </c>
      <c r="AA448">
        <f t="shared" si="73"/>
        <v>3.88392912090392</v>
      </c>
      <c r="AD448" s="9">
        <v>3.89076</v>
      </c>
      <c r="AE448">
        <f t="shared" si="74"/>
        <v>8.53314838997296</v>
      </c>
      <c r="AH448">
        <v>4.2827</v>
      </c>
      <c r="AI448" s="10">
        <f t="shared" si="75"/>
        <v>18.8951834123333</v>
      </c>
      <c r="AJ448">
        <f t="shared" si="76"/>
        <v>1.75708442227136</v>
      </c>
    </row>
    <row r="449" spans="1:36">
      <c r="A449" s="1" t="s">
        <v>469</v>
      </c>
      <c r="B449" s="1">
        <v>81488060</v>
      </c>
      <c r="C449" s="2">
        <v>0.179308</v>
      </c>
      <c r="E449">
        <v>6.829424</v>
      </c>
      <c r="F449">
        <v>11931.908301</v>
      </c>
      <c r="G449" s="3">
        <f t="shared" si="66"/>
        <v>11.931908301</v>
      </c>
      <c r="I449" t="s">
        <v>469</v>
      </c>
      <c r="J449">
        <v>5.83083</v>
      </c>
      <c r="K449" s="5">
        <f t="shared" si="67"/>
        <v>13.9753791484231</v>
      </c>
      <c r="L449">
        <f t="shared" si="68"/>
        <v>1.17126102513308</v>
      </c>
      <c r="O449">
        <v>0.0100784</v>
      </c>
      <c r="P449" s="6">
        <f t="shared" si="69"/>
        <v>8.08541633592634</v>
      </c>
      <c r="Q449" s="4">
        <f t="shared" si="70"/>
        <v>1.72846747375588</v>
      </c>
      <c r="T449">
        <v>42.503</v>
      </c>
      <c r="U449" s="7">
        <f t="shared" si="71"/>
        <v>1.91723078370939</v>
      </c>
      <c r="V449">
        <f t="shared" si="72"/>
        <v>7.28935674680963</v>
      </c>
      <c r="Y449">
        <v>0.01913814</v>
      </c>
      <c r="Z449" s="8">
        <v>2.55473290507855</v>
      </c>
      <c r="AA449">
        <f t="shared" si="73"/>
        <v>5.4703875777548</v>
      </c>
      <c r="AD449" s="9">
        <v>2.915154</v>
      </c>
      <c r="AE449">
        <f t="shared" si="74"/>
        <v>4.79404489382829</v>
      </c>
      <c r="AH449">
        <v>12.2391</v>
      </c>
      <c r="AI449" s="10">
        <f t="shared" si="75"/>
        <v>6.65801080144782</v>
      </c>
      <c r="AJ449">
        <f t="shared" si="76"/>
        <v>2.09903221325266</v>
      </c>
    </row>
    <row r="450" spans="1:36">
      <c r="A450" s="1" t="s">
        <v>470</v>
      </c>
      <c r="B450" s="1">
        <v>81776492</v>
      </c>
      <c r="C450" s="2">
        <v>0.0156377</v>
      </c>
      <c r="E450">
        <v>32.975859</v>
      </c>
      <c r="F450">
        <v>2479.889638</v>
      </c>
      <c r="G450" s="3">
        <f t="shared" ref="G450:G513" si="77">F450/1000</f>
        <v>2.479889638</v>
      </c>
      <c r="I450" t="s">
        <v>470</v>
      </c>
      <c r="J450">
        <v>71.6725</v>
      </c>
      <c r="K450" s="5">
        <f t="shared" ref="K450:K513" si="78">B450/J450/1000000</f>
        <v>1.14097446021835</v>
      </c>
      <c r="L450">
        <f t="shared" ref="L450:L513" si="79">K450/G450</f>
        <v>0.460090821274827</v>
      </c>
      <c r="O450">
        <v>0.0645216</v>
      </c>
      <c r="P450" s="6">
        <f t="shared" ref="P450:P513" si="80">B450/O450/1000000000</f>
        <v>1.26742814809304</v>
      </c>
      <c r="Q450" s="4">
        <f t="shared" ref="Q450:Q513" si="81">K450/P450</f>
        <v>0.900228120966898</v>
      </c>
      <c r="T450">
        <v>498.115</v>
      </c>
      <c r="U450" s="7">
        <f t="shared" ref="U450:U513" si="82">B450/T450/1000000</f>
        <v>0.16417191210865</v>
      </c>
      <c r="V450">
        <f t="shared" ref="V450:V513" si="83">K450/U450</f>
        <v>6.94987617286965</v>
      </c>
      <c r="Y450">
        <v>0.01201248</v>
      </c>
      <c r="Z450" s="8">
        <v>4.08457664029409</v>
      </c>
      <c r="AA450">
        <f t="shared" ref="AA450:AA513" si="84">K450/Z450</f>
        <v>0.279337263246015</v>
      </c>
      <c r="AD450" s="9">
        <v>1.033656</v>
      </c>
      <c r="AE450">
        <f t="shared" ref="AE450:AE513" si="85">K450/AD450</f>
        <v>1.10382415447533</v>
      </c>
      <c r="AH450">
        <v>80.2344</v>
      </c>
      <c r="AI450" s="10">
        <f t="shared" ref="AI450:AI513" si="86">B450/AH450/1000000</f>
        <v>1.01921983588087</v>
      </c>
      <c r="AJ450">
        <f t="shared" ref="AJ450:AJ513" si="87">K450/AI450</f>
        <v>1.11945864871464</v>
      </c>
    </row>
    <row r="451" spans="1:36">
      <c r="A451" s="1" t="s">
        <v>471</v>
      </c>
      <c r="B451" s="1">
        <v>82310224</v>
      </c>
      <c r="C451" s="2">
        <v>6.75767e-5</v>
      </c>
      <c r="E451">
        <v>18.042919</v>
      </c>
      <c r="F451">
        <v>4561.912956</v>
      </c>
      <c r="G451" s="3">
        <f t="shared" si="77"/>
        <v>4.561912956</v>
      </c>
      <c r="I451" t="s">
        <v>471</v>
      </c>
      <c r="J451">
        <v>17.5576</v>
      </c>
      <c r="K451" s="5">
        <f t="shared" si="78"/>
        <v>4.68801111769262</v>
      </c>
      <c r="L451">
        <f t="shared" si="79"/>
        <v>1.02764150980276</v>
      </c>
      <c r="O451">
        <v>0.0172512</v>
      </c>
      <c r="P451" s="6">
        <f t="shared" si="80"/>
        <v>4.77127527360415</v>
      </c>
      <c r="Q451" s="4">
        <f t="shared" si="81"/>
        <v>0.982548867726797</v>
      </c>
      <c r="T451">
        <v>844.063</v>
      </c>
      <c r="U451" s="7">
        <f t="shared" si="82"/>
        <v>0.0975166829964114</v>
      </c>
      <c r="V451">
        <f t="shared" si="83"/>
        <v>48.073939490591</v>
      </c>
      <c r="Y451">
        <v>0.002219418</v>
      </c>
      <c r="Z451" s="8">
        <v>22.2518400769932</v>
      </c>
      <c r="AA451">
        <f t="shared" si="84"/>
        <v>0.210679705654531</v>
      </c>
      <c r="AD451" s="9">
        <v>2.209476</v>
      </c>
      <c r="AE451">
        <f t="shared" si="85"/>
        <v>2.12177508046823</v>
      </c>
      <c r="AH451">
        <v>46.8439</v>
      </c>
      <c r="AI451" s="10">
        <f t="shared" si="86"/>
        <v>1.75711723404755</v>
      </c>
      <c r="AJ451">
        <f t="shared" si="87"/>
        <v>2.66801271244361</v>
      </c>
    </row>
    <row r="452" spans="1:36">
      <c r="A452" s="1" t="s">
        <v>472</v>
      </c>
      <c r="B452" s="1">
        <v>83192416</v>
      </c>
      <c r="C452" s="2">
        <v>0.00723104</v>
      </c>
      <c r="E452">
        <v>48.282901</v>
      </c>
      <c r="F452">
        <v>1723.020233</v>
      </c>
      <c r="G452" s="3">
        <f t="shared" si="77"/>
        <v>1.723020233</v>
      </c>
      <c r="I452" t="s">
        <v>472</v>
      </c>
      <c r="J452">
        <v>63.2829</v>
      </c>
      <c r="K452" s="5">
        <f t="shared" si="78"/>
        <v>1.31461130890019</v>
      </c>
      <c r="L452">
        <f t="shared" si="79"/>
        <v>0.762969165261214</v>
      </c>
      <c r="O452">
        <v>0.0895888</v>
      </c>
      <c r="P452" s="6">
        <f t="shared" si="80"/>
        <v>0.92860286107192</v>
      </c>
      <c r="Q452" s="4">
        <f t="shared" si="81"/>
        <v>1.41568733417716</v>
      </c>
      <c r="T452">
        <v>211.82</v>
      </c>
      <c r="U452" s="7">
        <f t="shared" si="82"/>
        <v>0.392750524029837</v>
      </c>
      <c r="V452">
        <f t="shared" si="83"/>
        <v>3.34719173742038</v>
      </c>
      <c r="Y452">
        <v>0.0262692</v>
      </c>
      <c r="Z452" s="8">
        <v>1.90015111232927</v>
      </c>
      <c r="AA452">
        <f t="shared" si="84"/>
        <v>0.6918456644686</v>
      </c>
      <c r="AD452" s="9">
        <v>0.710547</v>
      </c>
      <c r="AE452">
        <f t="shared" si="85"/>
        <v>1.85013983438139</v>
      </c>
      <c r="AH452">
        <v>72.958</v>
      </c>
      <c r="AI452" s="10">
        <f t="shared" si="86"/>
        <v>1.14027818745031</v>
      </c>
      <c r="AJ452">
        <f t="shared" si="87"/>
        <v>1.15288648276233</v>
      </c>
    </row>
    <row r="453" spans="1:36">
      <c r="A453" s="1" t="s">
        <v>473</v>
      </c>
      <c r="B453" s="1">
        <v>83294524</v>
      </c>
      <c r="C453" s="2">
        <v>3.05129e-5</v>
      </c>
      <c r="E453">
        <v>26.301875</v>
      </c>
      <c r="F453">
        <v>3166.866442</v>
      </c>
      <c r="G453" s="3">
        <f t="shared" si="77"/>
        <v>3.166866442</v>
      </c>
      <c r="I453" t="s">
        <v>473</v>
      </c>
      <c r="J453">
        <v>38.3445</v>
      </c>
      <c r="K453" s="5">
        <f t="shared" si="78"/>
        <v>2.17226783502197</v>
      </c>
      <c r="L453">
        <f t="shared" si="79"/>
        <v>0.685936042711703</v>
      </c>
      <c r="O453">
        <v>0.0322096</v>
      </c>
      <c r="P453" s="6">
        <f t="shared" si="80"/>
        <v>2.58601547364761</v>
      </c>
      <c r="Q453" s="4">
        <f t="shared" si="81"/>
        <v>0.840005737459088</v>
      </c>
      <c r="T453">
        <v>356.969</v>
      </c>
      <c r="U453" s="7">
        <f t="shared" si="82"/>
        <v>0.233338256263149</v>
      </c>
      <c r="V453">
        <f t="shared" si="83"/>
        <v>9.30952287811811</v>
      </c>
      <c r="Y453">
        <v>0.002902266</v>
      </c>
      <c r="Z453" s="8">
        <v>17.2198945237962</v>
      </c>
      <c r="AA453">
        <f t="shared" si="84"/>
        <v>0.126148730587177</v>
      </c>
      <c r="AD453" s="9">
        <v>1.647708</v>
      </c>
      <c r="AE453">
        <f t="shared" si="85"/>
        <v>1.3183572787302</v>
      </c>
      <c r="AH453">
        <v>62.4893</v>
      </c>
      <c r="AI453" s="10">
        <f t="shared" si="86"/>
        <v>1.33294058342788</v>
      </c>
      <c r="AJ453">
        <f t="shared" si="87"/>
        <v>1.62968091903663</v>
      </c>
    </row>
    <row r="454" spans="1:36">
      <c r="A454" s="1" t="s">
        <v>474</v>
      </c>
      <c r="B454" s="1">
        <v>84044248</v>
      </c>
      <c r="C454" s="2">
        <v>1</v>
      </c>
      <c r="E454">
        <v>4.770992</v>
      </c>
      <c r="F454">
        <v>17615.674194</v>
      </c>
      <c r="G454" s="3">
        <f t="shared" si="77"/>
        <v>17.615674194</v>
      </c>
      <c r="I454" t="s">
        <v>474</v>
      </c>
      <c r="J454">
        <v>1.83798</v>
      </c>
      <c r="K454" s="5">
        <f t="shared" si="78"/>
        <v>45.7264213974037</v>
      </c>
      <c r="L454">
        <f t="shared" si="79"/>
        <v>2.59578037682931</v>
      </c>
      <c r="O454">
        <v>0.0057104</v>
      </c>
      <c r="P454" s="6">
        <f t="shared" si="80"/>
        <v>14.7177514710003</v>
      </c>
      <c r="Q454" s="4">
        <f t="shared" si="81"/>
        <v>3.10688908475609</v>
      </c>
      <c r="T454">
        <v>22.006</v>
      </c>
      <c r="U454" s="7">
        <f t="shared" si="82"/>
        <v>3.81915150413524</v>
      </c>
      <c r="V454">
        <f t="shared" si="83"/>
        <v>11.972926800074</v>
      </c>
      <c r="Y454">
        <v>0.006325506</v>
      </c>
      <c r="Z454" s="8">
        <v>7.97193913024508</v>
      </c>
      <c r="AA454">
        <f t="shared" si="84"/>
        <v>5.73592204485358</v>
      </c>
      <c r="AD454" s="9">
        <v>3.75402</v>
      </c>
      <c r="AE454">
        <f t="shared" si="85"/>
        <v>12.180654710791</v>
      </c>
      <c r="AH454">
        <v>5.0719</v>
      </c>
      <c r="AI454" s="10">
        <f t="shared" si="86"/>
        <v>16.5705648770678</v>
      </c>
      <c r="AJ454">
        <f t="shared" si="87"/>
        <v>2.75949683892099</v>
      </c>
    </row>
    <row r="455" spans="1:36">
      <c r="A455" s="1" t="s">
        <v>475</v>
      </c>
      <c r="B455" s="1">
        <v>84723900</v>
      </c>
      <c r="C455" s="2">
        <v>0.934104</v>
      </c>
      <c r="E455">
        <v>6.907163</v>
      </c>
      <c r="F455">
        <v>12266.093285</v>
      </c>
      <c r="G455" s="3">
        <f t="shared" si="77"/>
        <v>12.266093285</v>
      </c>
      <c r="I455" t="s">
        <v>475</v>
      </c>
      <c r="J455">
        <v>4.54252</v>
      </c>
      <c r="K455" s="5">
        <f t="shared" si="78"/>
        <v>18.6512992788144</v>
      </c>
      <c r="L455">
        <f t="shared" si="79"/>
        <v>1.52055742977454</v>
      </c>
      <c r="O455">
        <v>0.0068176</v>
      </c>
      <c r="P455" s="6">
        <f t="shared" si="80"/>
        <v>12.4272324571697</v>
      </c>
      <c r="Q455" s="4">
        <f t="shared" si="81"/>
        <v>1.50084094291274</v>
      </c>
      <c r="T455">
        <v>31.921</v>
      </c>
      <c r="U455" s="7">
        <f t="shared" si="82"/>
        <v>2.65417436797093</v>
      </c>
      <c r="V455">
        <f t="shared" si="83"/>
        <v>7.02715673238643</v>
      </c>
      <c r="Y455">
        <v>0.00845694</v>
      </c>
      <c r="Z455" s="8">
        <v>6.0109614115744</v>
      </c>
      <c r="AA455">
        <f t="shared" si="84"/>
        <v>3.10288122011571</v>
      </c>
      <c r="AD455" s="9">
        <v>3.4572</v>
      </c>
      <c r="AE455">
        <f t="shared" si="85"/>
        <v>5.39491475147935</v>
      </c>
      <c r="AH455">
        <v>6.2365</v>
      </c>
      <c r="AI455" s="10">
        <f t="shared" si="86"/>
        <v>13.5851679627996</v>
      </c>
      <c r="AJ455">
        <f t="shared" si="87"/>
        <v>1.37291635479866</v>
      </c>
    </row>
    <row r="456" spans="1:36">
      <c r="A456" s="1" t="s">
        <v>477</v>
      </c>
      <c r="B456" s="1">
        <v>85714394</v>
      </c>
      <c r="C456" s="2">
        <v>0.00126626</v>
      </c>
      <c r="E456">
        <v>21.603593</v>
      </c>
      <c r="F456">
        <v>3967.598976</v>
      </c>
      <c r="G456" s="3">
        <f t="shared" si="77"/>
        <v>3.967598976</v>
      </c>
      <c r="I456" t="s">
        <v>477</v>
      </c>
      <c r="J456">
        <v>17.6768</v>
      </c>
      <c r="K456" s="5">
        <f t="shared" si="78"/>
        <v>4.84897685101376</v>
      </c>
      <c r="L456">
        <f t="shared" si="79"/>
        <v>1.22214389114051</v>
      </c>
      <c r="O456">
        <v>0.0246656</v>
      </c>
      <c r="P456" s="6">
        <f t="shared" si="80"/>
        <v>3.4750581376492</v>
      </c>
      <c r="Q456" s="4">
        <f t="shared" si="81"/>
        <v>1.39536567704562</v>
      </c>
      <c r="T456">
        <v>58.067</v>
      </c>
      <c r="U456" s="7">
        <f t="shared" si="82"/>
        <v>1.47612919558441</v>
      </c>
      <c r="V456">
        <f t="shared" si="83"/>
        <v>3.28492713613324</v>
      </c>
      <c r="Y456">
        <v>0.012957336</v>
      </c>
      <c r="Z456" s="8">
        <v>3.96907484686667</v>
      </c>
      <c r="AA456">
        <f t="shared" si="84"/>
        <v>1.22168944605358</v>
      </c>
      <c r="AD456" s="9">
        <v>2.486616</v>
      </c>
      <c r="AE456">
        <f t="shared" si="85"/>
        <v>1.95003042327957</v>
      </c>
      <c r="AH456">
        <v>18.4639</v>
      </c>
      <c r="AI456" s="10">
        <f t="shared" si="86"/>
        <v>4.64226918473345</v>
      </c>
      <c r="AJ456">
        <f t="shared" si="87"/>
        <v>1.04452729000724</v>
      </c>
    </row>
    <row r="457" spans="1:36">
      <c r="A457" s="1" t="s">
        <v>476</v>
      </c>
      <c r="B457" s="1">
        <v>85714394</v>
      </c>
      <c r="C457" s="2">
        <v>0.00126626</v>
      </c>
      <c r="E457">
        <v>21.653056</v>
      </c>
      <c r="F457">
        <v>3958.535729</v>
      </c>
      <c r="G457" s="3">
        <f t="shared" si="77"/>
        <v>3.958535729</v>
      </c>
      <c r="I457" t="s">
        <v>476</v>
      </c>
      <c r="J457">
        <v>18.7673</v>
      </c>
      <c r="K457" s="5">
        <f t="shared" si="78"/>
        <v>4.56722032471373</v>
      </c>
      <c r="L457">
        <f t="shared" si="79"/>
        <v>1.15376508825083</v>
      </c>
      <c r="O457">
        <v>0.0192224</v>
      </c>
      <c r="P457" s="6">
        <f t="shared" si="80"/>
        <v>4.45908908356917</v>
      </c>
      <c r="Q457" s="4">
        <f t="shared" si="81"/>
        <v>1.02424962567871</v>
      </c>
      <c r="T457">
        <v>58.36</v>
      </c>
      <c r="U457" s="7">
        <f t="shared" si="82"/>
        <v>1.46871819739548</v>
      </c>
      <c r="V457">
        <f t="shared" si="83"/>
        <v>3.10966414987771</v>
      </c>
      <c r="Y457">
        <v>0.013067172</v>
      </c>
      <c r="Z457" s="8">
        <v>3.93571282294287</v>
      </c>
      <c r="AA457">
        <f t="shared" si="84"/>
        <v>1.16045568622018</v>
      </c>
      <c r="AD457" s="9">
        <v>2.485164</v>
      </c>
      <c r="AE457">
        <f t="shared" si="85"/>
        <v>1.83779433659659</v>
      </c>
      <c r="AH457">
        <v>18.9027</v>
      </c>
      <c r="AI457" s="10">
        <f t="shared" si="86"/>
        <v>4.53450533521666</v>
      </c>
      <c r="AJ457">
        <f t="shared" si="87"/>
        <v>1.00721467659173</v>
      </c>
    </row>
    <row r="458" spans="1:36">
      <c r="A458" s="1" t="s">
        <v>478</v>
      </c>
      <c r="B458" s="1">
        <v>87552228</v>
      </c>
      <c r="C458" s="2">
        <v>0.0602062</v>
      </c>
      <c r="E458">
        <v>17.904295</v>
      </c>
      <c r="F458">
        <v>4890.01268</v>
      </c>
      <c r="G458" s="3">
        <f t="shared" si="77"/>
        <v>4.89001268</v>
      </c>
      <c r="I458" t="s">
        <v>478</v>
      </c>
      <c r="J458">
        <v>32.9482</v>
      </c>
      <c r="K458" s="5">
        <f t="shared" si="78"/>
        <v>2.65726892516131</v>
      </c>
      <c r="L458">
        <f t="shared" si="79"/>
        <v>0.543407369070731</v>
      </c>
      <c r="O458">
        <v>0.0418384</v>
      </c>
      <c r="P458" s="6">
        <f t="shared" si="80"/>
        <v>2.09262849439749</v>
      </c>
      <c r="Q458" s="4">
        <f t="shared" si="81"/>
        <v>1.26982354119497</v>
      </c>
      <c r="T458">
        <v>1406.897</v>
      </c>
      <c r="U458" s="7">
        <f t="shared" si="82"/>
        <v>0.0622307304656986</v>
      </c>
      <c r="V458">
        <f t="shared" si="83"/>
        <v>42.7002689069509</v>
      </c>
      <c r="Y458">
        <v>0.1819818</v>
      </c>
      <c r="Z458" s="8">
        <v>0.288662584939813</v>
      </c>
      <c r="AA458">
        <f t="shared" si="84"/>
        <v>9.20544976660332</v>
      </c>
      <c r="AD458" s="9">
        <v>1.184739</v>
      </c>
      <c r="AE458">
        <f t="shared" si="85"/>
        <v>2.24291504302746</v>
      </c>
      <c r="AH458">
        <v>95.6219</v>
      </c>
      <c r="AI458" s="10">
        <f t="shared" si="86"/>
        <v>0.915608537374807</v>
      </c>
      <c r="AJ458">
        <f t="shared" si="87"/>
        <v>2.90218889044014</v>
      </c>
    </row>
    <row r="459" spans="1:36">
      <c r="A459" s="1" t="s">
        <v>479</v>
      </c>
      <c r="B459" s="1">
        <v>88370774</v>
      </c>
      <c r="C459" s="2">
        <v>0</v>
      </c>
      <c r="E459">
        <v>23.882694</v>
      </c>
      <c r="F459">
        <v>3700.201273</v>
      </c>
      <c r="G459" s="3">
        <f t="shared" si="77"/>
        <v>3.700201273</v>
      </c>
      <c r="I459" t="s">
        <v>479</v>
      </c>
      <c r="J459">
        <v>18.6935</v>
      </c>
      <c r="K459" s="5">
        <f t="shared" si="78"/>
        <v>4.72735303715195</v>
      </c>
      <c r="L459">
        <f t="shared" si="79"/>
        <v>1.27759348434556</v>
      </c>
      <c r="O459">
        <v>0.027312</v>
      </c>
      <c r="P459" s="6">
        <f t="shared" si="80"/>
        <v>3.23560244581137</v>
      </c>
      <c r="Q459" s="4">
        <f t="shared" si="81"/>
        <v>1.46104260839329</v>
      </c>
      <c r="T459">
        <v>172.51</v>
      </c>
      <c r="U459" s="7">
        <f t="shared" si="82"/>
        <v>0.512264645527795</v>
      </c>
      <c r="V459">
        <f t="shared" si="83"/>
        <v>9.22834140209164</v>
      </c>
      <c r="Y459">
        <v>0.01815894</v>
      </c>
      <c r="Z459" s="8">
        <v>2.91990966433063</v>
      </c>
      <c r="AA459">
        <f t="shared" si="84"/>
        <v>1.61900660657448</v>
      </c>
      <c r="AD459" s="9">
        <v>2.366433</v>
      </c>
      <c r="AE459">
        <f t="shared" si="85"/>
        <v>1.99767034906627</v>
      </c>
      <c r="AH459">
        <v>20.5366</v>
      </c>
      <c r="AI459" s="10">
        <f t="shared" si="86"/>
        <v>4.30308687903548</v>
      </c>
      <c r="AJ459">
        <f t="shared" si="87"/>
        <v>1.09859576858266</v>
      </c>
    </row>
    <row r="460" spans="1:36">
      <c r="A460" s="1" t="s">
        <v>480</v>
      </c>
      <c r="B460" s="1">
        <v>88934448</v>
      </c>
      <c r="C460" s="2">
        <v>0.00105718</v>
      </c>
      <c r="E460">
        <v>35.800816</v>
      </c>
      <c r="F460">
        <v>2484.145838</v>
      </c>
      <c r="G460" s="3">
        <f t="shared" si="77"/>
        <v>2.484145838</v>
      </c>
      <c r="I460" t="s">
        <v>480</v>
      </c>
      <c r="J460">
        <v>112.69</v>
      </c>
      <c r="K460" s="5">
        <f t="shared" si="78"/>
        <v>0.789195563049073</v>
      </c>
      <c r="L460">
        <f t="shared" si="79"/>
        <v>0.31769292727373</v>
      </c>
      <c r="O460">
        <v>0.0501616</v>
      </c>
      <c r="P460" s="6">
        <f t="shared" si="80"/>
        <v>1.77295875729642</v>
      </c>
      <c r="Q460" s="4">
        <f t="shared" si="81"/>
        <v>0.445129115271985</v>
      </c>
      <c r="T460">
        <v>511.578</v>
      </c>
      <c r="U460" s="7">
        <f t="shared" si="82"/>
        <v>0.173843378722306</v>
      </c>
      <c r="V460">
        <f t="shared" si="83"/>
        <v>4.53969296299583</v>
      </c>
      <c r="Y460">
        <v>0.01438209</v>
      </c>
      <c r="Z460" s="8">
        <v>3.7102165818737</v>
      </c>
      <c r="AA460">
        <f t="shared" si="84"/>
        <v>0.212708758541131</v>
      </c>
      <c r="AD460" s="9">
        <v>1.129134</v>
      </c>
      <c r="AE460">
        <f t="shared" si="85"/>
        <v>0.698938800044169</v>
      </c>
      <c r="AH460">
        <v>79.1518</v>
      </c>
      <c r="AI460" s="10">
        <f t="shared" si="86"/>
        <v>1.12359350008465</v>
      </c>
      <c r="AJ460">
        <f t="shared" si="87"/>
        <v>0.702385304818529</v>
      </c>
    </row>
    <row r="461" spans="1:36">
      <c r="A461" s="1" t="s">
        <v>481</v>
      </c>
      <c r="B461" s="1">
        <v>92140016</v>
      </c>
      <c r="C461" s="2">
        <v>0.787071</v>
      </c>
      <c r="E461">
        <v>8.861135</v>
      </c>
      <c r="F461">
        <v>10398.218295</v>
      </c>
      <c r="G461" s="3">
        <f t="shared" si="77"/>
        <v>10.398218295</v>
      </c>
      <c r="I461" t="s">
        <v>481</v>
      </c>
      <c r="J461">
        <v>3.45723</v>
      </c>
      <c r="K461" s="5">
        <f t="shared" si="78"/>
        <v>26.6513989523405</v>
      </c>
      <c r="L461">
        <f t="shared" si="79"/>
        <v>2.56307361475146</v>
      </c>
      <c r="O461">
        <v>0.008136</v>
      </c>
      <c r="P461" s="6">
        <f t="shared" si="80"/>
        <v>11.3249773844641</v>
      </c>
      <c r="Q461" s="4">
        <f t="shared" si="81"/>
        <v>2.35332911029929</v>
      </c>
      <c r="T461">
        <v>30.494</v>
      </c>
      <c r="U461" s="7">
        <f t="shared" si="82"/>
        <v>3.02157854004066</v>
      </c>
      <c r="V461">
        <f t="shared" si="83"/>
        <v>8.82035618110453</v>
      </c>
      <c r="Y461">
        <v>0.02458188</v>
      </c>
      <c r="Z461" s="8">
        <v>2.24897402476946</v>
      </c>
      <c r="AA461">
        <f t="shared" si="84"/>
        <v>11.85046988485</v>
      </c>
      <c r="AD461" s="9">
        <v>3.46785</v>
      </c>
      <c r="AE461">
        <f t="shared" si="85"/>
        <v>7.6852802031058</v>
      </c>
      <c r="AH461">
        <v>9.4718</v>
      </c>
      <c r="AI461" s="10">
        <f t="shared" si="86"/>
        <v>9.72782533414979</v>
      </c>
      <c r="AJ461">
        <f t="shared" si="87"/>
        <v>2.73970780075378</v>
      </c>
    </row>
    <row r="462" spans="1:36">
      <c r="A462" s="1" t="s">
        <v>482</v>
      </c>
      <c r="B462" s="1">
        <v>92311172</v>
      </c>
      <c r="C462" s="2">
        <v>0.00652123</v>
      </c>
      <c r="E462">
        <v>48.890291</v>
      </c>
      <c r="F462">
        <v>1888.128932</v>
      </c>
      <c r="G462" s="3">
        <f t="shared" si="77"/>
        <v>1.888128932</v>
      </c>
      <c r="I462" t="s">
        <v>482</v>
      </c>
      <c r="J462">
        <v>54.9637</v>
      </c>
      <c r="K462" s="5">
        <f t="shared" si="78"/>
        <v>1.67949341110588</v>
      </c>
      <c r="L462">
        <f t="shared" si="79"/>
        <v>0.889501443805997</v>
      </c>
      <c r="O462">
        <v>0.0992096</v>
      </c>
      <c r="P462" s="6">
        <f t="shared" si="80"/>
        <v>0.930466124246041</v>
      </c>
      <c r="Q462" s="4">
        <f t="shared" si="81"/>
        <v>1.80500221054987</v>
      </c>
      <c r="T462">
        <v>200.408</v>
      </c>
      <c r="U462" s="7">
        <f t="shared" si="82"/>
        <v>0.46061620294599</v>
      </c>
      <c r="V462">
        <f t="shared" si="83"/>
        <v>3.64618830246144</v>
      </c>
      <c r="Y462">
        <v>0.02430648</v>
      </c>
      <c r="Z462" s="8">
        <v>2.27868054938436</v>
      </c>
      <c r="AA462">
        <f t="shared" si="84"/>
        <v>0.737046450657434</v>
      </c>
      <c r="AD462" s="9">
        <v>0.802929</v>
      </c>
      <c r="AE462">
        <f t="shared" si="85"/>
        <v>2.09170849615081</v>
      </c>
      <c r="AH462">
        <v>80.4604</v>
      </c>
      <c r="AI462" s="10">
        <f t="shared" si="86"/>
        <v>1.14728701323881</v>
      </c>
      <c r="AJ462">
        <f t="shared" si="87"/>
        <v>1.46388252610359</v>
      </c>
    </row>
    <row r="463" spans="1:36">
      <c r="A463" s="1" t="s">
        <v>483</v>
      </c>
      <c r="B463" s="1">
        <v>93320688</v>
      </c>
      <c r="C463" s="2">
        <v>0.000694001</v>
      </c>
      <c r="E463">
        <v>35.805216</v>
      </c>
      <c r="F463">
        <v>2606.343383</v>
      </c>
      <c r="G463" s="3">
        <f t="shared" si="77"/>
        <v>2.606343383</v>
      </c>
      <c r="I463" t="s">
        <v>483</v>
      </c>
      <c r="J463">
        <v>80.2977</v>
      </c>
      <c r="K463" s="5">
        <f t="shared" si="78"/>
        <v>1.162183823447</v>
      </c>
      <c r="L463">
        <f t="shared" si="79"/>
        <v>0.445905873733829</v>
      </c>
      <c r="O463">
        <v>0.0479536</v>
      </c>
      <c r="P463" s="6">
        <f t="shared" si="80"/>
        <v>1.94606219345367</v>
      </c>
      <c r="Q463" s="4">
        <f t="shared" si="81"/>
        <v>0.597197678140221</v>
      </c>
      <c r="T463">
        <v>309.26</v>
      </c>
      <c r="U463" s="7">
        <f t="shared" si="82"/>
        <v>0.301754795317856</v>
      </c>
      <c r="V463">
        <f t="shared" si="83"/>
        <v>3.85141791109832</v>
      </c>
      <c r="Y463">
        <v>0.014716152</v>
      </c>
      <c r="Z463" s="8">
        <v>3.80482702271626</v>
      </c>
      <c r="AA463">
        <f t="shared" si="84"/>
        <v>0.305449844765168</v>
      </c>
      <c r="AD463" s="9">
        <v>1.364742</v>
      </c>
      <c r="AE463">
        <f t="shared" si="85"/>
        <v>0.851577678013132</v>
      </c>
      <c r="AH463">
        <v>68.184</v>
      </c>
      <c r="AI463" s="10">
        <f t="shared" si="86"/>
        <v>1.36865962689194</v>
      </c>
      <c r="AJ463">
        <f t="shared" si="87"/>
        <v>0.849140137264205</v>
      </c>
    </row>
    <row r="464" spans="1:36">
      <c r="A464" s="1" t="s">
        <v>484</v>
      </c>
      <c r="B464" s="1">
        <v>93473284</v>
      </c>
      <c r="C464" s="2">
        <v>0.00484925</v>
      </c>
      <c r="E464">
        <v>26.065416</v>
      </c>
      <c r="F464">
        <v>3586.103699</v>
      </c>
      <c r="G464" s="3">
        <f t="shared" si="77"/>
        <v>3.586103699</v>
      </c>
      <c r="I464" t="s">
        <v>484</v>
      </c>
      <c r="J464">
        <v>29.9704</v>
      </c>
      <c r="K464" s="5">
        <f t="shared" si="78"/>
        <v>3.11885340202333</v>
      </c>
      <c r="L464">
        <f t="shared" si="79"/>
        <v>0.869705302413044</v>
      </c>
      <c r="O464">
        <v>0.0201552</v>
      </c>
      <c r="P464" s="6">
        <f t="shared" si="80"/>
        <v>4.63767583551639</v>
      </c>
      <c r="Q464" s="4">
        <f t="shared" si="81"/>
        <v>0.672503536822999</v>
      </c>
      <c r="T464">
        <v>167.52</v>
      </c>
      <c r="U464" s="7">
        <f t="shared" si="82"/>
        <v>0.557982831900669</v>
      </c>
      <c r="V464">
        <f t="shared" si="83"/>
        <v>5.58951498812161</v>
      </c>
      <c r="Y464">
        <v>0.0198666</v>
      </c>
      <c r="Z464" s="8">
        <v>2.82302811754402</v>
      </c>
      <c r="AA464">
        <f t="shared" si="84"/>
        <v>1.1047900595254</v>
      </c>
      <c r="AD464" s="9">
        <v>2.383545</v>
      </c>
      <c r="AE464">
        <f t="shared" si="85"/>
        <v>1.3084936101577</v>
      </c>
      <c r="AH464">
        <v>27.4894</v>
      </c>
      <c r="AI464" s="10">
        <f t="shared" si="86"/>
        <v>3.40033918528596</v>
      </c>
      <c r="AJ464">
        <f t="shared" si="87"/>
        <v>0.917218322077783</v>
      </c>
    </row>
    <row r="465" spans="1:36">
      <c r="A465" s="1" t="s">
        <v>485</v>
      </c>
      <c r="B465" s="1">
        <v>94061632</v>
      </c>
      <c r="C465" s="2">
        <v>2.18914e-5</v>
      </c>
      <c r="E465">
        <v>29.368215</v>
      </c>
      <c r="F465">
        <v>3202.837852</v>
      </c>
      <c r="G465" s="3">
        <f t="shared" si="77"/>
        <v>3.202837852</v>
      </c>
      <c r="I465" t="s">
        <v>485</v>
      </c>
      <c r="J465">
        <v>43.9991</v>
      </c>
      <c r="K465" s="5">
        <f t="shared" si="78"/>
        <v>2.13780809152914</v>
      </c>
      <c r="L465">
        <f t="shared" si="79"/>
        <v>0.667473094273005</v>
      </c>
      <c r="O465">
        <v>0.0397184</v>
      </c>
      <c r="P465" s="6">
        <f t="shared" si="80"/>
        <v>2.36821301965839</v>
      </c>
      <c r="Q465" s="4">
        <f t="shared" si="81"/>
        <v>0.902709373600824</v>
      </c>
      <c r="T465">
        <v>132.04</v>
      </c>
      <c r="U465" s="7">
        <f t="shared" si="82"/>
        <v>0.712372250833081</v>
      </c>
      <c r="V465">
        <f t="shared" si="83"/>
        <v>3.00097047439607</v>
      </c>
      <c r="Y465">
        <v>0.003173058</v>
      </c>
      <c r="Z465" s="8">
        <v>17.7863055765133</v>
      </c>
      <c r="AA465">
        <f t="shared" si="84"/>
        <v>0.120194049423738</v>
      </c>
      <c r="AD465" s="9">
        <v>1.583013</v>
      </c>
      <c r="AE465">
        <f t="shared" si="85"/>
        <v>1.35046780508381</v>
      </c>
      <c r="AH465">
        <v>86.1838</v>
      </c>
      <c r="AI465" s="10">
        <f t="shared" si="86"/>
        <v>1.09140734105482</v>
      </c>
      <c r="AJ465">
        <f t="shared" si="87"/>
        <v>1.95876279287531</v>
      </c>
    </row>
    <row r="466" spans="1:36">
      <c r="A466" s="1" t="s">
        <v>486</v>
      </c>
      <c r="B466" s="1">
        <v>94833604</v>
      </c>
      <c r="C466" s="2">
        <v>0.033213</v>
      </c>
      <c r="E466">
        <v>9.365136</v>
      </c>
      <c r="F466">
        <v>10126.23876</v>
      </c>
      <c r="G466" s="3">
        <f t="shared" si="77"/>
        <v>10.12623876</v>
      </c>
      <c r="I466" t="s">
        <v>486</v>
      </c>
      <c r="J466">
        <v>8.59593</v>
      </c>
      <c r="K466" s="5">
        <f t="shared" si="78"/>
        <v>11.0323843958711</v>
      </c>
      <c r="L466">
        <f t="shared" si="79"/>
        <v>1.08948491708989</v>
      </c>
      <c r="O466">
        <v>0.012304</v>
      </c>
      <c r="P466" s="6">
        <f t="shared" si="80"/>
        <v>7.70754258777633</v>
      </c>
      <c r="Q466" s="4">
        <f t="shared" si="81"/>
        <v>1.43137508099764</v>
      </c>
      <c r="T466">
        <v>75.753</v>
      </c>
      <c r="U466" s="7">
        <f t="shared" si="82"/>
        <v>1.25187918630285</v>
      </c>
      <c r="V466">
        <f t="shared" si="83"/>
        <v>8.81265901420789</v>
      </c>
      <c r="Y466">
        <v>0.014736942</v>
      </c>
      <c r="Z466" s="8">
        <v>3.86105627612567</v>
      </c>
      <c r="AA466">
        <f t="shared" si="84"/>
        <v>2.85734876854511</v>
      </c>
      <c r="AD466" s="9">
        <v>2.846757</v>
      </c>
      <c r="AE466">
        <f t="shared" si="85"/>
        <v>3.87542189089939</v>
      </c>
      <c r="AH466">
        <v>12.9752</v>
      </c>
      <c r="AI466" s="10">
        <f t="shared" si="86"/>
        <v>7.3088356248844</v>
      </c>
      <c r="AJ466">
        <f t="shared" si="87"/>
        <v>1.50945854607937</v>
      </c>
    </row>
    <row r="467" spans="1:36">
      <c r="A467" s="1" t="s">
        <v>487</v>
      </c>
      <c r="B467" s="1">
        <v>95197696</v>
      </c>
      <c r="C467" s="2">
        <v>0.140894</v>
      </c>
      <c r="E467">
        <v>7.77894</v>
      </c>
      <c r="F467">
        <v>12237.875632</v>
      </c>
      <c r="G467" s="3">
        <f t="shared" si="77"/>
        <v>12.237875632</v>
      </c>
      <c r="I467" t="s">
        <v>487</v>
      </c>
      <c r="J467">
        <v>7.06555</v>
      </c>
      <c r="K467" s="5">
        <f t="shared" si="78"/>
        <v>13.4735011428693</v>
      </c>
      <c r="L467">
        <f t="shared" si="79"/>
        <v>1.10096732047499</v>
      </c>
      <c r="O467">
        <v>0.0148448</v>
      </c>
      <c r="P467" s="6">
        <f t="shared" si="80"/>
        <v>6.41286484156068</v>
      </c>
      <c r="Q467" s="4">
        <f t="shared" si="81"/>
        <v>2.1010112447014</v>
      </c>
      <c r="T467">
        <v>64.411</v>
      </c>
      <c r="U467" s="7">
        <f t="shared" si="82"/>
        <v>1.47797264442409</v>
      </c>
      <c r="V467">
        <f t="shared" si="83"/>
        <v>9.11620468328722</v>
      </c>
      <c r="Y467">
        <v>0.03347622</v>
      </c>
      <c r="Z467" s="8">
        <v>1.70624454015418</v>
      </c>
      <c r="AA467">
        <f t="shared" si="84"/>
        <v>7.89658271472141</v>
      </c>
      <c r="AD467" s="9">
        <v>2.847762</v>
      </c>
      <c r="AE467">
        <f t="shared" si="85"/>
        <v>4.73125954446659</v>
      </c>
      <c r="AH467">
        <v>13.5566</v>
      </c>
      <c r="AI467" s="10">
        <f t="shared" si="86"/>
        <v>7.02223979463877</v>
      </c>
      <c r="AJ467">
        <f t="shared" si="87"/>
        <v>1.91868998167163</v>
      </c>
    </row>
    <row r="468" spans="1:36">
      <c r="A468" s="1" t="s">
        <v>489</v>
      </c>
      <c r="B468" s="1">
        <v>95197696</v>
      </c>
      <c r="C468" s="2">
        <v>0.139505</v>
      </c>
      <c r="E468">
        <v>7.507344</v>
      </c>
      <c r="F468">
        <v>12680.608754</v>
      </c>
      <c r="G468" s="3">
        <f t="shared" si="77"/>
        <v>12.680608754</v>
      </c>
      <c r="I468" t="s">
        <v>489</v>
      </c>
      <c r="J468">
        <v>6.72145</v>
      </c>
      <c r="K468" s="5">
        <f t="shared" si="78"/>
        <v>14.1632677472867</v>
      </c>
      <c r="L468">
        <f t="shared" si="79"/>
        <v>1.11692332931721</v>
      </c>
      <c r="O468">
        <v>0.0148944</v>
      </c>
      <c r="P468" s="6">
        <f t="shared" si="80"/>
        <v>6.39150929208293</v>
      </c>
      <c r="Q468" s="4">
        <f t="shared" si="81"/>
        <v>2.21595042736314</v>
      </c>
      <c r="T468">
        <v>64.57</v>
      </c>
      <c r="U468" s="7">
        <f t="shared" si="82"/>
        <v>1.4743332197615</v>
      </c>
      <c r="V468">
        <f t="shared" si="83"/>
        <v>9.60655810874142</v>
      </c>
      <c r="Y468">
        <v>0.03377916</v>
      </c>
      <c r="Z468" s="8">
        <v>1.6909425101157</v>
      </c>
      <c r="AA468">
        <f t="shared" si="84"/>
        <v>8.37596054422783</v>
      </c>
      <c r="AD468" s="9">
        <v>2.84826</v>
      </c>
      <c r="AE468">
        <f t="shared" si="85"/>
        <v>4.97260353594358</v>
      </c>
      <c r="AH468">
        <v>13.6562</v>
      </c>
      <c r="AI468" s="10">
        <f t="shared" si="86"/>
        <v>6.97102385729559</v>
      </c>
      <c r="AJ468">
        <f t="shared" si="87"/>
        <v>2.03173422401416</v>
      </c>
    </row>
    <row r="469" spans="1:36">
      <c r="A469" s="1" t="s">
        <v>488</v>
      </c>
      <c r="B469" s="1">
        <v>95197696</v>
      </c>
      <c r="C469" s="2">
        <v>0.140769</v>
      </c>
      <c r="E469">
        <v>7.815455</v>
      </c>
      <c r="F469">
        <v>12180.697254</v>
      </c>
      <c r="G469" s="3">
        <f t="shared" si="77"/>
        <v>12.180697254</v>
      </c>
      <c r="I469" t="s">
        <v>488</v>
      </c>
      <c r="J469">
        <v>6.99587</v>
      </c>
      <c r="K469" s="5">
        <f t="shared" si="78"/>
        <v>13.6076993997887</v>
      </c>
      <c r="L469">
        <f t="shared" si="79"/>
        <v>1.117152747173</v>
      </c>
      <c r="O469">
        <v>0.0148512</v>
      </c>
      <c r="P469" s="6">
        <f t="shared" si="80"/>
        <v>6.41010127127774</v>
      </c>
      <c r="Q469" s="4">
        <f t="shared" si="81"/>
        <v>2.12285248296495</v>
      </c>
      <c r="T469">
        <v>64.767</v>
      </c>
      <c r="U469" s="7">
        <f t="shared" si="82"/>
        <v>1.46984878101502</v>
      </c>
      <c r="V469">
        <f t="shared" si="83"/>
        <v>9.25789072695748</v>
      </c>
      <c r="Y469">
        <v>0.03423276</v>
      </c>
      <c r="Z469" s="8">
        <v>1.66853673498719</v>
      </c>
      <c r="AA469">
        <f t="shared" si="84"/>
        <v>8.15546886949013</v>
      </c>
      <c r="AD469" s="9">
        <v>2.818413</v>
      </c>
      <c r="AE469">
        <f t="shared" si="85"/>
        <v>4.82814243327317</v>
      </c>
      <c r="AH469">
        <v>13.6487</v>
      </c>
      <c r="AI469" s="10">
        <f t="shared" si="86"/>
        <v>6.97485445500304</v>
      </c>
      <c r="AJ469">
        <f t="shared" si="87"/>
        <v>1.9509653552739</v>
      </c>
    </row>
    <row r="470" spans="1:36">
      <c r="A470" s="1" t="s">
        <v>490</v>
      </c>
      <c r="B470" s="1">
        <v>95873288</v>
      </c>
      <c r="C470" s="2">
        <v>0.0544757</v>
      </c>
      <c r="E470">
        <v>30.652935</v>
      </c>
      <c r="F470">
        <v>3127.703325</v>
      </c>
      <c r="G470" s="3">
        <f t="shared" si="77"/>
        <v>3.127703325</v>
      </c>
      <c r="I470" t="s">
        <v>490</v>
      </c>
      <c r="J470">
        <v>23.2675</v>
      </c>
      <c r="K470" s="5">
        <f t="shared" si="78"/>
        <v>4.12048084237671</v>
      </c>
      <c r="L470">
        <f t="shared" si="79"/>
        <v>1.31741422194405</v>
      </c>
      <c r="O470">
        <v>0.023888</v>
      </c>
      <c r="P470" s="6">
        <f t="shared" si="80"/>
        <v>4.01344976557267</v>
      </c>
      <c r="Q470" s="4">
        <f t="shared" si="81"/>
        <v>1.02666809928011</v>
      </c>
      <c r="T470">
        <v>104.284</v>
      </c>
      <c r="U470" s="7">
        <f t="shared" si="82"/>
        <v>0.919348011200184</v>
      </c>
      <c r="V470">
        <f t="shared" si="83"/>
        <v>4.48195981519287</v>
      </c>
      <c r="Y470">
        <v>0.02151954</v>
      </c>
      <c r="Z470" s="8">
        <v>2.67310420204149</v>
      </c>
      <c r="AA470">
        <f t="shared" si="84"/>
        <v>1.54145911679381</v>
      </c>
      <c r="AD470" s="9">
        <v>2.279691</v>
      </c>
      <c r="AE470">
        <f t="shared" si="85"/>
        <v>1.80747339984968</v>
      </c>
      <c r="AH470">
        <v>21.675</v>
      </c>
      <c r="AI470" s="10">
        <f t="shared" si="86"/>
        <v>4.42321974625144</v>
      </c>
      <c r="AJ470">
        <f t="shared" si="87"/>
        <v>0.931556892661438</v>
      </c>
    </row>
    <row r="471" spans="1:36">
      <c r="A471" s="1" t="s">
        <v>491</v>
      </c>
      <c r="B471" s="1">
        <v>96990422</v>
      </c>
      <c r="C471" s="2">
        <v>0.773028</v>
      </c>
      <c r="E471">
        <v>7.273968</v>
      </c>
      <c r="F471">
        <v>13333.907608</v>
      </c>
      <c r="G471" s="3">
        <f t="shared" si="77"/>
        <v>13.333907608</v>
      </c>
      <c r="I471" t="s">
        <v>491</v>
      </c>
      <c r="J471">
        <v>5.26543</v>
      </c>
      <c r="K471" s="5">
        <f t="shared" si="78"/>
        <v>18.4202281675001</v>
      </c>
      <c r="L471">
        <f t="shared" si="79"/>
        <v>1.38145761235427</v>
      </c>
      <c r="O471">
        <v>0.0101184</v>
      </c>
      <c r="P471" s="6">
        <f t="shared" si="80"/>
        <v>9.58554929633144</v>
      </c>
      <c r="Q471" s="4">
        <f t="shared" si="81"/>
        <v>1.92166641660795</v>
      </c>
      <c r="T471">
        <v>53.702</v>
      </c>
      <c r="U471" s="7">
        <f t="shared" si="82"/>
        <v>1.80608584410264</v>
      </c>
      <c r="V471">
        <f t="shared" si="83"/>
        <v>10.1989771015852</v>
      </c>
      <c r="Y471">
        <v>0.02094444</v>
      </c>
      <c r="Z471" s="8">
        <v>2.77850604742834</v>
      </c>
      <c r="AA471">
        <f t="shared" si="84"/>
        <v>6.62954402584404</v>
      </c>
      <c r="AD471" s="9">
        <v>3.1536</v>
      </c>
      <c r="AE471">
        <f t="shared" si="85"/>
        <v>5.84101603484909</v>
      </c>
      <c r="AH471">
        <v>9.1994</v>
      </c>
      <c r="AI471" s="10">
        <f t="shared" si="86"/>
        <v>10.5431247690067</v>
      </c>
      <c r="AJ471">
        <f t="shared" si="87"/>
        <v>1.74713176321782</v>
      </c>
    </row>
    <row r="472" spans="1:36">
      <c r="A472" s="1" t="s">
        <v>492</v>
      </c>
      <c r="B472" s="1">
        <v>97940844</v>
      </c>
      <c r="C472" s="2">
        <v>0</v>
      </c>
      <c r="E472">
        <v>29.943735</v>
      </c>
      <c r="F472">
        <v>3270.829191</v>
      </c>
      <c r="G472" s="3">
        <f t="shared" si="77"/>
        <v>3.270829191</v>
      </c>
      <c r="I472" t="s">
        <v>492</v>
      </c>
      <c r="J472">
        <v>36.6775</v>
      </c>
      <c r="K472" s="5">
        <f t="shared" si="78"/>
        <v>2.6703249676232</v>
      </c>
      <c r="L472">
        <f t="shared" si="79"/>
        <v>0.816406119576913</v>
      </c>
      <c r="O472">
        <v>0.029472</v>
      </c>
      <c r="P472" s="6">
        <f t="shared" si="80"/>
        <v>3.32318281758958</v>
      </c>
      <c r="Q472" s="4">
        <f t="shared" si="81"/>
        <v>0.803544407334197</v>
      </c>
      <c r="T472">
        <v>55.229</v>
      </c>
      <c r="U472" s="7">
        <f t="shared" si="82"/>
        <v>1.77335899617954</v>
      </c>
      <c r="V472">
        <f t="shared" si="83"/>
        <v>1.50580055892577</v>
      </c>
      <c r="Y472">
        <v>0.0460143</v>
      </c>
      <c r="Z472" s="8">
        <v>1.27709226044947</v>
      </c>
      <c r="AA472">
        <f t="shared" si="84"/>
        <v>2.09094131279395</v>
      </c>
      <c r="AD472" s="9">
        <v>1.735242</v>
      </c>
      <c r="AE472">
        <f t="shared" si="85"/>
        <v>1.5388775557664</v>
      </c>
      <c r="AH472">
        <v>32.2602</v>
      </c>
      <c r="AI472" s="10">
        <f t="shared" si="86"/>
        <v>3.03596518310488</v>
      </c>
      <c r="AJ472">
        <f t="shared" si="87"/>
        <v>0.879563765251176</v>
      </c>
    </row>
    <row r="473" spans="1:36">
      <c r="A473" s="1" t="s">
        <v>493</v>
      </c>
      <c r="B473" s="1">
        <v>99075790</v>
      </c>
      <c r="C473" s="2">
        <v>0.000288809</v>
      </c>
      <c r="E473">
        <v>16.658666</v>
      </c>
      <c r="F473">
        <v>5947.402421</v>
      </c>
      <c r="G473" s="3">
        <f t="shared" si="77"/>
        <v>5.947402421</v>
      </c>
      <c r="I473" t="s">
        <v>493</v>
      </c>
      <c r="J473">
        <v>18.4972</v>
      </c>
      <c r="K473" s="5">
        <f t="shared" si="78"/>
        <v>5.35625878511342</v>
      </c>
      <c r="L473">
        <f t="shared" si="79"/>
        <v>0.900604735640676</v>
      </c>
      <c r="O473">
        <v>0.0169936</v>
      </c>
      <c r="P473" s="6">
        <f t="shared" si="80"/>
        <v>5.83018253930892</v>
      </c>
      <c r="Q473" s="4">
        <f t="shared" si="81"/>
        <v>0.918712021278896</v>
      </c>
      <c r="T473">
        <v>427.548</v>
      </c>
      <c r="U473" s="7">
        <f t="shared" si="82"/>
        <v>0.231730215086961</v>
      </c>
      <c r="V473">
        <f t="shared" si="83"/>
        <v>23.1142010682698</v>
      </c>
      <c r="Y473">
        <v>0.00213048</v>
      </c>
      <c r="Z473" s="8">
        <v>27.902385377943</v>
      </c>
      <c r="AA473">
        <f t="shared" si="84"/>
        <v>0.191964189174578</v>
      </c>
      <c r="AD473" s="9">
        <v>2.411379</v>
      </c>
      <c r="AE473">
        <f t="shared" si="85"/>
        <v>2.22124302530354</v>
      </c>
      <c r="AH473">
        <v>47.0163</v>
      </c>
      <c r="AI473" s="10">
        <f t="shared" si="86"/>
        <v>2.10726471457771</v>
      </c>
      <c r="AJ473">
        <f t="shared" si="87"/>
        <v>2.54180632744415</v>
      </c>
    </row>
    <row r="474" spans="1:36">
      <c r="A474" s="1" t="s">
        <v>494</v>
      </c>
      <c r="B474" s="1">
        <v>101221524</v>
      </c>
      <c r="C474" s="2">
        <v>0.0223271</v>
      </c>
      <c r="E474">
        <v>115.73825</v>
      </c>
      <c r="F474">
        <v>874.572792</v>
      </c>
      <c r="G474" s="3">
        <f t="shared" si="77"/>
        <v>0.874572792</v>
      </c>
      <c r="I474" t="s">
        <v>494</v>
      </c>
      <c r="J474">
        <v>60.6625</v>
      </c>
      <c r="K474" s="5">
        <f t="shared" si="78"/>
        <v>1.66860126107562</v>
      </c>
      <c r="L474">
        <f t="shared" si="79"/>
        <v>1.90790438067461</v>
      </c>
      <c r="O474">
        <v>0.0652016</v>
      </c>
      <c r="P474" s="6">
        <f t="shared" si="80"/>
        <v>1.5524392652941</v>
      </c>
      <c r="Q474" s="4">
        <f t="shared" si="81"/>
        <v>1.0748254687822</v>
      </c>
      <c r="T474">
        <v>2782.389</v>
      </c>
      <c r="U474" s="7">
        <f t="shared" si="82"/>
        <v>0.0363793574514563</v>
      </c>
      <c r="V474">
        <f t="shared" si="83"/>
        <v>45.8667051308469</v>
      </c>
      <c r="Y474">
        <v>0.2710062</v>
      </c>
      <c r="Z474" s="8">
        <v>0.224101568156005</v>
      </c>
      <c r="AA474">
        <f t="shared" si="84"/>
        <v>7.44573665773749</v>
      </c>
      <c r="AD474" s="9">
        <v>0.913869</v>
      </c>
      <c r="AE474">
        <f t="shared" si="85"/>
        <v>1.82586482425339</v>
      </c>
      <c r="AH474">
        <v>138.1968</v>
      </c>
      <c r="AI474" s="10">
        <f t="shared" si="86"/>
        <v>0.732444774408669</v>
      </c>
      <c r="AJ474">
        <f t="shared" si="87"/>
        <v>2.27812569544612</v>
      </c>
    </row>
    <row r="475" spans="1:36">
      <c r="A475" s="1" t="s">
        <v>495</v>
      </c>
      <c r="B475" s="1">
        <v>102299492</v>
      </c>
      <c r="C475" s="2">
        <v>1</v>
      </c>
      <c r="E475">
        <v>5.29112</v>
      </c>
      <c r="F475">
        <v>19334.185554</v>
      </c>
      <c r="G475" s="3">
        <f t="shared" si="77"/>
        <v>19.334185554</v>
      </c>
      <c r="I475" t="s">
        <v>495</v>
      </c>
      <c r="J475">
        <v>2.11378</v>
      </c>
      <c r="K475" s="5">
        <f t="shared" si="78"/>
        <v>48.3964707774697</v>
      </c>
      <c r="L475">
        <f t="shared" si="79"/>
        <v>2.50315538983007</v>
      </c>
      <c r="O475">
        <v>0.0067552</v>
      </c>
      <c r="P475" s="6">
        <f t="shared" si="80"/>
        <v>15.1438139507342</v>
      </c>
      <c r="Q475" s="4">
        <f t="shared" si="81"/>
        <v>3.19579142578698</v>
      </c>
      <c r="T475">
        <v>23.908</v>
      </c>
      <c r="U475" s="7">
        <f t="shared" si="82"/>
        <v>4.27888121131002</v>
      </c>
      <c r="V475">
        <f t="shared" si="83"/>
        <v>11.3105431974945</v>
      </c>
      <c r="Y475">
        <v>0.006683796</v>
      </c>
      <c r="Z475" s="8">
        <v>9.18335855851974</v>
      </c>
      <c r="AA475">
        <f t="shared" si="84"/>
        <v>5.27001863959352</v>
      </c>
      <c r="AD475" s="9">
        <v>3.78768</v>
      </c>
      <c r="AE475">
        <f t="shared" si="85"/>
        <v>12.7773388399943</v>
      </c>
      <c r="AH475">
        <v>5.7821</v>
      </c>
      <c r="AI475" s="10">
        <f t="shared" si="86"/>
        <v>17.6924459971291</v>
      </c>
      <c r="AJ475">
        <f t="shared" si="87"/>
        <v>2.73543131262478</v>
      </c>
    </row>
    <row r="476" spans="1:36">
      <c r="A476" s="1" t="s">
        <v>496</v>
      </c>
      <c r="B476" s="1">
        <v>103002896</v>
      </c>
      <c r="C476" s="2">
        <v>0.190406</v>
      </c>
      <c r="E476">
        <v>57.9363</v>
      </c>
      <c r="F476">
        <v>1777.864582</v>
      </c>
      <c r="G476" s="3">
        <f t="shared" si="77"/>
        <v>1.777864582</v>
      </c>
      <c r="I476" t="s">
        <v>496</v>
      </c>
      <c r="J476">
        <v>63.9347</v>
      </c>
      <c r="K476" s="5">
        <f t="shared" si="78"/>
        <v>1.61106403877706</v>
      </c>
      <c r="L476">
        <f t="shared" si="79"/>
        <v>0.906179275456799</v>
      </c>
      <c r="O476">
        <v>0.0407328</v>
      </c>
      <c r="P476" s="6">
        <f t="shared" si="80"/>
        <v>2.52874577735879</v>
      </c>
      <c r="Q476" s="4">
        <f t="shared" si="81"/>
        <v>0.637100041135721</v>
      </c>
      <c r="T476">
        <v>1429.925</v>
      </c>
      <c r="U476" s="7">
        <f t="shared" si="82"/>
        <v>0.0720337751979999</v>
      </c>
      <c r="V476">
        <f t="shared" si="83"/>
        <v>22.3653978199632</v>
      </c>
      <c r="Y476">
        <v>0.01834344</v>
      </c>
      <c r="Z476" s="8">
        <v>3.36914655048344</v>
      </c>
      <c r="AA476">
        <f t="shared" si="84"/>
        <v>0.478181644709368</v>
      </c>
      <c r="AD476" s="9">
        <v>1.266654</v>
      </c>
      <c r="AE476">
        <f t="shared" si="85"/>
        <v>1.27190538124623</v>
      </c>
      <c r="AH476">
        <v>86.9137</v>
      </c>
      <c r="AI476" s="10">
        <f t="shared" si="86"/>
        <v>1.18511691482471</v>
      </c>
      <c r="AJ476">
        <f t="shared" si="87"/>
        <v>1.35941358917771</v>
      </c>
    </row>
    <row r="477" spans="1:36">
      <c r="A477" s="1" t="s">
        <v>497</v>
      </c>
      <c r="B477" s="1">
        <v>104580476</v>
      </c>
      <c r="C477" s="2">
        <v>0.0431746</v>
      </c>
      <c r="E477">
        <v>7.28449</v>
      </c>
      <c r="F477">
        <v>14356.59601</v>
      </c>
      <c r="G477" s="3">
        <f t="shared" si="77"/>
        <v>14.35659601</v>
      </c>
      <c r="I477" t="s">
        <v>497</v>
      </c>
      <c r="J477">
        <v>3.39132</v>
      </c>
      <c r="K477" s="5">
        <f t="shared" si="78"/>
        <v>30.8376903388651</v>
      </c>
      <c r="L477">
        <f t="shared" si="79"/>
        <v>2.14798064369752</v>
      </c>
      <c r="O477">
        <v>0.0077296</v>
      </c>
      <c r="P477" s="6">
        <f t="shared" si="80"/>
        <v>13.5298690747257</v>
      </c>
      <c r="Q477" s="4">
        <f t="shared" si="81"/>
        <v>2.27923050611561</v>
      </c>
      <c r="T477">
        <v>45.273</v>
      </c>
      <c r="U477" s="7">
        <f t="shared" si="82"/>
        <v>2.30999659841407</v>
      </c>
      <c r="V477">
        <f t="shared" si="83"/>
        <v>13.3496691553731</v>
      </c>
      <c r="Y477">
        <v>0.006693822</v>
      </c>
      <c r="Z477" s="8">
        <v>9.37405948350584</v>
      </c>
      <c r="AA477">
        <f t="shared" si="84"/>
        <v>3.28968366299848</v>
      </c>
      <c r="AD477" s="9">
        <v>3.35079</v>
      </c>
      <c r="AE477">
        <f t="shared" si="85"/>
        <v>9.20311041242964</v>
      </c>
      <c r="AH477">
        <v>7.35</v>
      </c>
      <c r="AI477" s="10">
        <f t="shared" si="86"/>
        <v>14.2286361904762</v>
      </c>
      <c r="AJ477">
        <f t="shared" si="87"/>
        <v>2.16729768939528</v>
      </c>
    </row>
    <row r="478" spans="1:36">
      <c r="A478" s="1" t="s">
        <v>498</v>
      </c>
      <c r="B478" s="1">
        <v>105050628</v>
      </c>
      <c r="C478" s="2">
        <v>0.151564</v>
      </c>
      <c r="E478">
        <v>5.990104</v>
      </c>
      <c r="F478">
        <v>17537.363625</v>
      </c>
      <c r="G478" s="3">
        <f t="shared" si="77"/>
        <v>17.537363625</v>
      </c>
      <c r="I478" t="s">
        <v>498</v>
      </c>
      <c r="J478">
        <v>5.59632</v>
      </c>
      <c r="K478" s="5">
        <f t="shared" si="78"/>
        <v>18.7713761900678</v>
      </c>
      <c r="L478">
        <f t="shared" si="79"/>
        <v>1.07036477040988</v>
      </c>
      <c r="O478">
        <v>0.0101472</v>
      </c>
      <c r="P478" s="6">
        <f t="shared" si="80"/>
        <v>10.3526714758751</v>
      </c>
      <c r="Q478" s="4">
        <f t="shared" si="81"/>
        <v>1.81319152585985</v>
      </c>
      <c r="T478">
        <v>50.968</v>
      </c>
      <c r="U478" s="7">
        <f t="shared" si="82"/>
        <v>2.06110948045833</v>
      </c>
      <c r="V478">
        <f t="shared" si="83"/>
        <v>9.10741344311976</v>
      </c>
      <c r="Y478">
        <v>0.00776079</v>
      </c>
      <c r="Z478" s="8">
        <v>8.12164442022011</v>
      </c>
      <c r="AA478">
        <f t="shared" si="84"/>
        <v>2.3112777682477</v>
      </c>
      <c r="AD478" s="9">
        <v>3.22713</v>
      </c>
      <c r="AE478">
        <f t="shared" si="85"/>
        <v>5.8167400104947</v>
      </c>
      <c r="AH478">
        <v>9.3098</v>
      </c>
      <c r="AI478" s="10">
        <f t="shared" si="86"/>
        <v>11.2838759157017</v>
      </c>
      <c r="AJ478">
        <f t="shared" si="87"/>
        <v>1.66355748063013</v>
      </c>
    </row>
    <row r="479" spans="1:36">
      <c r="A479" s="1" t="s">
        <v>499</v>
      </c>
      <c r="B479" s="1">
        <v>107194894</v>
      </c>
      <c r="C479" s="2">
        <v>0.783916</v>
      </c>
      <c r="E479">
        <v>9.728527</v>
      </c>
      <c r="F479">
        <v>11018.615366</v>
      </c>
      <c r="G479" s="3">
        <f t="shared" si="77"/>
        <v>11.018615366</v>
      </c>
      <c r="I479" t="s">
        <v>499</v>
      </c>
      <c r="J479">
        <v>3.68075</v>
      </c>
      <c r="K479" s="5">
        <f t="shared" si="78"/>
        <v>29.1231118657882</v>
      </c>
      <c r="L479">
        <f t="shared" si="79"/>
        <v>2.643082719418</v>
      </c>
      <c r="O479">
        <v>0.0090304</v>
      </c>
      <c r="P479" s="6">
        <f t="shared" si="80"/>
        <v>11.8704480421687</v>
      </c>
      <c r="Q479" s="4">
        <f t="shared" si="81"/>
        <v>2.4534130272363</v>
      </c>
      <c r="T479">
        <v>32.131</v>
      </c>
      <c r="U479" s="7">
        <f t="shared" si="82"/>
        <v>3.33618293859513</v>
      </c>
      <c r="V479">
        <f t="shared" si="83"/>
        <v>8.7294708958772</v>
      </c>
      <c r="Y479">
        <v>0.02676078</v>
      </c>
      <c r="Z479" s="8">
        <v>2.40340290529648</v>
      </c>
      <c r="AA479">
        <f t="shared" si="84"/>
        <v>12.1174488894926</v>
      </c>
      <c r="AD479" s="9">
        <v>3.57585</v>
      </c>
      <c r="AE479">
        <f t="shared" si="85"/>
        <v>8.14438856937182</v>
      </c>
      <c r="AH479">
        <v>10.1977</v>
      </c>
      <c r="AI479" s="10">
        <f t="shared" si="86"/>
        <v>10.5116736126774</v>
      </c>
      <c r="AJ479">
        <f t="shared" si="87"/>
        <v>2.77054948040481</v>
      </c>
    </row>
    <row r="480" spans="1:36">
      <c r="A480" s="1" t="s">
        <v>500</v>
      </c>
      <c r="B480" s="1">
        <v>108416900</v>
      </c>
      <c r="C480" s="2">
        <v>0</v>
      </c>
      <c r="E480">
        <v>77.155926</v>
      </c>
      <c r="F480">
        <v>1405.166202</v>
      </c>
      <c r="G480" s="3">
        <f t="shared" si="77"/>
        <v>1.405166202</v>
      </c>
      <c r="I480" t="s">
        <v>500</v>
      </c>
      <c r="J480">
        <v>70.0982</v>
      </c>
      <c r="K480" s="5">
        <f t="shared" si="78"/>
        <v>1.54664313776959</v>
      </c>
      <c r="L480">
        <f t="shared" si="79"/>
        <v>1.10068341778234</v>
      </c>
      <c r="O480">
        <v>0.079216</v>
      </c>
      <c r="P480" s="6">
        <f t="shared" si="80"/>
        <v>1.36862376287619</v>
      </c>
      <c r="Q480" s="4">
        <f t="shared" si="81"/>
        <v>1.13007181354157</v>
      </c>
      <c r="T480">
        <v>189.206</v>
      </c>
      <c r="U480" s="7">
        <f t="shared" si="82"/>
        <v>0.573009841125546</v>
      </c>
      <c r="V480">
        <f t="shared" si="83"/>
        <v>2.69915632641066</v>
      </c>
      <c r="Y480">
        <v>0.04660668</v>
      </c>
      <c r="Z480" s="8">
        <v>1.39572567709178</v>
      </c>
      <c r="AA480">
        <f t="shared" si="84"/>
        <v>1.10812831142597</v>
      </c>
      <c r="AD480" s="9">
        <v>0.880386</v>
      </c>
      <c r="AE480">
        <f t="shared" si="85"/>
        <v>1.75677843328902</v>
      </c>
      <c r="AH480">
        <v>68.0106</v>
      </c>
      <c r="AI480" s="10">
        <f t="shared" si="86"/>
        <v>1.59411768165551</v>
      </c>
      <c r="AJ480">
        <f t="shared" si="87"/>
        <v>0.9702189214559</v>
      </c>
    </row>
    <row r="481" spans="1:36">
      <c r="A481" s="1" t="s">
        <v>501</v>
      </c>
      <c r="B481" s="1">
        <v>108569800</v>
      </c>
      <c r="C481" s="2">
        <v>0.000775645</v>
      </c>
      <c r="E481">
        <v>21.720664</v>
      </c>
      <c r="F481">
        <v>4998.456679</v>
      </c>
      <c r="G481" s="3">
        <f t="shared" si="77"/>
        <v>4.998456679</v>
      </c>
      <c r="I481" t="s">
        <v>501</v>
      </c>
      <c r="J481">
        <v>21.3065</v>
      </c>
      <c r="K481" s="5">
        <f t="shared" si="78"/>
        <v>5.09561870790604</v>
      </c>
      <c r="L481">
        <f t="shared" si="79"/>
        <v>1.01943840572116</v>
      </c>
      <c r="O481">
        <v>0.0343296</v>
      </c>
      <c r="P481" s="6">
        <f t="shared" si="80"/>
        <v>3.16257107568978</v>
      </c>
      <c r="Q481" s="4">
        <f t="shared" si="81"/>
        <v>1.61122662098421</v>
      </c>
      <c r="T481">
        <v>131.356</v>
      </c>
      <c r="U481" s="7">
        <f t="shared" si="82"/>
        <v>0.82653095404854</v>
      </c>
      <c r="V481">
        <f t="shared" si="83"/>
        <v>6.16506699833384</v>
      </c>
      <c r="Y481">
        <v>0.07223886</v>
      </c>
      <c r="Z481" s="8">
        <v>0.901756755297633</v>
      </c>
      <c r="AA481">
        <f t="shared" si="84"/>
        <v>5.65076854481027</v>
      </c>
      <c r="AD481" s="9">
        <v>1.477338</v>
      </c>
      <c r="AE481">
        <f t="shared" si="85"/>
        <v>3.44918949347139</v>
      </c>
      <c r="AH481">
        <v>32.9955</v>
      </c>
      <c r="AI481" s="10">
        <f t="shared" si="86"/>
        <v>3.29044263611705</v>
      </c>
      <c r="AJ481">
        <f t="shared" si="87"/>
        <v>1.54861192593809</v>
      </c>
    </row>
    <row r="482" spans="1:36">
      <c r="A482" s="1" t="s">
        <v>502</v>
      </c>
      <c r="B482" s="1">
        <v>111255998</v>
      </c>
      <c r="C482" s="2">
        <v>0.273411</v>
      </c>
      <c r="E482">
        <v>7.245693</v>
      </c>
      <c r="F482">
        <v>15354.776482</v>
      </c>
      <c r="G482" s="3">
        <f t="shared" si="77"/>
        <v>15.354776482</v>
      </c>
      <c r="I482" t="s">
        <v>502</v>
      </c>
      <c r="J482">
        <v>5.98442</v>
      </c>
      <c r="K482" s="5">
        <f t="shared" si="78"/>
        <v>18.5909408096357</v>
      </c>
      <c r="L482">
        <f t="shared" si="79"/>
        <v>1.21075945530235</v>
      </c>
      <c r="O482">
        <v>0.0095024</v>
      </c>
      <c r="P482" s="6">
        <f t="shared" si="80"/>
        <v>11.7081998232026</v>
      </c>
      <c r="Q482" s="4">
        <f t="shared" si="81"/>
        <v>1.58785646729341</v>
      </c>
      <c r="T482">
        <v>79.019</v>
      </c>
      <c r="U482" s="7">
        <f t="shared" si="82"/>
        <v>1.40796514762272</v>
      </c>
      <c r="V482">
        <f t="shared" si="83"/>
        <v>13.2041200316823</v>
      </c>
      <c r="Y482">
        <v>0.01146708</v>
      </c>
      <c r="Z482" s="8">
        <v>5.82132494061261</v>
      </c>
      <c r="AA482">
        <f t="shared" si="84"/>
        <v>3.19359269569983</v>
      </c>
      <c r="AD482" s="9">
        <v>3.32562</v>
      </c>
      <c r="AE482">
        <f t="shared" si="85"/>
        <v>5.59021800735974</v>
      </c>
      <c r="AH482">
        <v>8.6878</v>
      </c>
      <c r="AI482" s="10">
        <f t="shared" si="86"/>
        <v>12.8060035912429</v>
      </c>
      <c r="AJ482">
        <f t="shared" si="87"/>
        <v>1.45173634203482</v>
      </c>
    </row>
    <row r="483" spans="1:36">
      <c r="A483" s="1" t="s">
        <v>503</v>
      </c>
      <c r="B483" s="1">
        <v>111677660</v>
      </c>
      <c r="C483" s="2">
        <v>0</v>
      </c>
      <c r="E483">
        <v>32.323576</v>
      </c>
      <c r="F483">
        <v>3454.990834</v>
      </c>
      <c r="G483" s="3">
        <f t="shared" si="77"/>
        <v>3.454990834</v>
      </c>
      <c r="I483" t="s">
        <v>503</v>
      </c>
      <c r="J483">
        <v>26.2586</v>
      </c>
      <c r="K483" s="5">
        <f t="shared" si="78"/>
        <v>4.25299368587815</v>
      </c>
      <c r="L483">
        <f t="shared" si="79"/>
        <v>1.23097104745551</v>
      </c>
      <c r="O483">
        <v>0.0597104</v>
      </c>
      <c r="P483" s="6">
        <f t="shared" si="80"/>
        <v>1.87032175299445</v>
      </c>
      <c r="Q483" s="4">
        <f t="shared" si="81"/>
        <v>2.27393691971392</v>
      </c>
      <c r="T483">
        <v>10672.03</v>
      </c>
      <c r="U483" s="7">
        <f t="shared" si="82"/>
        <v>0.0104645189340735</v>
      </c>
      <c r="V483">
        <f t="shared" si="83"/>
        <v>406.420372754069</v>
      </c>
      <c r="Y483">
        <v>0.11596752</v>
      </c>
      <c r="Z483" s="8">
        <v>0.577804854324728</v>
      </c>
      <c r="AA483">
        <f t="shared" si="84"/>
        <v>7.36060566823822</v>
      </c>
      <c r="AD483" s="9">
        <v>1.654854</v>
      </c>
      <c r="AE483">
        <f t="shared" si="85"/>
        <v>2.57001142449917</v>
      </c>
      <c r="AH483">
        <v>66.5737</v>
      </c>
      <c r="AI483" s="10">
        <f t="shared" si="86"/>
        <v>1.67750417957842</v>
      </c>
      <c r="AJ483">
        <f t="shared" si="87"/>
        <v>2.53531033642311</v>
      </c>
    </row>
    <row r="484" spans="1:36">
      <c r="A484" s="1" t="s">
        <v>504</v>
      </c>
      <c r="B484" s="1">
        <v>112788760</v>
      </c>
      <c r="C484" s="2">
        <v>1</v>
      </c>
      <c r="E484">
        <v>6.317691</v>
      </c>
      <c r="F484">
        <v>17852.846032</v>
      </c>
      <c r="G484" s="3">
        <f t="shared" si="77"/>
        <v>17.852846032</v>
      </c>
      <c r="I484" t="s">
        <v>504</v>
      </c>
      <c r="J484">
        <v>2.45622</v>
      </c>
      <c r="K484" s="5">
        <f t="shared" si="78"/>
        <v>45.9196488913859</v>
      </c>
      <c r="L484">
        <f t="shared" si="79"/>
        <v>2.57211924693005</v>
      </c>
      <c r="O484">
        <v>0.007544</v>
      </c>
      <c r="P484" s="6">
        <f t="shared" si="80"/>
        <v>14.9507900318134</v>
      </c>
      <c r="Q484" s="4">
        <f t="shared" si="81"/>
        <v>3.07138611362174</v>
      </c>
      <c r="T484">
        <v>25.054</v>
      </c>
      <c r="U484" s="7">
        <f t="shared" si="82"/>
        <v>4.50182645485751</v>
      </c>
      <c r="V484">
        <f t="shared" si="83"/>
        <v>10.2002263640879</v>
      </c>
      <c r="Y484">
        <v>0.07768584</v>
      </c>
      <c r="Z484" s="8">
        <v>0.871114427030718</v>
      </c>
      <c r="AA484">
        <f t="shared" si="84"/>
        <v>52.7136819991694</v>
      </c>
      <c r="AD484" s="9">
        <v>3.80892</v>
      </c>
      <c r="AE484">
        <f t="shared" si="85"/>
        <v>12.0558186812498</v>
      </c>
      <c r="AH484">
        <v>6.3685</v>
      </c>
      <c r="AI484" s="10">
        <f t="shared" si="86"/>
        <v>17.7104121849729</v>
      </c>
      <c r="AJ484">
        <f t="shared" si="87"/>
        <v>2.5928052047455</v>
      </c>
    </row>
    <row r="485" spans="1:36">
      <c r="A485" s="1" t="s">
        <v>505</v>
      </c>
      <c r="B485" s="1">
        <v>113274026</v>
      </c>
      <c r="C485" s="2">
        <v>0.000371235</v>
      </c>
      <c r="E485">
        <v>22.518775</v>
      </c>
      <c r="F485">
        <v>5030.203624</v>
      </c>
      <c r="G485" s="3">
        <f t="shared" si="77"/>
        <v>5.030203624</v>
      </c>
      <c r="I485" t="s">
        <v>505</v>
      </c>
      <c r="J485">
        <v>43.4248</v>
      </c>
      <c r="K485" s="5">
        <f t="shared" si="78"/>
        <v>2.60851002192296</v>
      </c>
      <c r="L485">
        <f t="shared" si="79"/>
        <v>0.518569468933085</v>
      </c>
      <c r="O485">
        <v>0.0430688</v>
      </c>
      <c r="P485" s="6">
        <f t="shared" si="80"/>
        <v>2.63007155992273</v>
      </c>
      <c r="Q485" s="4">
        <f t="shared" si="81"/>
        <v>0.99180191964039</v>
      </c>
      <c r="T485">
        <v>669.241</v>
      </c>
      <c r="U485" s="7">
        <f t="shared" si="82"/>
        <v>0.169257451351606</v>
      </c>
      <c r="V485">
        <f t="shared" si="83"/>
        <v>15.4114929717581</v>
      </c>
      <c r="Y485">
        <v>0.002368692</v>
      </c>
      <c r="Z485" s="8">
        <v>28.6928041298742</v>
      </c>
      <c r="AA485">
        <f t="shared" si="84"/>
        <v>0.0909116449586412</v>
      </c>
      <c r="AD485" s="9">
        <v>1.459686</v>
      </c>
      <c r="AE485">
        <f t="shared" si="85"/>
        <v>1.78703503487939</v>
      </c>
      <c r="AH485">
        <v>91.6266</v>
      </c>
      <c r="AI485" s="10">
        <f t="shared" si="86"/>
        <v>1.23625700397046</v>
      </c>
      <c r="AJ485">
        <f t="shared" si="87"/>
        <v>2.11000626370185</v>
      </c>
    </row>
    <row r="486" spans="1:36">
      <c r="A486" s="1" t="s">
        <v>506</v>
      </c>
      <c r="B486" s="1">
        <v>113274026</v>
      </c>
      <c r="C486" s="2">
        <v>0.000371235</v>
      </c>
      <c r="E486">
        <v>22.713908</v>
      </c>
      <c r="F486">
        <v>4986.989729</v>
      </c>
      <c r="G486" s="3">
        <f t="shared" si="77"/>
        <v>4.986989729</v>
      </c>
      <c r="I486" t="s">
        <v>506</v>
      </c>
      <c r="J486">
        <v>43.3928</v>
      </c>
      <c r="K486" s="5">
        <f t="shared" si="78"/>
        <v>2.6104336664147</v>
      </c>
      <c r="L486">
        <f t="shared" si="79"/>
        <v>0.52344877536737</v>
      </c>
      <c r="O486">
        <v>0.0425248</v>
      </c>
      <c r="P486" s="6">
        <f t="shared" si="80"/>
        <v>2.66371684287757</v>
      </c>
      <c r="Q486" s="4">
        <f t="shared" si="81"/>
        <v>0.979996681477111</v>
      </c>
      <c r="T486">
        <v>671.574</v>
      </c>
      <c r="U486" s="7">
        <f t="shared" si="82"/>
        <v>0.168669463082252</v>
      </c>
      <c r="V486">
        <f t="shared" si="83"/>
        <v>15.4766228498737</v>
      </c>
      <c r="Y486">
        <v>0.002449836</v>
      </c>
      <c r="Z486" s="8">
        <v>27.7424348405363</v>
      </c>
      <c r="AA486">
        <f t="shared" si="84"/>
        <v>0.0940953337880937</v>
      </c>
      <c r="AD486" s="9">
        <v>1.447191</v>
      </c>
      <c r="AE486">
        <f t="shared" si="85"/>
        <v>1.80379346362346</v>
      </c>
      <c r="AH486">
        <v>88.4872</v>
      </c>
      <c r="AI486" s="10">
        <f t="shared" si="86"/>
        <v>1.28011764413384</v>
      </c>
      <c r="AJ486">
        <f t="shared" si="87"/>
        <v>2.03921387880017</v>
      </c>
    </row>
    <row r="487" spans="1:36">
      <c r="A487" s="1" t="s">
        <v>507</v>
      </c>
      <c r="B487" s="1">
        <v>115027306</v>
      </c>
      <c r="C487" s="2">
        <v>0.192014</v>
      </c>
      <c r="E487">
        <v>10.749381</v>
      </c>
      <c r="F487">
        <v>10700.830969</v>
      </c>
      <c r="G487" s="3">
        <f t="shared" si="77"/>
        <v>10.700830969</v>
      </c>
      <c r="I487" t="s">
        <v>507</v>
      </c>
      <c r="J487">
        <v>14.814</v>
      </c>
      <c r="K487" s="5">
        <f t="shared" si="78"/>
        <v>7.76477021736195</v>
      </c>
      <c r="L487">
        <f t="shared" si="79"/>
        <v>0.725623107201326</v>
      </c>
      <c r="O487">
        <v>0.0333616</v>
      </c>
      <c r="P487" s="6">
        <f t="shared" si="80"/>
        <v>3.44789536473071</v>
      </c>
      <c r="Q487" s="4">
        <f t="shared" si="81"/>
        <v>2.2520318617524</v>
      </c>
      <c r="T487">
        <v>52.716</v>
      </c>
      <c r="U487" s="7">
        <f t="shared" si="82"/>
        <v>2.18201885575537</v>
      </c>
      <c r="V487">
        <f t="shared" si="83"/>
        <v>3.55852571891454</v>
      </c>
      <c r="Y487">
        <v>0.00198603</v>
      </c>
      <c r="Z487" s="8">
        <v>22.5881025664265</v>
      </c>
      <c r="AA487">
        <f t="shared" si="84"/>
        <v>0.343754868056204</v>
      </c>
      <c r="AD487" s="9">
        <v>2.138754</v>
      </c>
      <c r="AE487">
        <f t="shared" si="85"/>
        <v>3.63051113749499</v>
      </c>
      <c r="AH487">
        <v>79.2135</v>
      </c>
      <c r="AI487" s="10">
        <f t="shared" si="86"/>
        <v>1.45211745472678</v>
      </c>
      <c r="AJ487">
        <f t="shared" si="87"/>
        <v>5.34720534629405</v>
      </c>
    </row>
    <row r="488" spans="1:36">
      <c r="A488" s="1" t="s">
        <v>508</v>
      </c>
      <c r="B488" s="1">
        <v>120030302</v>
      </c>
      <c r="C488" s="2">
        <v>0.0648484</v>
      </c>
      <c r="E488">
        <v>11.150666</v>
      </c>
      <c r="F488">
        <v>10764.406718</v>
      </c>
      <c r="G488" s="3">
        <f t="shared" si="77"/>
        <v>10.764406718</v>
      </c>
      <c r="I488" t="s">
        <v>508</v>
      </c>
      <c r="J488">
        <v>18.4862</v>
      </c>
      <c r="K488" s="5">
        <f t="shared" si="78"/>
        <v>6.49296783546646</v>
      </c>
      <c r="L488">
        <f t="shared" si="79"/>
        <v>0.603188638776446</v>
      </c>
      <c r="O488">
        <v>0.0137024</v>
      </c>
      <c r="P488" s="6">
        <f t="shared" si="80"/>
        <v>8.75980134866885</v>
      </c>
      <c r="Q488" s="4">
        <f t="shared" si="81"/>
        <v>0.741223182698445</v>
      </c>
      <c r="T488">
        <v>54.761</v>
      </c>
      <c r="U488" s="7">
        <f t="shared" si="82"/>
        <v>2.19189390259491</v>
      </c>
      <c r="V488">
        <f t="shared" si="83"/>
        <v>2.96226374268373</v>
      </c>
      <c r="Y488">
        <v>0.0016740576</v>
      </c>
      <c r="Z488" s="8">
        <v>27.963086682322</v>
      </c>
      <c r="AA488">
        <f t="shared" si="84"/>
        <v>0.232197822408899</v>
      </c>
      <c r="AD488" s="9">
        <v>2.990082</v>
      </c>
      <c r="AE488">
        <f t="shared" si="85"/>
        <v>2.17150159609885</v>
      </c>
      <c r="AH488">
        <v>29.3104</v>
      </c>
      <c r="AI488" s="10">
        <f t="shared" si="86"/>
        <v>4.09514377149408</v>
      </c>
      <c r="AJ488">
        <f t="shared" si="87"/>
        <v>1.5855286646255</v>
      </c>
    </row>
    <row r="489" spans="1:36">
      <c r="A489" s="1" t="s">
        <v>509</v>
      </c>
      <c r="B489" s="1">
        <v>120261896</v>
      </c>
      <c r="C489" s="2">
        <v>0.297237</v>
      </c>
      <c r="E489">
        <v>7.005646</v>
      </c>
      <c r="F489">
        <v>17166.424429</v>
      </c>
      <c r="G489" s="3">
        <f t="shared" si="77"/>
        <v>17.166424429</v>
      </c>
      <c r="I489" t="s">
        <v>509</v>
      </c>
      <c r="J489">
        <v>5.31629</v>
      </c>
      <c r="K489" s="5">
        <f t="shared" si="78"/>
        <v>22.6213949953821</v>
      </c>
      <c r="L489">
        <f t="shared" si="79"/>
        <v>1.31776975973906</v>
      </c>
      <c r="O489">
        <v>0.0100672</v>
      </c>
      <c r="P489" s="6">
        <f t="shared" si="80"/>
        <v>11.9459130642085</v>
      </c>
      <c r="Q489" s="4">
        <f t="shared" si="81"/>
        <v>1.89365139975434</v>
      </c>
      <c r="T489">
        <v>73.24</v>
      </c>
      <c r="U489" s="7">
        <f t="shared" si="82"/>
        <v>1.64202479519388</v>
      </c>
      <c r="V489">
        <f t="shared" si="83"/>
        <v>13.7765246064455</v>
      </c>
      <c r="Y489">
        <v>0.010233216</v>
      </c>
      <c r="Z489" s="8">
        <v>7.05126693309317</v>
      </c>
      <c r="AA489">
        <f t="shared" si="84"/>
        <v>3.20813198678026</v>
      </c>
      <c r="AD489" s="9">
        <v>3.41109</v>
      </c>
      <c r="AE489">
        <f t="shared" si="85"/>
        <v>6.63172035782759</v>
      </c>
      <c r="AH489">
        <v>9.0152</v>
      </c>
      <c r="AI489" s="10">
        <f t="shared" si="86"/>
        <v>13.3399032744698</v>
      </c>
      <c r="AJ489">
        <f t="shared" si="87"/>
        <v>1.69576904194466</v>
      </c>
    </row>
    <row r="490" spans="1:36">
      <c r="A490" s="1" t="s">
        <v>510</v>
      </c>
      <c r="B490" s="1">
        <v>121931688</v>
      </c>
      <c r="C490" s="2">
        <v>0</v>
      </c>
      <c r="E490">
        <v>7.258241</v>
      </c>
      <c r="F490">
        <v>16799.06957</v>
      </c>
      <c r="G490" s="3">
        <f t="shared" si="77"/>
        <v>16.79906957</v>
      </c>
      <c r="I490" t="s">
        <v>510</v>
      </c>
      <c r="J490">
        <v>5.57899</v>
      </c>
      <c r="K490" s="5">
        <f t="shared" si="78"/>
        <v>21.8555129154202</v>
      </c>
      <c r="L490">
        <f t="shared" si="79"/>
        <v>1.30099544051237</v>
      </c>
      <c r="O490">
        <v>0.0114176</v>
      </c>
      <c r="P490" s="6">
        <f t="shared" si="80"/>
        <v>10.6792748038117</v>
      </c>
      <c r="Q490" s="4">
        <f t="shared" si="81"/>
        <v>2.04653530477739</v>
      </c>
      <c r="T490">
        <v>74.388</v>
      </c>
      <c r="U490" s="7">
        <f t="shared" si="82"/>
        <v>1.63913115018551</v>
      </c>
      <c r="V490">
        <f t="shared" si="83"/>
        <v>13.3335962244062</v>
      </c>
      <c r="Y490">
        <v>0.00797625</v>
      </c>
      <c r="Z490" s="8">
        <v>9.17210629055007</v>
      </c>
      <c r="AA490">
        <f t="shared" si="84"/>
        <v>2.38282377276174</v>
      </c>
      <c r="AD490" s="9">
        <v>3.26091</v>
      </c>
      <c r="AE490">
        <f t="shared" si="85"/>
        <v>6.70227418586228</v>
      </c>
      <c r="AH490">
        <v>10.0786</v>
      </c>
      <c r="AI490" s="10">
        <f t="shared" si="86"/>
        <v>12.0980779076459</v>
      </c>
      <c r="AJ490">
        <f t="shared" si="87"/>
        <v>1.80652770483546</v>
      </c>
    </row>
    <row r="491" spans="1:36">
      <c r="A491" s="1" t="s">
        <v>511</v>
      </c>
      <c r="B491" s="1">
        <v>128237870</v>
      </c>
      <c r="C491" s="2">
        <v>0.813177</v>
      </c>
      <c r="E491">
        <v>74.213825</v>
      </c>
      <c r="F491">
        <v>1727.951221</v>
      </c>
      <c r="G491" s="3">
        <f t="shared" si="77"/>
        <v>1.727951221</v>
      </c>
      <c r="I491" t="s">
        <v>511</v>
      </c>
      <c r="J491">
        <v>50.7612</v>
      </c>
      <c r="K491" s="5">
        <f t="shared" si="78"/>
        <v>2.52629705365515</v>
      </c>
      <c r="L491">
        <f t="shared" si="79"/>
        <v>1.46201873233038</v>
      </c>
      <c r="O491">
        <v>0.0493872</v>
      </c>
      <c r="P491" s="6">
        <f t="shared" si="80"/>
        <v>2.59658109793631</v>
      </c>
      <c r="Q491" s="4">
        <f t="shared" si="81"/>
        <v>0.972932081983877</v>
      </c>
      <c r="T491">
        <v>1644.494</v>
      </c>
      <c r="U491" s="7">
        <f t="shared" si="82"/>
        <v>0.0779801385714998</v>
      </c>
      <c r="V491">
        <f t="shared" si="83"/>
        <v>32.3966730494945</v>
      </c>
      <c r="Y491">
        <v>0.07530876</v>
      </c>
      <c r="Z491" s="8">
        <v>1.02169683845545</v>
      </c>
      <c r="AA491">
        <f t="shared" si="84"/>
        <v>2.47264840074702</v>
      </c>
      <c r="AD491" s="9">
        <v>1.238844</v>
      </c>
      <c r="AE491">
        <f t="shared" si="85"/>
        <v>2.03923742913164</v>
      </c>
      <c r="AH491">
        <v>98.0624</v>
      </c>
      <c r="AI491" s="10">
        <f t="shared" si="86"/>
        <v>1.30771702507791</v>
      </c>
      <c r="AJ491">
        <f t="shared" si="87"/>
        <v>1.93183770281238</v>
      </c>
    </row>
    <row r="492" spans="1:36">
      <c r="A492" s="1" t="s">
        <v>512</v>
      </c>
      <c r="B492" s="1">
        <v>129037780</v>
      </c>
      <c r="C492" s="2">
        <v>1</v>
      </c>
      <c r="E492">
        <v>71.57079</v>
      </c>
      <c r="F492">
        <v>1802.939148</v>
      </c>
      <c r="G492" s="3">
        <f t="shared" si="77"/>
        <v>1.802939148</v>
      </c>
      <c r="I492" t="s">
        <v>512</v>
      </c>
      <c r="J492">
        <v>48.3722</v>
      </c>
      <c r="K492" s="5">
        <f t="shared" si="78"/>
        <v>2.66760205241854</v>
      </c>
      <c r="L492">
        <f t="shared" si="79"/>
        <v>1.47958518476772</v>
      </c>
      <c r="O492">
        <v>0.0428768</v>
      </c>
      <c r="P492" s="6">
        <f t="shared" si="80"/>
        <v>3.00950117546086</v>
      </c>
      <c r="Q492" s="4">
        <f t="shared" si="81"/>
        <v>0.886393424322235</v>
      </c>
      <c r="T492">
        <v>47.301</v>
      </c>
      <c r="U492" s="7">
        <f t="shared" si="82"/>
        <v>2.72801378406376</v>
      </c>
      <c r="V492">
        <f t="shared" si="83"/>
        <v>0.977855048974411</v>
      </c>
      <c r="Y492">
        <v>0.02054736</v>
      </c>
      <c r="Z492" s="8">
        <v>3.76801048893872</v>
      </c>
      <c r="AA492">
        <f t="shared" si="84"/>
        <v>0.707960357395364</v>
      </c>
      <c r="AD492" s="9">
        <v>1.398801</v>
      </c>
      <c r="AE492">
        <f t="shared" si="85"/>
        <v>1.90706330094026</v>
      </c>
      <c r="AH492">
        <v>62.1749</v>
      </c>
      <c r="AI492" s="10">
        <f t="shared" si="86"/>
        <v>2.07539988001589</v>
      </c>
      <c r="AJ492">
        <f t="shared" si="87"/>
        <v>1.2853436477977</v>
      </c>
    </row>
    <row r="493" spans="1:36">
      <c r="A493" s="1" t="s">
        <v>513</v>
      </c>
      <c r="B493" s="1">
        <v>129187496</v>
      </c>
      <c r="C493" s="2">
        <v>0.0652535</v>
      </c>
      <c r="E493">
        <v>28.187472</v>
      </c>
      <c r="F493">
        <v>4583.15292</v>
      </c>
      <c r="G493" s="3">
        <f t="shared" si="77"/>
        <v>4.58315292</v>
      </c>
      <c r="I493" t="s">
        <v>513</v>
      </c>
      <c r="J493">
        <v>23.7912</v>
      </c>
      <c r="K493" s="5">
        <f t="shared" si="78"/>
        <v>5.43005380140556</v>
      </c>
      <c r="L493">
        <f t="shared" si="79"/>
        <v>1.18478564782551</v>
      </c>
      <c r="O493">
        <v>0.0361936</v>
      </c>
      <c r="P493" s="6">
        <f t="shared" si="80"/>
        <v>3.56934640378409</v>
      </c>
      <c r="Q493" s="4">
        <f t="shared" si="81"/>
        <v>1.52130199401459</v>
      </c>
      <c r="T493">
        <v>7272.346</v>
      </c>
      <c r="U493" s="7">
        <f t="shared" si="82"/>
        <v>0.0177642119888135</v>
      </c>
      <c r="V493">
        <f t="shared" si="83"/>
        <v>305.673778539964</v>
      </c>
      <c r="Y493">
        <v>0.0936378</v>
      </c>
      <c r="Z493" s="8">
        <v>0.827790674278977</v>
      </c>
      <c r="AA493">
        <f t="shared" si="84"/>
        <v>6.55969434076465</v>
      </c>
      <c r="AD493" s="9">
        <v>2.197875</v>
      </c>
      <c r="AE493">
        <f t="shared" si="85"/>
        <v>2.47059264125829</v>
      </c>
      <c r="AH493">
        <v>55.249</v>
      </c>
      <c r="AI493" s="10">
        <f t="shared" si="86"/>
        <v>2.33827754348495</v>
      </c>
      <c r="AJ493">
        <f t="shared" si="87"/>
        <v>2.32224519990585</v>
      </c>
    </row>
    <row r="494" spans="1:36">
      <c r="A494" s="1" t="s">
        <v>514</v>
      </c>
      <c r="B494" s="1">
        <v>131921432</v>
      </c>
      <c r="C494" s="2">
        <v>0.329804</v>
      </c>
      <c r="E494">
        <v>43.130991</v>
      </c>
      <c r="F494">
        <v>3058.622761</v>
      </c>
      <c r="G494" s="3">
        <f t="shared" si="77"/>
        <v>3.058622761</v>
      </c>
      <c r="I494" t="s">
        <v>514</v>
      </c>
      <c r="J494">
        <v>63.5156</v>
      </c>
      <c r="K494" s="5">
        <f t="shared" si="78"/>
        <v>2.07699261283842</v>
      </c>
      <c r="L494">
        <f t="shared" si="79"/>
        <v>0.679061386491271</v>
      </c>
      <c r="O494">
        <v>0.0542672</v>
      </c>
      <c r="P494" s="6">
        <f t="shared" si="80"/>
        <v>2.4309607276587</v>
      </c>
      <c r="Q494" s="4">
        <f t="shared" si="81"/>
        <v>0.854391677005334</v>
      </c>
      <c r="T494">
        <v>96.537</v>
      </c>
      <c r="U494" s="7">
        <f t="shared" si="82"/>
        <v>1.36653751411376</v>
      </c>
      <c r="V494">
        <f t="shared" si="83"/>
        <v>1.51989432517366</v>
      </c>
      <c r="Y494">
        <v>0.02269476</v>
      </c>
      <c r="Z494" s="8">
        <v>3.48771519064313</v>
      </c>
      <c r="AA494">
        <f t="shared" si="84"/>
        <v>0.595516691962289</v>
      </c>
      <c r="AD494" s="9">
        <v>1.470549</v>
      </c>
      <c r="AE494">
        <f t="shared" si="85"/>
        <v>1.41239265936628</v>
      </c>
      <c r="AH494">
        <v>74.6755</v>
      </c>
      <c r="AI494" s="10">
        <f t="shared" si="86"/>
        <v>1.76659589825311</v>
      </c>
      <c r="AJ494">
        <f t="shared" si="87"/>
        <v>1.17570329178973</v>
      </c>
    </row>
    <row r="495" spans="1:36">
      <c r="A495" s="1" t="s">
        <v>515</v>
      </c>
      <c r="B495" s="1">
        <v>132625624</v>
      </c>
      <c r="C495" s="2">
        <v>0.7151</v>
      </c>
      <c r="E495">
        <v>8.434831</v>
      </c>
      <c r="F495">
        <v>15723.565331</v>
      </c>
      <c r="G495" s="3">
        <f t="shared" si="77"/>
        <v>15.723565331</v>
      </c>
      <c r="I495" t="s">
        <v>515</v>
      </c>
      <c r="J495">
        <v>5.69278</v>
      </c>
      <c r="K495" s="5">
        <f t="shared" si="78"/>
        <v>23.2971630732261</v>
      </c>
      <c r="L495">
        <f t="shared" si="79"/>
        <v>1.48167178262644</v>
      </c>
      <c r="O495">
        <v>0.01016</v>
      </c>
      <c r="P495" s="6">
        <f t="shared" si="80"/>
        <v>13.0537031496063</v>
      </c>
      <c r="Q495" s="4">
        <f t="shared" si="81"/>
        <v>1.78471678160758</v>
      </c>
      <c r="T495">
        <v>62.709</v>
      </c>
      <c r="U495" s="7">
        <f t="shared" si="82"/>
        <v>2.11493763255673</v>
      </c>
      <c r="V495">
        <f t="shared" si="83"/>
        <v>11.0155319545108</v>
      </c>
      <c r="Y495">
        <v>0.00993852</v>
      </c>
      <c r="Z495" s="8">
        <v>8.00676301904107</v>
      </c>
      <c r="AA495">
        <f t="shared" si="84"/>
        <v>2.90968560176223</v>
      </c>
      <c r="AD495" s="9">
        <v>3.50994</v>
      </c>
      <c r="AE495">
        <f t="shared" si="85"/>
        <v>6.63748185815885</v>
      </c>
      <c r="AH495">
        <v>9.0205</v>
      </c>
      <c r="AI495" s="10">
        <f t="shared" si="86"/>
        <v>14.7026909816529</v>
      </c>
      <c r="AJ495">
        <f t="shared" si="87"/>
        <v>1.58455095752866</v>
      </c>
    </row>
    <row r="496" spans="1:36">
      <c r="A496" s="1" t="s">
        <v>516</v>
      </c>
      <c r="B496" s="1">
        <v>134211204</v>
      </c>
      <c r="C496" s="2">
        <v>0.749344</v>
      </c>
      <c r="E496">
        <v>10.18776</v>
      </c>
      <c r="F496">
        <v>13173.769826</v>
      </c>
      <c r="G496" s="3">
        <f t="shared" si="77"/>
        <v>13.173769826</v>
      </c>
      <c r="I496" t="s">
        <v>516</v>
      </c>
      <c r="J496">
        <v>4.55187</v>
      </c>
      <c r="K496" s="5">
        <f t="shared" si="78"/>
        <v>29.4848499627626</v>
      </c>
      <c r="L496">
        <f t="shared" si="79"/>
        <v>2.23814825613324</v>
      </c>
      <c r="O496">
        <v>0.0110704</v>
      </c>
      <c r="P496" s="6">
        <f t="shared" si="80"/>
        <v>12.1234286023992</v>
      </c>
      <c r="Q496" s="4">
        <f t="shared" si="81"/>
        <v>2.43205539701266</v>
      </c>
      <c r="T496">
        <v>43.452</v>
      </c>
      <c r="U496" s="7">
        <f t="shared" si="82"/>
        <v>3.08872328086164</v>
      </c>
      <c r="V496">
        <f t="shared" si="83"/>
        <v>9.54596682242683</v>
      </c>
      <c r="Y496">
        <v>0.03350052</v>
      </c>
      <c r="Z496" s="8">
        <v>2.40374544633934</v>
      </c>
      <c r="AA496">
        <f t="shared" si="84"/>
        <v>12.2662114691325</v>
      </c>
      <c r="AD496" s="9">
        <v>3.51882</v>
      </c>
      <c r="AE496">
        <f t="shared" si="85"/>
        <v>8.37918676225626</v>
      </c>
      <c r="AH496">
        <v>11.6616</v>
      </c>
      <c r="AI496" s="10">
        <f t="shared" si="86"/>
        <v>11.5088155999177</v>
      </c>
      <c r="AJ496">
        <f t="shared" si="87"/>
        <v>2.56193608341187</v>
      </c>
    </row>
    <row r="497" spans="1:36">
      <c r="A497" s="1" t="s">
        <v>517</v>
      </c>
      <c r="B497" s="1">
        <v>134214134</v>
      </c>
      <c r="C497" s="2">
        <v>0.778281</v>
      </c>
      <c r="E497">
        <v>9.949532</v>
      </c>
      <c r="F497">
        <v>13489.492753</v>
      </c>
      <c r="G497" s="3">
        <f t="shared" si="77"/>
        <v>13.489492753</v>
      </c>
      <c r="I497" t="s">
        <v>517</v>
      </c>
      <c r="J497">
        <v>5.30407</v>
      </c>
      <c r="K497" s="5">
        <f t="shared" si="78"/>
        <v>25.3039899548837</v>
      </c>
      <c r="L497">
        <f t="shared" si="79"/>
        <v>1.8758296118478</v>
      </c>
      <c r="O497">
        <v>0.011864</v>
      </c>
      <c r="P497" s="6">
        <f t="shared" si="80"/>
        <v>11.3127220161834</v>
      </c>
      <c r="Q497" s="4">
        <f t="shared" si="81"/>
        <v>2.23677289326875</v>
      </c>
      <c r="T497">
        <v>43.543</v>
      </c>
      <c r="U497" s="7">
        <f t="shared" si="82"/>
        <v>3.08233548446363</v>
      </c>
      <c r="V497">
        <f t="shared" si="83"/>
        <v>8.20935621136222</v>
      </c>
      <c r="Y497">
        <v>0.0346446</v>
      </c>
      <c r="Z497" s="8">
        <v>2.3244165151279</v>
      </c>
      <c r="AA497">
        <f t="shared" si="84"/>
        <v>10.8861685460411</v>
      </c>
      <c r="AD497" s="9">
        <v>3.49281</v>
      </c>
      <c r="AE497">
        <f t="shared" si="85"/>
        <v>7.24459388139741</v>
      </c>
      <c r="AH497">
        <v>12.4773</v>
      </c>
      <c r="AI497" s="10">
        <f t="shared" si="86"/>
        <v>10.7566648233191</v>
      </c>
      <c r="AJ497">
        <f t="shared" si="87"/>
        <v>2.35240108067955</v>
      </c>
    </row>
    <row r="498" spans="1:36">
      <c r="A498" s="1" t="s">
        <v>518</v>
      </c>
      <c r="B498" s="1">
        <v>138494868</v>
      </c>
      <c r="C498" s="2">
        <v>0.00818621</v>
      </c>
      <c r="E498">
        <v>18.789737</v>
      </c>
      <c r="F498">
        <v>7370.772145</v>
      </c>
      <c r="G498" s="3">
        <f t="shared" si="77"/>
        <v>7.370772145</v>
      </c>
      <c r="I498" t="s">
        <v>518</v>
      </c>
      <c r="J498">
        <v>27.0307</v>
      </c>
      <c r="K498" s="5">
        <f t="shared" si="78"/>
        <v>5.12361381688229</v>
      </c>
      <c r="L498">
        <f t="shared" si="79"/>
        <v>0.695125790906169</v>
      </c>
      <c r="O498">
        <v>0.04348</v>
      </c>
      <c r="P498" s="6">
        <f t="shared" si="80"/>
        <v>3.18525455381785</v>
      </c>
      <c r="Q498" s="4">
        <f t="shared" si="81"/>
        <v>1.60854139922385</v>
      </c>
      <c r="T498">
        <v>243.628</v>
      </c>
      <c r="U498" s="7">
        <f t="shared" si="82"/>
        <v>0.568468599668347</v>
      </c>
      <c r="V498">
        <f t="shared" si="83"/>
        <v>9.01301113178719</v>
      </c>
      <c r="Y498">
        <v>0.08306064</v>
      </c>
      <c r="Z498" s="8">
        <v>1.00043679894593</v>
      </c>
      <c r="AA498">
        <f t="shared" si="84"/>
        <v>5.1213768048922</v>
      </c>
      <c r="AD498" s="9">
        <v>1.824408</v>
      </c>
      <c r="AE498">
        <f t="shared" si="85"/>
        <v>2.80837061495142</v>
      </c>
      <c r="AH498">
        <v>53.43</v>
      </c>
      <c r="AI498" s="10">
        <f t="shared" si="86"/>
        <v>2.59208062886019</v>
      </c>
      <c r="AJ498">
        <f t="shared" si="87"/>
        <v>1.97664137443721</v>
      </c>
    </row>
    <row r="499" spans="1:36">
      <c r="A499" s="1" t="s">
        <v>520</v>
      </c>
      <c r="B499" s="1">
        <v>140500862</v>
      </c>
      <c r="C499" s="2">
        <v>0.881535</v>
      </c>
      <c r="E499">
        <v>9.732896</v>
      </c>
      <c r="F499">
        <v>14435.668103</v>
      </c>
      <c r="G499" s="3">
        <f t="shared" si="77"/>
        <v>14.435668103</v>
      </c>
      <c r="I499" t="s">
        <v>520</v>
      </c>
      <c r="J499">
        <v>8.60306</v>
      </c>
      <c r="K499" s="5">
        <f t="shared" si="78"/>
        <v>16.3314985598148</v>
      </c>
      <c r="L499">
        <f t="shared" si="79"/>
        <v>1.13132959578232</v>
      </c>
      <c r="O499">
        <v>0.0113536</v>
      </c>
      <c r="P499" s="6">
        <f t="shared" si="80"/>
        <v>12.375005460823</v>
      </c>
      <c r="Q499" s="4">
        <f t="shared" si="81"/>
        <v>1.3197164729759</v>
      </c>
      <c r="T499">
        <v>43.887</v>
      </c>
      <c r="U499" s="7">
        <f t="shared" si="82"/>
        <v>3.20142324606375</v>
      </c>
      <c r="V499">
        <f t="shared" si="83"/>
        <v>5.10132441247649</v>
      </c>
      <c r="Y499">
        <v>0.00982926</v>
      </c>
      <c r="Z499" s="8">
        <v>8.57648665311529</v>
      </c>
      <c r="AA499">
        <f t="shared" si="84"/>
        <v>1.90421780157293</v>
      </c>
      <c r="AD499" s="9">
        <v>3.43812</v>
      </c>
      <c r="AE499">
        <f t="shared" si="85"/>
        <v>4.75012464946388</v>
      </c>
      <c r="AH499">
        <v>10.1506</v>
      </c>
      <c r="AI499" s="10">
        <f t="shared" si="86"/>
        <v>13.8416312336217</v>
      </c>
      <c r="AJ499">
        <f t="shared" si="87"/>
        <v>1.17988250692196</v>
      </c>
    </row>
    <row r="500" spans="1:36">
      <c r="A500" s="1" t="s">
        <v>519</v>
      </c>
      <c r="B500" s="1">
        <v>140500862</v>
      </c>
      <c r="C500" s="2">
        <v>0.878766</v>
      </c>
      <c r="E500">
        <v>9.700024</v>
      </c>
      <c r="F500">
        <v>14484.588606</v>
      </c>
      <c r="G500" s="3">
        <f t="shared" si="77"/>
        <v>14.484588606</v>
      </c>
      <c r="I500" t="s">
        <v>519</v>
      </c>
      <c r="J500">
        <v>7.93509</v>
      </c>
      <c r="K500" s="5">
        <f t="shared" si="78"/>
        <v>17.7062720145581</v>
      </c>
      <c r="L500">
        <f t="shared" si="79"/>
        <v>1.22242146437101</v>
      </c>
      <c r="O500">
        <v>0.0110624</v>
      </c>
      <c r="P500" s="6">
        <f t="shared" si="80"/>
        <v>12.7007577017645</v>
      </c>
      <c r="Q500" s="4">
        <f t="shared" si="81"/>
        <v>1.39411147195558</v>
      </c>
      <c r="T500">
        <v>43.908</v>
      </c>
      <c r="U500" s="7">
        <f t="shared" si="82"/>
        <v>3.19989209255716</v>
      </c>
      <c r="V500">
        <f t="shared" si="83"/>
        <v>5.53339659663596</v>
      </c>
      <c r="Y500">
        <v>0.010010826</v>
      </c>
      <c r="Z500" s="8">
        <v>8.42093521553566</v>
      </c>
      <c r="AA500">
        <f t="shared" si="84"/>
        <v>2.10264911929165</v>
      </c>
      <c r="AD500" s="9">
        <v>3.43728</v>
      </c>
      <c r="AE500">
        <f t="shared" si="85"/>
        <v>5.15124517483537</v>
      </c>
      <c r="AH500">
        <v>10.315</v>
      </c>
      <c r="AI500" s="10">
        <f t="shared" si="86"/>
        <v>13.6210239457101</v>
      </c>
      <c r="AJ500">
        <f t="shared" si="87"/>
        <v>1.29992224410813</v>
      </c>
    </row>
    <row r="501" spans="1:36">
      <c r="A501" s="1" t="s">
        <v>521</v>
      </c>
      <c r="B501" s="1">
        <v>141654528</v>
      </c>
      <c r="C501" s="2">
        <v>0.431005</v>
      </c>
      <c r="E501">
        <v>13.080049</v>
      </c>
      <c r="F501">
        <v>10829.816192</v>
      </c>
      <c r="G501" s="3">
        <f t="shared" si="77"/>
        <v>10.829816192</v>
      </c>
      <c r="I501" t="s">
        <v>521</v>
      </c>
      <c r="J501">
        <v>4.54463</v>
      </c>
      <c r="K501" s="5">
        <f t="shared" si="78"/>
        <v>31.1696503345707</v>
      </c>
      <c r="L501">
        <f t="shared" si="79"/>
        <v>2.87813290474826</v>
      </c>
      <c r="O501">
        <v>0.00992</v>
      </c>
      <c r="P501" s="6">
        <f t="shared" si="80"/>
        <v>14.2796903225806</v>
      </c>
      <c r="Q501" s="4">
        <f t="shared" si="81"/>
        <v>2.182795959187</v>
      </c>
      <c r="T501">
        <v>45.2</v>
      </c>
      <c r="U501" s="7">
        <f t="shared" si="82"/>
        <v>3.13394973451327</v>
      </c>
      <c r="V501">
        <f t="shared" si="83"/>
        <v>9.94580416887624</v>
      </c>
      <c r="Y501">
        <v>0.007785144</v>
      </c>
      <c r="Z501" s="8">
        <v>10.9172954026284</v>
      </c>
      <c r="AA501">
        <f t="shared" si="84"/>
        <v>2.85507070982676</v>
      </c>
      <c r="AD501" s="9">
        <v>3.72219</v>
      </c>
      <c r="AE501">
        <f t="shared" si="85"/>
        <v>8.37400840219621</v>
      </c>
      <c r="AH501">
        <v>8.5541</v>
      </c>
      <c r="AI501" s="10">
        <f t="shared" si="86"/>
        <v>16.5598400766884</v>
      </c>
      <c r="AJ501">
        <f t="shared" si="87"/>
        <v>1.88224343895983</v>
      </c>
    </row>
    <row r="502" spans="1:36">
      <c r="A502" s="1" t="s">
        <v>522</v>
      </c>
      <c r="B502" s="1">
        <v>141965260</v>
      </c>
      <c r="C502" s="2">
        <v>1</v>
      </c>
      <c r="E502">
        <v>7.232224</v>
      </c>
      <c r="F502">
        <v>19629.543322</v>
      </c>
      <c r="G502" s="3">
        <f t="shared" si="77"/>
        <v>19.629543322</v>
      </c>
      <c r="I502" t="s">
        <v>522</v>
      </c>
      <c r="J502">
        <v>2.83571</v>
      </c>
      <c r="K502" s="5">
        <f t="shared" si="78"/>
        <v>50.0633915315741</v>
      </c>
      <c r="L502">
        <f t="shared" si="79"/>
        <v>2.55041040488523</v>
      </c>
      <c r="O502">
        <v>0.0089792</v>
      </c>
      <c r="P502" s="6">
        <f t="shared" si="80"/>
        <v>15.8104575017819</v>
      </c>
      <c r="Q502" s="4">
        <f t="shared" si="81"/>
        <v>3.16647329945587</v>
      </c>
      <c r="T502">
        <v>28.47</v>
      </c>
      <c r="U502" s="7">
        <f t="shared" si="82"/>
        <v>4.9864861257464</v>
      </c>
      <c r="V502">
        <f t="shared" si="83"/>
        <v>10.0398136621869</v>
      </c>
      <c r="Y502">
        <v>0.010033452</v>
      </c>
      <c r="Z502" s="8">
        <v>8.48951646950621</v>
      </c>
      <c r="AA502">
        <f t="shared" si="84"/>
        <v>5.89708397544177</v>
      </c>
      <c r="AD502" s="9">
        <v>3.81918</v>
      </c>
      <c r="AE502">
        <f t="shared" si="85"/>
        <v>13.1084137253479</v>
      </c>
      <c r="AH502">
        <v>7.4264</v>
      </c>
      <c r="AI502" s="10">
        <f t="shared" si="86"/>
        <v>19.1162959172681</v>
      </c>
      <c r="AJ502">
        <f t="shared" si="87"/>
        <v>2.61888557010414</v>
      </c>
    </row>
    <row r="503" spans="1:36">
      <c r="A503" s="1" t="s">
        <v>523</v>
      </c>
      <c r="B503" s="1">
        <v>142990310</v>
      </c>
      <c r="C503" s="2">
        <v>0.140629</v>
      </c>
      <c r="E503">
        <v>15.047707</v>
      </c>
      <c r="F503">
        <v>9502.464964</v>
      </c>
      <c r="G503" s="3">
        <f t="shared" si="77"/>
        <v>9.502464964</v>
      </c>
      <c r="I503" t="s">
        <v>523</v>
      </c>
      <c r="J503">
        <v>10.504</v>
      </c>
      <c r="K503" s="5">
        <f t="shared" si="78"/>
        <v>13.6129388804265</v>
      </c>
      <c r="L503">
        <f t="shared" si="79"/>
        <v>1.43256922619541</v>
      </c>
      <c r="O503">
        <v>0.0188224</v>
      </c>
      <c r="P503" s="6">
        <f t="shared" si="80"/>
        <v>7.59681602771166</v>
      </c>
      <c r="Q503" s="4">
        <f t="shared" si="81"/>
        <v>1.79192688499619</v>
      </c>
      <c r="T503">
        <v>71.365</v>
      </c>
      <c r="U503" s="7">
        <f t="shared" si="82"/>
        <v>2.00364758635185</v>
      </c>
      <c r="V503">
        <f t="shared" si="83"/>
        <v>6.79407844630617</v>
      </c>
      <c r="Y503">
        <v>0.03226356</v>
      </c>
      <c r="Z503" s="8">
        <v>2.65916675035241</v>
      </c>
      <c r="AA503">
        <f t="shared" si="84"/>
        <v>5.11924980959634</v>
      </c>
      <c r="AD503" s="9">
        <v>2.878872</v>
      </c>
      <c r="AE503">
        <f t="shared" si="85"/>
        <v>4.72856691107715</v>
      </c>
      <c r="AH503">
        <v>20.266</v>
      </c>
      <c r="AI503" s="10">
        <f t="shared" si="86"/>
        <v>7.05567502220468</v>
      </c>
      <c r="AJ503">
        <f t="shared" si="87"/>
        <v>1.92936024371668</v>
      </c>
    </row>
    <row r="504" spans="1:36">
      <c r="A504" s="1" t="s">
        <v>525</v>
      </c>
      <c r="B504" s="1">
        <v>143404670</v>
      </c>
      <c r="C504" s="2">
        <v>0.00221041</v>
      </c>
      <c r="E504">
        <v>41.11483</v>
      </c>
      <c r="F504">
        <v>3487.906154</v>
      </c>
      <c r="G504" s="3">
        <f t="shared" si="77"/>
        <v>3.487906154</v>
      </c>
      <c r="I504" t="s">
        <v>525</v>
      </c>
      <c r="J504">
        <v>45.0677</v>
      </c>
      <c r="K504" s="5">
        <f t="shared" si="78"/>
        <v>3.18198332730536</v>
      </c>
      <c r="L504">
        <f t="shared" si="79"/>
        <v>0.9122904077153</v>
      </c>
      <c r="O504">
        <v>0.0458272</v>
      </c>
      <c r="P504" s="6">
        <f t="shared" si="80"/>
        <v>3.12924791390266</v>
      </c>
      <c r="Q504" s="4">
        <f t="shared" si="81"/>
        <v>1.01685242424175</v>
      </c>
      <c r="T504">
        <v>805.379</v>
      </c>
      <c r="U504" s="7">
        <f t="shared" si="82"/>
        <v>0.178058615881467</v>
      </c>
      <c r="V504">
        <f t="shared" si="83"/>
        <v>17.8704260479235</v>
      </c>
      <c r="Y504">
        <v>0.002564964</v>
      </c>
      <c r="Z504" s="8">
        <v>21.8045248588284</v>
      </c>
      <c r="AA504">
        <f t="shared" si="84"/>
        <v>0.145932247912158</v>
      </c>
      <c r="AD504" s="9">
        <v>1.487997</v>
      </c>
      <c r="AE504">
        <f t="shared" si="85"/>
        <v>2.13843396680596</v>
      </c>
      <c r="AH504">
        <v>102.116</v>
      </c>
      <c r="AI504" s="10">
        <f t="shared" si="86"/>
        <v>1.40433105487877</v>
      </c>
      <c r="AJ504">
        <f t="shared" si="87"/>
        <v>2.26583562063296</v>
      </c>
    </row>
    <row r="505" spans="1:36">
      <c r="A505" s="1" t="s">
        <v>524</v>
      </c>
      <c r="B505" s="1">
        <v>143404670</v>
      </c>
      <c r="C505" s="2">
        <v>0.00220178</v>
      </c>
      <c r="E505">
        <v>40.870784</v>
      </c>
      <c r="F505">
        <v>3508.733072</v>
      </c>
      <c r="G505" s="3">
        <f t="shared" si="77"/>
        <v>3.508733072</v>
      </c>
      <c r="I505" t="s">
        <v>524</v>
      </c>
      <c r="J505">
        <v>48.5385</v>
      </c>
      <c r="K505" s="5">
        <f t="shared" si="78"/>
        <v>2.95445203292232</v>
      </c>
      <c r="L505">
        <f t="shared" si="79"/>
        <v>0.842028154406816</v>
      </c>
      <c r="O505">
        <v>0.0458992</v>
      </c>
      <c r="P505" s="6">
        <f t="shared" si="80"/>
        <v>3.12433920416914</v>
      </c>
      <c r="Q505" s="4">
        <f t="shared" si="81"/>
        <v>0.945624607270517</v>
      </c>
      <c r="T505">
        <v>807.747</v>
      </c>
      <c r="U505" s="7">
        <f t="shared" si="82"/>
        <v>0.177536617282392</v>
      </c>
      <c r="V505">
        <f t="shared" si="83"/>
        <v>16.6413671621496</v>
      </c>
      <c r="Y505">
        <v>0.0026082</v>
      </c>
      <c r="Z505" s="8">
        <v>21.4430723487463</v>
      </c>
      <c r="AA505">
        <f t="shared" si="84"/>
        <v>0.137781190347709</v>
      </c>
      <c r="AD505" s="9">
        <v>1.474527</v>
      </c>
      <c r="AE505">
        <f t="shared" si="85"/>
        <v>2.00366085729344</v>
      </c>
      <c r="AH505">
        <v>101.8325</v>
      </c>
      <c r="AI505" s="10">
        <f t="shared" si="86"/>
        <v>1.40824068936734</v>
      </c>
      <c r="AJ505">
        <f t="shared" si="87"/>
        <v>2.09797377339638</v>
      </c>
    </row>
    <row r="506" spans="1:36">
      <c r="A506" s="1" t="s">
        <v>526</v>
      </c>
      <c r="B506" s="1">
        <v>150299464</v>
      </c>
      <c r="C506" s="2">
        <v>2.92167e-5</v>
      </c>
      <c r="E506">
        <v>32.75485</v>
      </c>
      <c r="F506">
        <v>4588.617119</v>
      </c>
      <c r="G506" s="3">
        <f t="shared" si="77"/>
        <v>4.588617119</v>
      </c>
      <c r="I506" t="s">
        <v>526</v>
      </c>
      <c r="J506">
        <v>74.258</v>
      </c>
      <c r="K506" s="5">
        <f t="shared" si="78"/>
        <v>2.02401712946753</v>
      </c>
      <c r="L506">
        <f t="shared" si="79"/>
        <v>0.441095231303288</v>
      </c>
      <c r="O506">
        <v>0.0625008</v>
      </c>
      <c r="P506" s="6">
        <f t="shared" si="80"/>
        <v>2.40476064306377</v>
      </c>
      <c r="Q506" s="4">
        <f t="shared" si="81"/>
        <v>0.841670931078133</v>
      </c>
      <c r="T506">
        <v>202.423</v>
      </c>
      <c r="U506" s="7">
        <f t="shared" si="82"/>
        <v>0.742501909368007</v>
      </c>
      <c r="V506">
        <f t="shared" si="83"/>
        <v>2.72594198604864</v>
      </c>
      <c r="Y506">
        <v>0.003369996</v>
      </c>
      <c r="Z506" s="8">
        <v>26.7595802487599</v>
      </c>
      <c r="AA506">
        <f t="shared" si="84"/>
        <v>0.0756371030730697</v>
      </c>
      <c r="AD506" s="9">
        <v>1.503792</v>
      </c>
      <c r="AE506">
        <f t="shared" si="85"/>
        <v>1.34594221106877</v>
      </c>
      <c r="AH506">
        <v>118.668</v>
      </c>
      <c r="AI506" s="10">
        <f t="shared" si="86"/>
        <v>1.2665542859069</v>
      </c>
      <c r="AJ506">
        <f t="shared" si="87"/>
        <v>1.59805004174634</v>
      </c>
    </row>
    <row r="507" spans="1:36">
      <c r="A507" s="1" t="s">
        <v>527</v>
      </c>
      <c r="B507" s="1">
        <v>151349670</v>
      </c>
      <c r="C507" s="2">
        <v>0.469675</v>
      </c>
      <c r="E507">
        <v>8.605729</v>
      </c>
      <c r="F507">
        <v>17587.082127</v>
      </c>
      <c r="G507" s="3">
        <f t="shared" si="77"/>
        <v>17.587082127</v>
      </c>
      <c r="I507" t="s">
        <v>527</v>
      </c>
      <c r="J507">
        <v>7.05431</v>
      </c>
      <c r="K507" s="5">
        <f t="shared" si="78"/>
        <v>21.4549218846351</v>
      </c>
      <c r="L507">
        <f t="shared" si="79"/>
        <v>1.21992504098773</v>
      </c>
      <c r="O507">
        <v>0.0136224</v>
      </c>
      <c r="P507" s="6">
        <f t="shared" si="80"/>
        <v>11.1103528012685</v>
      </c>
      <c r="Q507" s="4">
        <f t="shared" si="81"/>
        <v>1.93107476138701</v>
      </c>
      <c r="T507">
        <v>95.741</v>
      </c>
      <c r="U507" s="7">
        <f t="shared" si="82"/>
        <v>1.58082399390021</v>
      </c>
      <c r="V507">
        <f t="shared" si="83"/>
        <v>13.5719864876933</v>
      </c>
      <c r="Y507">
        <v>0.01058616</v>
      </c>
      <c r="Z507" s="8">
        <v>8.57816261987349</v>
      </c>
      <c r="AA507">
        <f t="shared" si="84"/>
        <v>2.50110925094021</v>
      </c>
      <c r="AD507" s="9">
        <v>3.40215</v>
      </c>
      <c r="AE507">
        <f t="shared" si="85"/>
        <v>6.30628334571817</v>
      </c>
      <c r="AH507">
        <v>13.7227</v>
      </c>
      <c r="AI507" s="10">
        <f t="shared" si="86"/>
        <v>11.0291465965153</v>
      </c>
      <c r="AJ507">
        <f t="shared" si="87"/>
        <v>1.94529301944485</v>
      </c>
    </row>
    <row r="508" spans="1:36">
      <c r="A508" s="1" t="s">
        <v>528</v>
      </c>
      <c r="B508" s="1">
        <v>152561542</v>
      </c>
      <c r="C508" s="2">
        <v>0.798755</v>
      </c>
      <c r="E508">
        <v>11.360956</v>
      </c>
      <c r="F508">
        <v>13428.582785</v>
      </c>
      <c r="G508" s="3">
        <f t="shared" si="77"/>
        <v>13.428582785</v>
      </c>
      <c r="I508" t="s">
        <v>528</v>
      </c>
      <c r="J508">
        <v>4.73493</v>
      </c>
      <c r="K508" s="5">
        <f t="shared" si="78"/>
        <v>32.2204429632539</v>
      </c>
      <c r="L508">
        <f t="shared" si="79"/>
        <v>2.399392659607</v>
      </c>
      <c r="O508">
        <v>0.0134848</v>
      </c>
      <c r="P508" s="6">
        <f t="shared" si="80"/>
        <v>11.313593230897</v>
      </c>
      <c r="Q508" s="4">
        <f t="shared" si="81"/>
        <v>2.84794072985239</v>
      </c>
      <c r="T508">
        <v>45.263</v>
      </c>
      <c r="U508" s="7">
        <f t="shared" si="82"/>
        <v>3.37055745310739</v>
      </c>
      <c r="V508">
        <f t="shared" si="83"/>
        <v>9.55938102569626</v>
      </c>
      <c r="Y508">
        <v>0.0365364</v>
      </c>
      <c r="Z508" s="8">
        <v>2.50536246592439</v>
      </c>
      <c r="AA508">
        <f t="shared" si="84"/>
        <v>12.8605913920586</v>
      </c>
      <c r="AD508" s="9">
        <v>3.55941</v>
      </c>
      <c r="AE508">
        <f t="shared" si="85"/>
        <v>9.05218644754438</v>
      </c>
      <c r="AH508">
        <v>14.6999</v>
      </c>
      <c r="AI508" s="10">
        <f t="shared" si="86"/>
        <v>10.3784067918829</v>
      </c>
      <c r="AJ508">
        <f t="shared" si="87"/>
        <v>3.10456543180153</v>
      </c>
    </row>
    <row r="509" spans="1:36">
      <c r="A509" s="1" t="s">
        <v>529</v>
      </c>
      <c r="B509" s="1">
        <v>152941166</v>
      </c>
      <c r="C509" s="2">
        <v>0</v>
      </c>
      <c r="E509">
        <v>15.831122</v>
      </c>
      <c r="F509">
        <v>9660.79154</v>
      </c>
      <c r="G509" s="3">
        <f t="shared" si="77"/>
        <v>9.66079154</v>
      </c>
      <c r="I509" t="s">
        <v>529</v>
      </c>
      <c r="J509">
        <v>12.9517</v>
      </c>
      <c r="K509" s="5">
        <f t="shared" si="78"/>
        <v>11.8085784877661</v>
      </c>
      <c r="L509">
        <f t="shared" si="79"/>
        <v>1.22231997646086</v>
      </c>
      <c r="O509">
        <v>0.0245952</v>
      </c>
      <c r="P509" s="6">
        <f t="shared" si="80"/>
        <v>6.21833390255009</v>
      </c>
      <c r="Q509" s="4">
        <f t="shared" si="81"/>
        <v>1.89899395446158</v>
      </c>
      <c r="T509">
        <v>98.267</v>
      </c>
      <c r="U509" s="7">
        <f t="shared" si="82"/>
        <v>1.55638379109976</v>
      </c>
      <c r="V509">
        <f t="shared" si="83"/>
        <v>7.58718932649768</v>
      </c>
      <c r="Y509">
        <v>0.05699214</v>
      </c>
      <c r="Z509" s="8">
        <v>1.61012903884641</v>
      </c>
      <c r="AA509">
        <f t="shared" si="84"/>
        <v>7.33393299721272</v>
      </c>
      <c r="AD509" s="9">
        <v>2.338377</v>
      </c>
      <c r="AE509">
        <f t="shared" si="85"/>
        <v>5.04990362450797</v>
      </c>
      <c r="AH509">
        <v>28.9822</v>
      </c>
      <c r="AI509" s="10">
        <f t="shared" si="86"/>
        <v>5.2770723409541</v>
      </c>
      <c r="AJ509">
        <f t="shared" si="87"/>
        <v>2.23771396805053</v>
      </c>
    </row>
    <row r="510" spans="1:36">
      <c r="A510" s="1" t="s">
        <v>530</v>
      </c>
      <c r="B510" s="1">
        <v>153607828</v>
      </c>
      <c r="C510" s="2">
        <v>0.860174</v>
      </c>
      <c r="E510">
        <v>12.035817</v>
      </c>
      <c r="F510">
        <v>12762.559728</v>
      </c>
      <c r="G510" s="3">
        <f t="shared" si="77"/>
        <v>12.762559728</v>
      </c>
      <c r="I510" t="s">
        <v>530</v>
      </c>
      <c r="J510">
        <v>8.42445</v>
      </c>
      <c r="K510" s="5">
        <f t="shared" si="78"/>
        <v>18.2335734677041</v>
      </c>
      <c r="L510">
        <f t="shared" si="79"/>
        <v>1.42867683727279</v>
      </c>
      <c r="O510">
        <v>0.01356</v>
      </c>
      <c r="P510" s="6">
        <f t="shared" si="80"/>
        <v>11.3280109144543</v>
      </c>
      <c r="Q510" s="4">
        <f t="shared" si="81"/>
        <v>1.60960062674715</v>
      </c>
      <c r="T510">
        <v>66.715</v>
      </c>
      <c r="U510" s="7">
        <f t="shared" si="82"/>
        <v>2.30244814509481</v>
      </c>
      <c r="V510">
        <f t="shared" si="83"/>
        <v>7.91921134317374</v>
      </c>
      <c r="Y510">
        <v>0.03377322</v>
      </c>
      <c r="Z510" s="8">
        <v>2.72892832842116</v>
      </c>
      <c r="AA510">
        <f t="shared" si="84"/>
        <v>6.68158752203407</v>
      </c>
      <c r="AD510" s="9">
        <v>3.43536</v>
      </c>
      <c r="AE510">
        <f t="shared" si="85"/>
        <v>5.30761651404922</v>
      </c>
      <c r="AH510">
        <v>26.0073</v>
      </c>
      <c r="AI510" s="10">
        <f t="shared" si="86"/>
        <v>5.90633506746183</v>
      </c>
      <c r="AJ510">
        <f t="shared" si="87"/>
        <v>3.08712141445436</v>
      </c>
    </row>
    <row r="511" spans="1:36">
      <c r="A511" s="1" t="s">
        <v>531</v>
      </c>
      <c r="B511" s="1">
        <v>155795134</v>
      </c>
      <c r="C511" s="2">
        <v>0.499491</v>
      </c>
      <c r="E511">
        <v>11.13598</v>
      </c>
      <c r="F511">
        <v>13990.24938</v>
      </c>
      <c r="G511" s="3">
        <f t="shared" si="77"/>
        <v>13.99024938</v>
      </c>
      <c r="I511" t="s">
        <v>531</v>
      </c>
      <c r="J511">
        <v>8.44799</v>
      </c>
      <c r="K511" s="5">
        <f t="shared" si="78"/>
        <v>18.4416806838076</v>
      </c>
      <c r="L511">
        <f t="shared" si="79"/>
        <v>1.3181809832619</v>
      </c>
      <c r="O511">
        <v>0.0151472</v>
      </c>
      <c r="P511" s="6">
        <f t="shared" si="80"/>
        <v>10.2854081282349</v>
      </c>
      <c r="Q511" s="4">
        <f t="shared" si="81"/>
        <v>1.7929945466318</v>
      </c>
      <c r="T511">
        <v>77.655</v>
      </c>
      <c r="U511" s="7">
        <f t="shared" si="82"/>
        <v>2.00624729895049</v>
      </c>
      <c r="V511">
        <f t="shared" si="83"/>
        <v>9.1921273581053</v>
      </c>
      <c r="Y511">
        <v>0.01113741</v>
      </c>
      <c r="Z511" s="8">
        <v>8.39307167465326</v>
      </c>
      <c r="AA511">
        <f t="shared" si="84"/>
        <v>2.1972504702302</v>
      </c>
      <c r="AD511" s="9">
        <v>3.18618</v>
      </c>
      <c r="AE511">
        <f t="shared" si="85"/>
        <v>5.78802223471606</v>
      </c>
      <c r="AH511">
        <v>16.686</v>
      </c>
      <c r="AI511" s="10">
        <f t="shared" si="86"/>
        <v>9.33687726237564</v>
      </c>
      <c r="AJ511">
        <f t="shared" si="87"/>
        <v>1.97514438345689</v>
      </c>
    </row>
    <row r="512" spans="1:36">
      <c r="A512" s="1" t="s">
        <v>532</v>
      </c>
      <c r="B512" s="1">
        <v>155795134</v>
      </c>
      <c r="C512" s="2">
        <v>0.499491</v>
      </c>
      <c r="E512">
        <v>11.387479</v>
      </c>
      <c r="F512">
        <v>13681.266692</v>
      </c>
      <c r="G512" s="3">
        <f t="shared" si="77"/>
        <v>13.681266692</v>
      </c>
      <c r="I512" t="s">
        <v>532</v>
      </c>
      <c r="J512">
        <v>8.49866</v>
      </c>
      <c r="K512" s="5">
        <f t="shared" si="78"/>
        <v>18.3317292373151</v>
      </c>
      <c r="L512">
        <f t="shared" si="79"/>
        <v>1.33991461828855</v>
      </c>
      <c r="O512">
        <v>0.0151088</v>
      </c>
      <c r="P512" s="6">
        <f t="shared" si="80"/>
        <v>10.3115491634015</v>
      </c>
      <c r="Q512" s="4">
        <f t="shared" si="81"/>
        <v>1.77778614510994</v>
      </c>
      <c r="T512">
        <v>77.118</v>
      </c>
      <c r="U512" s="7">
        <f t="shared" si="82"/>
        <v>2.02021751082756</v>
      </c>
      <c r="V512">
        <f t="shared" si="83"/>
        <v>9.0741363932667</v>
      </c>
      <c r="Y512">
        <v>0.01130058</v>
      </c>
      <c r="Z512" s="8">
        <v>8.2718834254525</v>
      </c>
      <c r="AA512">
        <f t="shared" si="84"/>
        <v>2.21614936943</v>
      </c>
      <c r="AD512" s="9">
        <v>3.17481</v>
      </c>
      <c r="AE512">
        <f t="shared" si="85"/>
        <v>5.77411852593228</v>
      </c>
      <c r="AH512">
        <v>16.5877</v>
      </c>
      <c r="AI512" s="10">
        <f t="shared" si="86"/>
        <v>9.39220832303454</v>
      </c>
      <c r="AJ512">
        <f t="shared" si="87"/>
        <v>1.95180181346236</v>
      </c>
    </row>
    <row r="513" spans="1:36">
      <c r="A513" s="1" t="s">
        <v>533</v>
      </c>
      <c r="B513" s="1">
        <v>157618374</v>
      </c>
      <c r="C513" s="2">
        <v>0.0106718</v>
      </c>
      <c r="E513">
        <v>34.815992</v>
      </c>
      <c r="F513">
        <v>4527.183189</v>
      </c>
      <c r="G513" s="3">
        <f t="shared" si="77"/>
        <v>4.527183189</v>
      </c>
      <c r="I513" t="s">
        <v>533</v>
      </c>
      <c r="J513">
        <v>45.0193</v>
      </c>
      <c r="K513" s="5">
        <f t="shared" si="78"/>
        <v>3.50112893803324</v>
      </c>
      <c r="L513">
        <f t="shared" si="79"/>
        <v>0.773357028392438</v>
      </c>
      <c r="O513">
        <v>0.044528</v>
      </c>
      <c r="P513" s="6">
        <f t="shared" si="80"/>
        <v>3.53975866870284</v>
      </c>
      <c r="Q513" s="4">
        <f t="shared" si="81"/>
        <v>0.989086902728385</v>
      </c>
      <c r="T513">
        <v>354.789</v>
      </c>
      <c r="U513" s="7">
        <f t="shared" si="82"/>
        <v>0.444259472531561</v>
      </c>
      <c r="V513">
        <f t="shared" si="83"/>
        <v>7.88082000386501</v>
      </c>
      <c r="Y513">
        <v>0.002344932</v>
      </c>
      <c r="Z513" s="8">
        <v>26.2144769485853</v>
      </c>
      <c r="AA513">
        <f t="shared" si="84"/>
        <v>0.133557077827646</v>
      </c>
      <c r="AD513" s="9">
        <v>1.714527</v>
      </c>
      <c r="AE513">
        <f t="shared" si="85"/>
        <v>2.04203779703279</v>
      </c>
      <c r="AH513">
        <v>94.4071</v>
      </c>
      <c r="AI513" s="10">
        <f t="shared" si="86"/>
        <v>1.66956059448919</v>
      </c>
      <c r="AJ513">
        <f t="shared" si="87"/>
        <v>2.09703616004691</v>
      </c>
    </row>
    <row r="514" spans="1:36">
      <c r="A514" s="1" t="s">
        <v>534</v>
      </c>
      <c r="B514" s="1">
        <v>158448284</v>
      </c>
      <c r="C514" s="2">
        <v>0.219767</v>
      </c>
      <c r="E514">
        <v>34.113459</v>
      </c>
      <c r="F514">
        <v>4644.744052</v>
      </c>
      <c r="G514" s="3">
        <f t="shared" ref="G514:G577" si="88">F514/1000</f>
        <v>4.644744052</v>
      </c>
      <c r="I514" t="s">
        <v>534</v>
      </c>
      <c r="J514">
        <v>46.9666</v>
      </c>
      <c r="K514" s="5">
        <f t="shared" ref="K514:K577" si="89">B514/J514/1000000</f>
        <v>3.37363752113204</v>
      </c>
      <c r="L514">
        <f t="shared" ref="L514:L577" si="90">K514/G514</f>
        <v>0.726334429489041</v>
      </c>
      <c r="O514">
        <v>0.0534352</v>
      </c>
      <c r="P514" s="6">
        <f t="shared" ref="P514:P577" si="91">B514/O514/1000000000</f>
        <v>2.96524171332754</v>
      </c>
      <c r="Q514" s="4">
        <f t="shared" ref="Q514:Q577" si="92">K514/P514</f>
        <v>1.13772766178518</v>
      </c>
      <c r="T514">
        <v>121.03</v>
      </c>
      <c r="U514" s="7">
        <f t="shared" ref="U514:U577" si="93">B514/T514/1000000</f>
        <v>1.30916536395935</v>
      </c>
      <c r="V514">
        <f t="shared" ref="V514:V577" si="94">K514/U514</f>
        <v>2.57693765356658</v>
      </c>
      <c r="Y514">
        <v>0.007660242</v>
      </c>
      <c r="Z514" s="8">
        <v>12.4107006541047</v>
      </c>
      <c r="AA514">
        <f t="shared" ref="AA514:AA577" si="95">K514/Z514</f>
        <v>0.271832962147568</v>
      </c>
      <c r="AD514" s="9">
        <v>1.288326</v>
      </c>
      <c r="AE514">
        <f t="shared" ref="AE514:AE577" si="96">K514/AD514</f>
        <v>2.61862100208491</v>
      </c>
      <c r="AH514">
        <v>108.6778</v>
      </c>
      <c r="AI514" s="10">
        <f t="shared" ref="AI514:AI577" si="97">B514/AH514/1000000</f>
        <v>1.45796366875296</v>
      </c>
      <c r="AJ514">
        <f t="shared" ref="AJ514:AJ577" si="98">K514/AI514</f>
        <v>2.31393798997586</v>
      </c>
    </row>
    <row r="515" spans="1:36">
      <c r="A515" s="1" t="s">
        <v>535</v>
      </c>
      <c r="B515" s="1">
        <v>159454560</v>
      </c>
      <c r="C515" s="2">
        <v>0.538891</v>
      </c>
      <c r="E515">
        <v>92.780786</v>
      </c>
      <c r="F515">
        <v>1718.616178</v>
      </c>
      <c r="G515" s="3">
        <f t="shared" si="88"/>
        <v>1.718616178</v>
      </c>
      <c r="I515" t="s">
        <v>535</v>
      </c>
      <c r="J515">
        <v>68.624</v>
      </c>
      <c r="K515" s="5">
        <f t="shared" si="89"/>
        <v>2.32359757519235</v>
      </c>
      <c r="L515">
        <f t="shared" si="90"/>
        <v>1.35201658458516</v>
      </c>
      <c r="O515">
        <v>0.0452016</v>
      </c>
      <c r="P515" s="6">
        <f t="shared" si="91"/>
        <v>3.52763088032282</v>
      </c>
      <c r="Q515" s="4">
        <f t="shared" si="92"/>
        <v>0.65868500816041</v>
      </c>
      <c r="T515">
        <v>120.241</v>
      </c>
      <c r="U515" s="7">
        <f t="shared" si="93"/>
        <v>1.32612469956171</v>
      </c>
      <c r="V515">
        <f t="shared" si="94"/>
        <v>1.7521712520401</v>
      </c>
      <c r="Y515">
        <v>0.02065572</v>
      </c>
      <c r="Z515" s="8">
        <v>4.63177928438224</v>
      </c>
      <c r="AA515">
        <f t="shared" si="95"/>
        <v>0.501664140825368</v>
      </c>
      <c r="AD515" s="9">
        <v>1.552683</v>
      </c>
      <c r="AE515">
        <f t="shared" si="96"/>
        <v>1.49650480825278</v>
      </c>
      <c r="AH515">
        <v>88.2126</v>
      </c>
      <c r="AI515" s="10">
        <f t="shared" si="97"/>
        <v>1.80761659898926</v>
      </c>
      <c r="AJ515">
        <f t="shared" si="98"/>
        <v>1.28544823968291</v>
      </c>
    </row>
    <row r="516" spans="1:36">
      <c r="A516" s="1" t="s">
        <v>536</v>
      </c>
      <c r="B516" s="1">
        <v>161885088</v>
      </c>
      <c r="C516" s="2">
        <v>0.261331</v>
      </c>
      <c r="E516">
        <v>8.661844</v>
      </c>
      <c r="F516">
        <v>18689.449581</v>
      </c>
      <c r="G516" s="3">
        <f t="shared" si="88"/>
        <v>18.689449581</v>
      </c>
      <c r="I516" t="s">
        <v>536</v>
      </c>
      <c r="J516">
        <v>6.54495</v>
      </c>
      <c r="K516" s="5">
        <f t="shared" si="89"/>
        <v>24.7343506061926</v>
      </c>
      <c r="L516">
        <f t="shared" si="90"/>
        <v>1.32343922163111</v>
      </c>
      <c r="O516">
        <v>0.015216</v>
      </c>
      <c r="P516" s="6">
        <f t="shared" si="91"/>
        <v>10.6391356466877</v>
      </c>
      <c r="Q516" s="4">
        <f t="shared" si="92"/>
        <v>2.32484587353608</v>
      </c>
      <c r="T516">
        <v>72.286</v>
      </c>
      <c r="U516" s="7">
        <f t="shared" si="93"/>
        <v>2.23950817585701</v>
      </c>
      <c r="V516">
        <f t="shared" si="94"/>
        <v>11.0445457948495</v>
      </c>
      <c r="Y516">
        <v>0.008741988</v>
      </c>
      <c r="Z516" s="8">
        <v>11.1108654919224</v>
      </c>
      <c r="AA516">
        <f t="shared" si="95"/>
        <v>2.22614076501731</v>
      </c>
      <c r="AD516" s="9">
        <v>3.36369</v>
      </c>
      <c r="AE516">
        <f t="shared" si="96"/>
        <v>7.35333832968929</v>
      </c>
      <c r="AH516">
        <v>14.4794</v>
      </c>
      <c r="AI516" s="10">
        <f t="shared" si="97"/>
        <v>11.1803726673757</v>
      </c>
      <c r="AJ516">
        <f t="shared" si="98"/>
        <v>2.21230108709769</v>
      </c>
    </row>
    <row r="517" spans="1:36">
      <c r="A517" s="1" t="s">
        <v>537</v>
      </c>
      <c r="B517" s="1">
        <v>164773726</v>
      </c>
      <c r="C517" s="2">
        <v>0.202367</v>
      </c>
      <c r="E517">
        <v>12.474853</v>
      </c>
      <c r="F517">
        <v>13208.470638</v>
      </c>
      <c r="G517" s="3">
        <f t="shared" si="88"/>
        <v>13.208470638</v>
      </c>
      <c r="I517" t="s">
        <v>537</v>
      </c>
      <c r="J517">
        <v>24.1486</v>
      </c>
      <c r="K517" s="5">
        <f t="shared" si="89"/>
        <v>6.82332416786066</v>
      </c>
      <c r="L517">
        <f t="shared" si="90"/>
        <v>0.516586995941101</v>
      </c>
      <c r="O517">
        <v>0.0439392</v>
      </c>
      <c r="P517" s="6">
        <f t="shared" si="91"/>
        <v>3.75003928155269</v>
      </c>
      <c r="Q517" s="4">
        <f t="shared" si="92"/>
        <v>1.81953405166345</v>
      </c>
      <c r="T517">
        <v>74.483</v>
      </c>
      <c r="U517" s="7">
        <f t="shared" si="93"/>
        <v>2.21223267054227</v>
      </c>
      <c r="V517">
        <f t="shared" si="94"/>
        <v>3.0843609981531</v>
      </c>
      <c r="Y517">
        <v>0.002101194</v>
      </c>
      <c r="Z517" s="8">
        <v>30.5834459550142</v>
      </c>
      <c r="AA517">
        <f t="shared" si="95"/>
        <v>0.223105145767329</v>
      </c>
      <c r="AD517" s="9">
        <v>2.117235</v>
      </c>
      <c r="AE517">
        <f t="shared" si="96"/>
        <v>3.22275239539336</v>
      </c>
      <c r="AH517">
        <v>104.9595</v>
      </c>
      <c r="AI517" s="10">
        <f t="shared" si="97"/>
        <v>1.56987910575031</v>
      </c>
      <c r="AJ517">
        <f t="shared" si="98"/>
        <v>4.34640103360029</v>
      </c>
    </row>
    <row r="518" spans="1:36">
      <c r="A518" s="1" t="s">
        <v>538</v>
      </c>
      <c r="B518" s="1">
        <v>167635182</v>
      </c>
      <c r="C518" s="2">
        <v>0.103185</v>
      </c>
      <c r="E518">
        <v>21.650646</v>
      </c>
      <c r="F518">
        <v>7742.73333</v>
      </c>
      <c r="G518" s="3">
        <f t="shared" si="88"/>
        <v>7.74273333</v>
      </c>
      <c r="I518" t="s">
        <v>538</v>
      </c>
      <c r="J518">
        <v>19.9736</v>
      </c>
      <c r="K518" s="5">
        <f t="shared" si="89"/>
        <v>8.39283764569231</v>
      </c>
      <c r="L518">
        <f t="shared" si="90"/>
        <v>1.0839631546102</v>
      </c>
      <c r="O518">
        <v>0.031304</v>
      </c>
      <c r="P518" s="6">
        <f t="shared" si="91"/>
        <v>5.35507225913621</v>
      </c>
      <c r="Q518" s="4">
        <f t="shared" si="92"/>
        <v>1.56726879480915</v>
      </c>
      <c r="T518">
        <v>266.279</v>
      </c>
      <c r="U518" s="7">
        <f t="shared" si="93"/>
        <v>0.629547136649905</v>
      </c>
      <c r="V518">
        <f t="shared" si="94"/>
        <v>13.3315476428886</v>
      </c>
      <c r="Y518">
        <v>0.05590242</v>
      </c>
      <c r="Z518" s="8">
        <v>1.79922638769484</v>
      </c>
      <c r="AA518">
        <f t="shared" si="95"/>
        <v>4.66469239396004</v>
      </c>
      <c r="AD518" s="9">
        <v>2.686236</v>
      </c>
      <c r="AE518">
        <f t="shared" si="96"/>
        <v>3.12438581185432</v>
      </c>
      <c r="AH518">
        <v>33.2235</v>
      </c>
      <c r="AI518" s="10">
        <f t="shared" si="97"/>
        <v>5.04568097882523</v>
      </c>
      <c r="AJ518">
        <f t="shared" si="98"/>
        <v>1.66337064925702</v>
      </c>
    </row>
    <row r="519" spans="1:36">
      <c r="A519" s="1" t="s">
        <v>539</v>
      </c>
      <c r="B519" s="1">
        <v>177148622</v>
      </c>
      <c r="C519" s="2">
        <v>0.542486</v>
      </c>
      <c r="E519">
        <v>510.354384</v>
      </c>
      <c r="F519">
        <v>347.109043</v>
      </c>
      <c r="G519" s="3">
        <f t="shared" si="88"/>
        <v>0.347109043</v>
      </c>
      <c r="I519" t="s">
        <v>539</v>
      </c>
      <c r="J519">
        <v>169.423</v>
      </c>
      <c r="K519" s="5">
        <f t="shared" si="89"/>
        <v>1.04559960572059</v>
      </c>
      <c r="L519">
        <f t="shared" si="90"/>
        <v>3.01230874506658</v>
      </c>
      <c r="O519">
        <v>0.1189568</v>
      </c>
      <c r="P519" s="6">
        <f t="shared" si="91"/>
        <v>1.48918449386668</v>
      </c>
      <c r="Q519" s="4">
        <f t="shared" si="92"/>
        <v>0.70212899075096</v>
      </c>
      <c r="T519">
        <v>275.812</v>
      </c>
      <c r="U519" s="7">
        <f t="shared" si="93"/>
        <v>0.642280328629646</v>
      </c>
      <c r="V519">
        <f t="shared" si="94"/>
        <v>1.62794897977252</v>
      </c>
      <c r="Y519">
        <v>0.284877</v>
      </c>
      <c r="Z519" s="8">
        <v>0.373105491843848</v>
      </c>
      <c r="AA519">
        <f t="shared" si="95"/>
        <v>2.80242351982907</v>
      </c>
      <c r="AD519" s="9">
        <v>1.243458</v>
      </c>
      <c r="AE519">
        <f t="shared" si="96"/>
        <v>0.840880516849458</v>
      </c>
      <c r="AH519">
        <v>226.688</v>
      </c>
      <c r="AI519" s="10">
        <f t="shared" si="97"/>
        <v>0.781464488636364</v>
      </c>
      <c r="AJ519">
        <f t="shared" si="98"/>
        <v>1.33800015346204</v>
      </c>
    </row>
    <row r="520" spans="1:36">
      <c r="A520" s="1" t="s">
        <v>540</v>
      </c>
      <c r="B520" s="1">
        <v>177313778</v>
      </c>
      <c r="C520" s="2">
        <v>0.0342208</v>
      </c>
      <c r="E520">
        <v>38.908685</v>
      </c>
      <c r="F520">
        <v>4557.17738</v>
      </c>
      <c r="G520" s="3">
        <f t="shared" si="88"/>
        <v>4.55717738</v>
      </c>
      <c r="I520" t="s">
        <v>540</v>
      </c>
      <c r="J520">
        <v>72.9081</v>
      </c>
      <c r="K520" s="5">
        <f t="shared" si="89"/>
        <v>2.43201753988926</v>
      </c>
      <c r="L520">
        <f t="shared" si="90"/>
        <v>0.533667517653056</v>
      </c>
      <c r="O520">
        <v>0.0542432</v>
      </c>
      <c r="P520" s="6">
        <f t="shared" si="91"/>
        <v>3.26886647542918</v>
      </c>
      <c r="Q520" s="4">
        <f t="shared" si="92"/>
        <v>0.743994151541461</v>
      </c>
      <c r="T520">
        <v>147.978</v>
      </c>
      <c r="U520" s="7">
        <f t="shared" si="93"/>
        <v>1.19824418494641</v>
      </c>
      <c r="V520">
        <f t="shared" si="94"/>
        <v>2.02965102642916</v>
      </c>
      <c r="Y520">
        <v>0.17505882</v>
      </c>
      <c r="Z520" s="8">
        <v>0.607728686849369</v>
      </c>
      <c r="AA520">
        <f t="shared" si="95"/>
        <v>4.00181461319112</v>
      </c>
      <c r="AD520" s="9">
        <v>1.596579</v>
      </c>
      <c r="AE520">
        <f t="shared" si="96"/>
        <v>1.52326789960864</v>
      </c>
      <c r="AH520">
        <v>93.0126</v>
      </c>
      <c r="AI520" s="10">
        <f t="shared" si="97"/>
        <v>1.9063414849171</v>
      </c>
      <c r="AJ520">
        <f t="shared" si="98"/>
        <v>1.2757512539759</v>
      </c>
    </row>
    <row r="521" spans="1:36">
      <c r="A521" s="1" t="s">
        <v>541</v>
      </c>
      <c r="B521" s="1">
        <v>178387490</v>
      </c>
      <c r="C521" s="2">
        <v>0.240552</v>
      </c>
      <c r="E521">
        <v>17.233108</v>
      </c>
      <c r="F521">
        <v>10351.440332</v>
      </c>
      <c r="G521" s="3">
        <f t="shared" si="88"/>
        <v>10.351440332</v>
      </c>
      <c r="I521" t="s">
        <v>541</v>
      </c>
      <c r="J521">
        <v>26.7978</v>
      </c>
      <c r="K521" s="5">
        <f t="shared" si="89"/>
        <v>6.65679608027525</v>
      </c>
      <c r="L521">
        <f t="shared" si="90"/>
        <v>0.643079210889784</v>
      </c>
      <c r="O521">
        <v>0.052328</v>
      </c>
      <c r="P521" s="6">
        <f t="shared" si="91"/>
        <v>3.40902556948479</v>
      </c>
      <c r="Q521" s="4">
        <f t="shared" si="92"/>
        <v>1.95269760950526</v>
      </c>
      <c r="T521">
        <v>85.974</v>
      </c>
      <c r="U521" s="7">
        <f t="shared" si="93"/>
        <v>2.07490043501524</v>
      </c>
      <c r="V521">
        <f t="shared" si="94"/>
        <v>3.20824843830464</v>
      </c>
      <c r="Y521">
        <v>0.002141334</v>
      </c>
      <c r="Z521" s="8">
        <v>32.4896167996212</v>
      </c>
      <c r="AA521">
        <f t="shared" si="95"/>
        <v>0.204889953652912</v>
      </c>
      <c r="AD521" s="9">
        <v>2.116656</v>
      </c>
      <c r="AE521">
        <f t="shared" si="96"/>
        <v>3.14495887866297</v>
      </c>
      <c r="AH521">
        <v>113.084</v>
      </c>
      <c r="AI521" s="10">
        <f t="shared" si="97"/>
        <v>1.57747771568038</v>
      </c>
      <c r="AJ521">
        <f t="shared" si="98"/>
        <v>4.21989864839651</v>
      </c>
    </row>
    <row r="522" spans="1:36">
      <c r="A522" s="1" t="s">
        <v>542</v>
      </c>
      <c r="B522" s="1">
        <v>180268052</v>
      </c>
      <c r="C522" s="2">
        <v>0</v>
      </c>
      <c r="E522">
        <v>34.955126</v>
      </c>
      <c r="F522">
        <v>5157.127768</v>
      </c>
      <c r="G522" s="3">
        <f t="shared" si="88"/>
        <v>5.157127768</v>
      </c>
      <c r="I522" t="s">
        <v>542</v>
      </c>
      <c r="J522">
        <v>34.6023</v>
      </c>
      <c r="K522" s="5">
        <f t="shared" si="89"/>
        <v>5.20971299595692</v>
      </c>
      <c r="L522">
        <f t="shared" si="90"/>
        <v>1.01019661143228</v>
      </c>
      <c r="O522">
        <v>0.0678768</v>
      </c>
      <c r="P522" s="6">
        <f t="shared" si="91"/>
        <v>2.65581247200811</v>
      </c>
      <c r="Q522" s="4">
        <f t="shared" si="92"/>
        <v>1.96162682827442</v>
      </c>
      <c r="T522">
        <v>218.473</v>
      </c>
      <c r="U522" s="7">
        <f t="shared" si="93"/>
        <v>0.825127370430213</v>
      </c>
      <c r="V522">
        <f t="shared" si="94"/>
        <v>6.31382884952734</v>
      </c>
      <c r="Y522">
        <v>0.1287918</v>
      </c>
      <c r="Z522" s="8">
        <v>0.83981147246952</v>
      </c>
      <c r="AA522">
        <f t="shared" si="95"/>
        <v>6.20343156379779</v>
      </c>
      <c r="AD522" s="9">
        <v>1.445979</v>
      </c>
      <c r="AE522">
        <f t="shared" si="96"/>
        <v>3.60289671977042</v>
      </c>
      <c r="AH522">
        <v>54.8621</v>
      </c>
      <c r="AI522" s="10">
        <f t="shared" si="97"/>
        <v>3.28583944107134</v>
      </c>
      <c r="AJ522">
        <f t="shared" si="98"/>
        <v>1.58550443178633</v>
      </c>
    </row>
    <row r="523" spans="1:36">
      <c r="A523" s="1" t="s">
        <v>543</v>
      </c>
      <c r="B523" s="1">
        <v>186742056</v>
      </c>
      <c r="C523" s="2">
        <v>0.00662983</v>
      </c>
      <c r="E523">
        <v>7.578009</v>
      </c>
      <c r="F523">
        <v>24642.62716</v>
      </c>
      <c r="G523" s="3">
        <f t="shared" si="88"/>
        <v>24.64262716</v>
      </c>
      <c r="I523" t="s">
        <v>543</v>
      </c>
      <c r="J523">
        <v>3.04381</v>
      </c>
      <c r="K523" s="5">
        <f t="shared" si="89"/>
        <v>61.3514168098534</v>
      </c>
      <c r="L523">
        <f t="shared" si="90"/>
        <v>2.48964594608806</v>
      </c>
      <c r="O523">
        <v>0.004032</v>
      </c>
      <c r="P523" s="6">
        <f t="shared" si="91"/>
        <v>46.3149940476191</v>
      </c>
      <c r="Q523" s="4">
        <f t="shared" si="92"/>
        <v>1.32465561253823</v>
      </c>
      <c r="T523">
        <v>26.711</v>
      </c>
      <c r="U523" s="7">
        <f t="shared" si="93"/>
        <v>6.9912042229793</v>
      </c>
      <c r="V523">
        <f t="shared" si="94"/>
        <v>8.77551489744761</v>
      </c>
      <c r="Y523">
        <v>0.010927044</v>
      </c>
      <c r="Z523" s="8">
        <v>10.2539381739471</v>
      </c>
      <c r="AA523">
        <f t="shared" si="95"/>
        <v>5.9832052591982</v>
      </c>
      <c r="AD523" s="9">
        <v>3.36222</v>
      </c>
      <c r="AE523">
        <f t="shared" si="96"/>
        <v>18.2472939932109</v>
      </c>
      <c r="AH523">
        <v>3.6276</v>
      </c>
      <c r="AI523" s="10">
        <f t="shared" si="97"/>
        <v>51.4781276877274</v>
      </c>
      <c r="AJ523">
        <f t="shared" si="98"/>
        <v>1.19179580854258</v>
      </c>
    </row>
    <row r="524" spans="1:36">
      <c r="A524" s="1" t="s">
        <v>544</v>
      </c>
      <c r="B524" s="1">
        <v>187790122</v>
      </c>
      <c r="C524" s="2">
        <v>0.189501</v>
      </c>
      <c r="E524">
        <v>18.525203</v>
      </c>
      <c r="F524">
        <v>10137.007518</v>
      </c>
      <c r="G524" s="3">
        <f t="shared" si="88"/>
        <v>10.137007518</v>
      </c>
      <c r="I524" t="s">
        <v>544</v>
      </c>
      <c r="J524">
        <v>30.4506</v>
      </c>
      <c r="K524" s="5">
        <f t="shared" si="89"/>
        <v>6.16704176600789</v>
      </c>
      <c r="L524">
        <f t="shared" si="90"/>
        <v>0.608369063064938</v>
      </c>
      <c r="O524">
        <v>0.0515376</v>
      </c>
      <c r="P524" s="6">
        <f t="shared" si="91"/>
        <v>3.64374984477352</v>
      </c>
      <c r="Q524" s="4">
        <f t="shared" si="92"/>
        <v>1.69249866997695</v>
      </c>
      <c r="T524">
        <v>90.671</v>
      </c>
      <c r="U524" s="7">
        <f t="shared" si="93"/>
        <v>2.07111559374</v>
      </c>
      <c r="V524">
        <f t="shared" si="94"/>
        <v>2.97764247666713</v>
      </c>
      <c r="Y524">
        <v>0.002141694</v>
      </c>
      <c r="Z524" s="8">
        <v>34.196363990374</v>
      </c>
      <c r="AA524">
        <f t="shared" si="95"/>
        <v>0.180342031911459</v>
      </c>
      <c r="AD524" s="9">
        <v>2.135118</v>
      </c>
      <c r="AE524">
        <f t="shared" si="96"/>
        <v>2.8883845136465</v>
      </c>
      <c r="AH524">
        <v>117.4773</v>
      </c>
      <c r="AI524" s="10">
        <f t="shared" si="97"/>
        <v>1.59852262522206</v>
      </c>
      <c r="AJ524">
        <f t="shared" si="98"/>
        <v>3.85796338988394</v>
      </c>
    </row>
    <row r="525" spans="1:36">
      <c r="A525" s="1" t="s">
        <v>545</v>
      </c>
      <c r="B525" s="1">
        <v>188564658</v>
      </c>
      <c r="C525" s="2">
        <v>0.572002</v>
      </c>
      <c r="E525">
        <v>13.031674</v>
      </c>
      <c r="F525">
        <v>14469.719178</v>
      </c>
      <c r="G525" s="3">
        <f t="shared" si="88"/>
        <v>14.469719178</v>
      </c>
      <c r="I525" t="s">
        <v>545</v>
      </c>
      <c r="J525">
        <v>9.73773</v>
      </c>
      <c r="K525" s="5">
        <f t="shared" si="89"/>
        <v>19.3643341928766</v>
      </c>
      <c r="L525">
        <f t="shared" si="90"/>
        <v>1.33826606823983</v>
      </c>
      <c r="O525">
        <v>0.019688</v>
      </c>
      <c r="P525" s="6">
        <f t="shared" si="91"/>
        <v>9.57764414872003</v>
      </c>
      <c r="Q525" s="4">
        <f t="shared" si="92"/>
        <v>2.02182644209687</v>
      </c>
      <c r="T525">
        <v>77.694</v>
      </c>
      <c r="U525" s="7">
        <f t="shared" si="93"/>
        <v>2.42701698972894</v>
      </c>
      <c r="V525">
        <f t="shared" si="94"/>
        <v>7.97865621659257</v>
      </c>
      <c r="Y525">
        <v>0.012517038</v>
      </c>
      <c r="Z525" s="8">
        <v>9.03878336072799</v>
      </c>
      <c r="AA525">
        <f t="shared" si="95"/>
        <v>2.14236069391943</v>
      </c>
      <c r="AD525" s="9">
        <v>3.38118</v>
      </c>
      <c r="AE525">
        <f t="shared" si="96"/>
        <v>5.72709355694656</v>
      </c>
      <c r="AH525">
        <v>15.9341</v>
      </c>
      <c r="AI525" s="10">
        <f t="shared" si="97"/>
        <v>11.8340325465511</v>
      </c>
      <c r="AJ525">
        <f t="shared" si="98"/>
        <v>1.63632591990125</v>
      </c>
    </row>
    <row r="526" spans="1:36">
      <c r="A526" s="1" t="s">
        <v>546</v>
      </c>
      <c r="B526" s="1">
        <v>191801712</v>
      </c>
      <c r="C526" s="2">
        <v>0.071976</v>
      </c>
      <c r="E526">
        <v>107.773268</v>
      </c>
      <c r="F526">
        <v>1779.677975</v>
      </c>
      <c r="G526" s="3">
        <f t="shared" si="88"/>
        <v>1.779677975</v>
      </c>
      <c r="I526" t="s">
        <v>546</v>
      </c>
      <c r="J526">
        <v>157.665</v>
      </c>
      <c r="K526" s="5">
        <f t="shared" si="89"/>
        <v>1.21651420416706</v>
      </c>
      <c r="L526">
        <f t="shared" si="90"/>
        <v>0.683558610746454</v>
      </c>
      <c r="O526">
        <v>0.139368</v>
      </c>
      <c r="P526" s="6">
        <f t="shared" si="91"/>
        <v>1.37622490098157</v>
      </c>
      <c r="Q526" s="4">
        <f t="shared" si="92"/>
        <v>0.883950147464561</v>
      </c>
      <c r="T526">
        <v>620.27</v>
      </c>
      <c r="U526" s="7">
        <f t="shared" si="93"/>
        <v>0.309222938397795</v>
      </c>
      <c r="V526">
        <f t="shared" si="94"/>
        <v>3.93410078330638</v>
      </c>
      <c r="Y526">
        <v>0.3679524</v>
      </c>
      <c r="Z526" s="8">
        <v>0.312760637517244</v>
      </c>
      <c r="AA526">
        <f t="shared" si="95"/>
        <v>3.88960136999334</v>
      </c>
      <c r="AD526" s="9">
        <v>1.06215</v>
      </c>
      <c r="AE526">
        <f t="shared" si="96"/>
        <v>1.145331830878</v>
      </c>
      <c r="AH526">
        <v>149.6203</v>
      </c>
      <c r="AI526" s="10">
        <f t="shared" si="97"/>
        <v>1.28192305455877</v>
      </c>
      <c r="AJ526">
        <f t="shared" si="98"/>
        <v>0.948975993403736</v>
      </c>
    </row>
    <row r="527" spans="1:36">
      <c r="A527" s="1" t="s">
        <v>547</v>
      </c>
      <c r="B527" s="1">
        <v>192762986</v>
      </c>
      <c r="C527" s="2">
        <v>0.492909</v>
      </c>
      <c r="E527">
        <v>19.015193</v>
      </c>
      <c r="F527">
        <v>10137.314145</v>
      </c>
      <c r="G527" s="3">
        <f t="shared" si="88"/>
        <v>10.137314145</v>
      </c>
      <c r="I527" t="s">
        <v>547</v>
      </c>
      <c r="J527">
        <v>17.017</v>
      </c>
      <c r="K527" s="5">
        <f t="shared" si="89"/>
        <v>11.3276715049656</v>
      </c>
      <c r="L527">
        <f t="shared" si="90"/>
        <v>1.11742334734223</v>
      </c>
      <c r="O527">
        <v>0.0253008</v>
      </c>
      <c r="P527" s="6">
        <f t="shared" si="91"/>
        <v>7.61884944349586</v>
      </c>
      <c r="Q527" s="4">
        <f t="shared" si="92"/>
        <v>1.48679555738379</v>
      </c>
      <c r="T527">
        <v>167.475</v>
      </c>
      <c r="U527" s="7">
        <f t="shared" si="93"/>
        <v>1.1509955874011</v>
      </c>
      <c r="V527">
        <f t="shared" si="94"/>
        <v>9.84162895927602</v>
      </c>
      <c r="Y527">
        <v>0.07808994</v>
      </c>
      <c r="Z527" s="8">
        <v>1.48108439576212</v>
      </c>
      <c r="AA527">
        <f t="shared" si="95"/>
        <v>7.64822824234588</v>
      </c>
      <c r="AD527" s="9">
        <v>2.863125</v>
      </c>
      <c r="AE527">
        <f t="shared" si="96"/>
        <v>3.95640131149203</v>
      </c>
      <c r="AH527">
        <v>30.8862</v>
      </c>
      <c r="AI527" s="10">
        <f t="shared" si="97"/>
        <v>6.24107161126976</v>
      </c>
      <c r="AJ527">
        <f t="shared" si="98"/>
        <v>1.8150202738438</v>
      </c>
    </row>
    <row r="528" spans="1:36">
      <c r="A528" s="1" t="s">
        <v>548</v>
      </c>
      <c r="B528" s="1">
        <v>194704526</v>
      </c>
      <c r="C528" s="2">
        <v>0.259485</v>
      </c>
      <c r="E528">
        <v>220.460378</v>
      </c>
      <c r="F528">
        <v>883.172422</v>
      </c>
      <c r="G528" s="3">
        <f t="shared" si="88"/>
        <v>0.883172422</v>
      </c>
      <c r="I528" t="s">
        <v>548</v>
      </c>
      <c r="J528">
        <v>175.978</v>
      </c>
      <c r="K528" s="5">
        <f t="shared" si="89"/>
        <v>1.1064140176613</v>
      </c>
      <c r="L528">
        <f t="shared" si="90"/>
        <v>1.25277238068163</v>
      </c>
      <c r="O528">
        <v>0.1149488</v>
      </c>
      <c r="P528" s="6">
        <f t="shared" si="91"/>
        <v>1.69383696045544</v>
      </c>
      <c r="Q528" s="4">
        <f t="shared" si="92"/>
        <v>0.653199831797157</v>
      </c>
      <c r="T528">
        <v>249.529</v>
      </c>
      <c r="U528" s="7">
        <f t="shared" si="93"/>
        <v>0.780288166906452</v>
      </c>
      <c r="V528">
        <f t="shared" si="94"/>
        <v>1.4179556535476</v>
      </c>
      <c r="Y528">
        <v>0.7708716</v>
      </c>
      <c r="Z528" s="8">
        <v>0.151546269962468</v>
      </c>
      <c r="AA528">
        <f t="shared" si="95"/>
        <v>7.30083305867781</v>
      </c>
      <c r="AD528" s="9">
        <v>0.871101</v>
      </c>
      <c r="AE528">
        <f t="shared" si="96"/>
        <v>1.27013287513308</v>
      </c>
      <c r="AH528">
        <v>240.1027</v>
      </c>
      <c r="AI528" s="10">
        <f t="shared" si="97"/>
        <v>0.810921851357773</v>
      </c>
      <c r="AJ528">
        <f t="shared" si="98"/>
        <v>1.36439043516803</v>
      </c>
    </row>
    <row r="529" spans="1:36">
      <c r="A529" s="1" t="s">
        <v>549</v>
      </c>
      <c r="B529" s="1">
        <v>194811630</v>
      </c>
      <c r="C529" s="2">
        <v>0.184325</v>
      </c>
      <c r="E529">
        <v>15.897313</v>
      </c>
      <c r="F529">
        <v>12254.374404</v>
      </c>
      <c r="G529" s="3">
        <f t="shared" si="88"/>
        <v>12.254374404</v>
      </c>
      <c r="I529" t="s">
        <v>549</v>
      </c>
      <c r="J529">
        <v>31.3038</v>
      </c>
      <c r="K529" s="5">
        <f t="shared" si="89"/>
        <v>6.22325819868514</v>
      </c>
      <c r="L529">
        <f t="shared" si="90"/>
        <v>0.507839730819207</v>
      </c>
      <c r="O529">
        <v>0.0518864</v>
      </c>
      <c r="P529" s="6">
        <f t="shared" si="91"/>
        <v>3.75457981282186</v>
      </c>
      <c r="Q529" s="4">
        <f t="shared" si="92"/>
        <v>1.65751122866872</v>
      </c>
      <c r="T529">
        <v>85.846</v>
      </c>
      <c r="U529" s="7">
        <f t="shared" si="93"/>
        <v>2.2693151690236</v>
      </c>
      <c r="V529">
        <f t="shared" si="94"/>
        <v>2.74235076891623</v>
      </c>
      <c r="Y529">
        <v>0.002391894</v>
      </c>
      <c r="Z529" s="8">
        <v>31.7641733705591</v>
      </c>
      <c r="AA529">
        <f t="shared" si="95"/>
        <v>0.195920672201507</v>
      </c>
      <c r="AD529" s="9">
        <v>2.136888</v>
      </c>
      <c r="AE529">
        <f t="shared" si="96"/>
        <v>2.91229966132298</v>
      </c>
      <c r="AH529">
        <v>121.3262</v>
      </c>
      <c r="AI529" s="10">
        <f t="shared" si="97"/>
        <v>1.60568475729068</v>
      </c>
      <c r="AJ529">
        <f t="shared" si="98"/>
        <v>3.87576588145848</v>
      </c>
    </row>
    <row r="530" spans="1:36">
      <c r="A530" s="1" t="s">
        <v>550</v>
      </c>
      <c r="B530" s="1">
        <v>195901372</v>
      </c>
      <c r="C530" s="2">
        <v>0.106111</v>
      </c>
      <c r="E530">
        <v>21.052334</v>
      </c>
      <c r="F530">
        <v>9305.446799</v>
      </c>
      <c r="G530" s="3">
        <f t="shared" si="88"/>
        <v>9.305446799</v>
      </c>
      <c r="I530" t="s">
        <v>550</v>
      </c>
      <c r="J530">
        <v>18.0096</v>
      </c>
      <c r="K530" s="5">
        <f t="shared" si="89"/>
        <v>10.8776081645345</v>
      </c>
      <c r="L530">
        <f t="shared" si="90"/>
        <v>1.16895065862968</v>
      </c>
      <c r="O530">
        <v>0.0213776</v>
      </c>
      <c r="P530" s="6">
        <f t="shared" si="91"/>
        <v>9.16386179926652</v>
      </c>
      <c r="Q530" s="4">
        <f t="shared" si="92"/>
        <v>1.18701137171286</v>
      </c>
      <c r="T530">
        <v>93.114</v>
      </c>
      <c r="U530" s="7">
        <f t="shared" si="93"/>
        <v>2.10388740683463</v>
      </c>
      <c r="V530">
        <f t="shared" si="94"/>
        <v>5.17024253731343</v>
      </c>
      <c r="Y530">
        <v>0.0017816598</v>
      </c>
      <c r="Z530" s="8">
        <v>42.8822242495453</v>
      </c>
      <c r="AA530">
        <f t="shared" si="95"/>
        <v>0.253662405691324</v>
      </c>
      <c r="AD530" s="9">
        <v>3.01149</v>
      </c>
      <c r="AE530">
        <f t="shared" si="96"/>
        <v>3.61203529300594</v>
      </c>
      <c r="AH530">
        <v>49.7956</v>
      </c>
      <c r="AI530" s="10">
        <f t="shared" si="97"/>
        <v>3.93411008201528</v>
      </c>
      <c r="AJ530">
        <f t="shared" si="98"/>
        <v>2.76494758351102</v>
      </c>
    </row>
    <row r="531" spans="1:36">
      <c r="A531" s="1" t="s">
        <v>551</v>
      </c>
      <c r="B531" s="1">
        <v>199397162</v>
      </c>
      <c r="C531" s="2">
        <v>0.643454</v>
      </c>
      <c r="E531">
        <v>27.700441</v>
      </c>
      <c r="F531">
        <v>7198.338772</v>
      </c>
      <c r="G531" s="3">
        <f t="shared" si="88"/>
        <v>7.198338772</v>
      </c>
      <c r="I531" t="s">
        <v>551</v>
      </c>
      <c r="J531">
        <v>25.2479</v>
      </c>
      <c r="K531" s="5">
        <f t="shared" si="89"/>
        <v>7.89757413487854</v>
      </c>
      <c r="L531">
        <f t="shared" si="90"/>
        <v>1.09713843499537</v>
      </c>
      <c r="O531">
        <v>0.021936</v>
      </c>
      <c r="P531" s="6">
        <f t="shared" si="91"/>
        <v>9.08995085703866</v>
      </c>
      <c r="Q531" s="4">
        <f t="shared" si="92"/>
        <v>0.868824733938268</v>
      </c>
      <c r="T531">
        <v>124.607</v>
      </c>
      <c r="U531" s="7">
        <f t="shared" si="93"/>
        <v>1.60020835105572</v>
      </c>
      <c r="V531">
        <f t="shared" si="94"/>
        <v>4.93534115708633</v>
      </c>
      <c r="Y531">
        <v>0.02022516</v>
      </c>
      <c r="Z531" s="8">
        <v>5.91532018535329</v>
      </c>
      <c r="AA531">
        <f t="shared" si="95"/>
        <v>1.33510509784972</v>
      </c>
      <c r="AD531" s="9">
        <v>3.01773</v>
      </c>
      <c r="AE531">
        <f t="shared" si="96"/>
        <v>2.61705789944049</v>
      </c>
      <c r="AH531">
        <v>25.343</v>
      </c>
      <c r="AI531" s="10">
        <f t="shared" si="97"/>
        <v>7.86793836562364</v>
      </c>
      <c r="AJ531">
        <f t="shared" si="98"/>
        <v>1.0037666498996</v>
      </c>
    </row>
    <row r="532" spans="1:36">
      <c r="A532" s="1" t="s">
        <v>552</v>
      </c>
      <c r="B532" s="1">
        <v>199397162</v>
      </c>
      <c r="C532" s="2">
        <v>0.663897</v>
      </c>
      <c r="E532">
        <v>28.537606</v>
      </c>
      <c r="F532">
        <v>6987.17203</v>
      </c>
      <c r="G532" s="3">
        <f t="shared" si="88"/>
        <v>6.98717203</v>
      </c>
      <c r="I532" t="s">
        <v>552</v>
      </c>
      <c r="J532">
        <v>25.1234</v>
      </c>
      <c r="K532" s="5">
        <f t="shared" si="89"/>
        <v>7.93671087512041</v>
      </c>
      <c r="L532">
        <f t="shared" si="90"/>
        <v>1.13589744764312</v>
      </c>
      <c r="O532">
        <v>0.0217056</v>
      </c>
      <c r="P532" s="6">
        <f t="shared" si="91"/>
        <v>9.18643861491965</v>
      </c>
      <c r="Q532" s="4">
        <f t="shared" si="92"/>
        <v>0.863959495928099</v>
      </c>
      <c r="T532">
        <v>122.859</v>
      </c>
      <c r="U532" s="7">
        <f t="shared" si="93"/>
        <v>1.62297562246152</v>
      </c>
      <c r="V532">
        <f t="shared" si="94"/>
        <v>4.89022186487498</v>
      </c>
      <c r="Y532">
        <v>0.06064866</v>
      </c>
      <c r="Z532" s="8">
        <v>1.97264535110916</v>
      </c>
      <c r="AA532">
        <f t="shared" si="95"/>
        <v>4.023384573744</v>
      </c>
      <c r="AD532" s="9">
        <v>3.11913</v>
      </c>
      <c r="AE532">
        <f t="shared" si="96"/>
        <v>2.54452711978033</v>
      </c>
      <c r="AH532">
        <v>25.4282</v>
      </c>
      <c r="AI532" s="10">
        <f t="shared" si="97"/>
        <v>7.84157596683997</v>
      </c>
      <c r="AJ532">
        <f t="shared" si="98"/>
        <v>1.01213211587604</v>
      </c>
    </row>
    <row r="533" spans="1:36">
      <c r="A533" s="1" t="s">
        <v>553</v>
      </c>
      <c r="B533" s="1">
        <v>200939936</v>
      </c>
      <c r="C533" s="2">
        <v>0.129126</v>
      </c>
      <c r="E533">
        <v>32.062468</v>
      </c>
      <c r="F533">
        <v>6267.138766</v>
      </c>
      <c r="G533" s="3">
        <f t="shared" si="88"/>
        <v>6.267138766</v>
      </c>
      <c r="I533" t="s">
        <v>553</v>
      </c>
      <c r="J533">
        <v>68.3212</v>
      </c>
      <c r="K533" s="5">
        <f t="shared" si="89"/>
        <v>2.94110665503533</v>
      </c>
      <c r="L533">
        <f t="shared" si="90"/>
        <v>0.469290176083414</v>
      </c>
      <c r="O533">
        <v>0.1000064</v>
      </c>
      <c r="P533" s="6">
        <f t="shared" si="91"/>
        <v>2.00927076667093</v>
      </c>
      <c r="Q533" s="4">
        <f t="shared" si="92"/>
        <v>1.46376820079273</v>
      </c>
      <c r="T533">
        <v>95.175</v>
      </c>
      <c r="U533" s="7">
        <f t="shared" si="93"/>
        <v>2.11126804307854</v>
      </c>
      <c r="V533">
        <f t="shared" si="94"/>
        <v>1.39305222976177</v>
      </c>
      <c r="Y533">
        <v>0.001940544</v>
      </c>
      <c r="Z533" s="8">
        <v>40.3838176511329</v>
      </c>
      <c r="AA533">
        <f t="shared" si="95"/>
        <v>0.0728288415038647</v>
      </c>
      <c r="AD533" s="9">
        <v>1.206435</v>
      </c>
      <c r="AE533">
        <f t="shared" si="96"/>
        <v>2.43784924594805</v>
      </c>
      <c r="AH533">
        <v>256.0085</v>
      </c>
      <c r="AI533" s="10">
        <f t="shared" si="97"/>
        <v>0.784895564014476</v>
      </c>
      <c r="AJ533">
        <f t="shared" si="98"/>
        <v>3.74713119792978</v>
      </c>
    </row>
    <row r="534" spans="1:36">
      <c r="A534" s="1" t="s">
        <v>554</v>
      </c>
      <c r="B534" s="1">
        <v>201068708</v>
      </c>
      <c r="C534" s="2">
        <v>1</v>
      </c>
      <c r="E534">
        <v>9.901221</v>
      </c>
      <c r="F534">
        <v>20307.465529</v>
      </c>
      <c r="G534" s="3">
        <f t="shared" si="88"/>
        <v>20.307465529</v>
      </c>
      <c r="I534" t="s">
        <v>554</v>
      </c>
      <c r="J534">
        <v>4.0049</v>
      </c>
      <c r="K534" s="5">
        <f t="shared" si="89"/>
        <v>50.2056750480661</v>
      </c>
      <c r="L534">
        <f t="shared" si="90"/>
        <v>2.47227675833649</v>
      </c>
      <c r="O534">
        <v>0.0121552</v>
      </c>
      <c r="P534" s="6">
        <f t="shared" si="91"/>
        <v>16.5417852441753</v>
      </c>
      <c r="Q534" s="4">
        <f t="shared" si="92"/>
        <v>3.03508202451996</v>
      </c>
      <c r="T534">
        <v>37.638</v>
      </c>
      <c r="U534" s="7">
        <f t="shared" si="93"/>
        <v>5.34217301663213</v>
      </c>
      <c r="V534">
        <f t="shared" si="94"/>
        <v>9.39798746535494</v>
      </c>
      <c r="Y534">
        <v>0.010249146</v>
      </c>
      <c r="Z534" s="8">
        <v>11.7708563035398</v>
      </c>
      <c r="AA534">
        <f t="shared" si="95"/>
        <v>4.26525256560714</v>
      </c>
      <c r="AD534" s="9">
        <v>3.84246</v>
      </c>
      <c r="AE534">
        <f t="shared" si="96"/>
        <v>13.066024122064</v>
      </c>
      <c r="AH534">
        <v>10.0494</v>
      </c>
      <c r="AI534" s="10">
        <f t="shared" si="97"/>
        <v>20.0080311262364</v>
      </c>
      <c r="AJ534">
        <f t="shared" si="98"/>
        <v>2.5092761367325</v>
      </c>
    </row>
    <row r="535" spans="1:36">
      <c r="A535" s="1" t="s">
        <v>555</v>
      </c>
      <c r="B535" s="1">
        <v>201720030</v>
      </c>
      <c r="C535" s="2">
        <v>0.346558</v>
      </c>
      <c r="E535">
        <v>39.188644</v>
      </c>
      <c r="F535">
        <v>5147.41036</v>
      </c>
      <c r="G535" s="3">
        <f t="shared" si="88"/>
        <v>5.14741036</v>
      </c>
      <c r="I535" t="s">
        <v>555</v>
      </c>
      <c r="J535">
        <v>98.4379</v>
      </c>
      <c r="K535" s="5">
        <f t="shared" si="89"/>
        <v>2.04921102542821</v>
      </c>
      <c r="L535">
        <f t="shared" si="90"/>
        <v>0.39810523780121</v>
      </c>
      <c r="O535">
        <v>0.0910736</v>
      </c>
      <c r="P535" s="6">
        <f t="shared" si="91"/>
        <v>2.21491222483793</v>
      </c>
      <c r="Q535" s="4">
        <f t="shared" si="92"/>
        <v>0.925188367488539</v>
      </c>
      <c r="T535">
        <v>95.639</v>
      </c>
      <c r="U535" s="7">
        <f t="shared" si="93"/>
        <v>2.10918171457251</v>
      </c>
      <c r="V535">
        <f t="shared" si="94"/>
        <v>0.971566845696627</v>
      </c>
      <c r="Y535">
        <v>0.002576376</v>
      </c>
      <c r="Z535" s="8">
        <v>30.5354543358578</v>
      </c>
      <c r="AA535">
        <f t="shared" si="95"/>
        <v>0.0671092364596594</v>
      </c>
      <c r="AD535" s="9">
        <v>1.176042</v>
      </c>
      <c r="AE535">
        <f t="shared" si="96"/>
        <v>1.7424641513043</v>
      </c>
      <c r="AH535">
        <v>260.129</v>
      </c>
      <c r="AI535" s="10">
        <f t="shared" si="97"/>
        <v>0.775461521014574</v>
      </c>
      <c r="AJ535">
        <f t="shared" si="98"/>
        <v>2.6425695793998</v>
      </c>
    </row>
    <row r="536" spans="1:36">
      <c r="A536" s="1" t="s">
        <v>556</v>
      </c>
      <c r="B536" s="1">
        <v>202252606</v>
      </c>
      <c r="C536" s="2">
        <v>0.187748</v>
      </c>
      <c r="E536">
        <v>18.192688</v>
      </c>
      <c r="F536">
        <v>11117.246865</v>
      </c>
      <c r="G536" s="3">
        <f t="shared" si="88"/>
        <v>11.117246865</v>
      </c>
      <c r="I536" t="s">
        <v>556</v>
      </c>
      <c r="J536">
        <v>33.6435</v>
      </c>
      <c r="K536" s="5">
        <f t="shared" si="89"/>
        <v>6.01163987100034</v>
      </c>
      <c r="L536">
        <f t="shared" si="90"/>
        <v>0.540748977152478</v>
      </c>
      <c r="O536">
        <v>0.0529088</v>
      </c>
      <c r="P536" s="6">
        <f t="shared" si="91"/>
        <v>3.82266477410185</v>
      </c>
      <c r="Q536" s="4">
        <f t="shared" si="92"/>
        <v>1.57263067160075</v>
      </c>
      <c r="T536">
        <v>87.672</v>
      </c>
      <c r="U536" s="7">
        <f t="shared" si="93"/>
        <v>2.30692360160599</v>
      </c>
      <c r="V536">
        <f t="shared" si="94"/>
        <v>2.60591198894289</v>
      </c>
      <c r="Y536">
        <v>0.002142792</v>
      </c>
      <c r="Z536" s="8">
        <v>36.8110933492378</v>
      </c>
      <c r="AA536">
        <f t="shared" si="95"/>
        <v>0.163310549185978</v>
      </c>
      <c r="AD536" s="9">
        <v>2.125623</v>
      </c>
      <c r="AE536">
        <f t="shared" si="96"/>
        <v>2.82817784291962</v>
      </c>
      <c r="AH536">
        <v>127.077</v>
      </c>
      <c r="AI536" s="10">
        <f t="shared" si="97"/>
        <v>1.5915752339133</v>
      </c>
      <c r="AJ536">
        <f t="shared" si="98"/>
        <v>3.7771634936912</v>
      </c>
    </row>
    <row r="537" spans="1:36">
      <c r="A537" s="1" t="s">
        <v>557</v>
      </c>
      <c r="B537" s="1">
        <v>207047594</v>
      </c>
      <c r="C537" s="2">
        <v>0.187679</v>
      </c>
      <c r="E537">
        <v>16.039513</v>
      </c>
      <c r="F537">
        <v>12908.595643</v>
      </c>
      <c r="G537" s="3">
        <f t="shared" si="88"/>
        <v>12.908595643</v>
      </c>
      <c r="I537" t="s">
        <v>557</v>
      </c>
      <c r="J537">
        <v>34.0699</v>
      </c>
      <c r="K537" s="5">
        <f t="shared" si="89"/>
        <v>6.07714123023549</v>
      </c>
      <c r="L537">
        <f t="shared" si="90"/>
        <v>0.470782523390216</v>
      </c>
      <c r="O537">
        <v>0.0533376</v>
      </c>
      <c r="P537" s="6">
        <f t="shared" si="91"/>
        <v>3.88183184095272</v>
      </c>
      <c r="Q537" s="4">
        <f t="shared" si="92"/>
        <v>1.56553438665802</v>
      </c>
      <c r="T537">
        <v>96.01</v>
      </c>
      <c r="U537" s="7">
        <f t="shared" si="93"/>
        <v>2.15652113321529</v>
      </c>
      <c r="V537">
        <f t="shared" si="94"/>
        <v>2.81802999128263</v>
      </c>
      <c r="Y537">
        <v>0.002395566</v>
      </c>
      <c r="Z537" s="8">
        <v>33.7075086472258</v>
      </c>
      <c r="AA537">
        <f t="shared" si="95"/>
        <v>0.180290430059287</v>
      </c>
      <c r="AD537" s="9">
        <v>2.117886</v>
      </c>
      <c r="AE537">
        <f t="shared" si="96"/>
        <v>2.86943736831703</v>
      </c>
      <c r="AH537">
        <v>129.7377</v>
      </c>
      <c r="AI537" s="10">
        <f t="shared" si="97"/>
        <v>1.59589382268994</v>
      </c>
      <c r="AJ537">
        <f t="shared" si="98"/>
        <v>3.80798593479875</v>
      </c>
    </row>
    <row r="538" spans="1:36">
      <c r="A538" s="1" t="s">
        <v>558</v>
      </c>
      <c r="B538" s="1">
        <v>209498722</v>
      </c>
      <c r="C538" s="2">
        <v>0.191484</v>
      </c>
      <c r="E538">
        <v>17.626148</v>
      </c>
      <c r="F538">
        <v>11885.678222</v>
      </c>
      <c r="G538" s="3">
        <f t="shared" si="88"/>
        <v>11.885678222</v>
      </c>
      <c r="I538" t="s">
        <v>558</v>
      </c>
      <c r="J538">
        <v>37.7228</v>
      </c>
      <c r="K538" s="5">
        <f t="shared" si="89"/>
        <v>5.55363658052955</v>
      </c>
      <c r="L538">
        <f t="shared" si="90"/>
        <v>0.467254495435519</v>
      </c>
      <c r="O538">
        <v>0.0566224</v>
      </c>
      <c r="P538" s="6">
        <f t="shared" si="91"/>
        <v>3.69992656616463</v>
      </c>
      <c r="Q538" s="4">
        <f t="shared" si="92"/>
        <v>1.50101265017443</v>
      </c>
      <c r="T538">
        <v>102.804</v>
      </c>
      <c r="U538" s="7">
        <f t="shared" si="93"/>
        <v>2.03784601766468</v>
      </c>
      <c r="V538">
        <f t="shared" si="94"/>
        <v>2.72524839089357</v>
      </c>
      <c r="Y538">
        <v>0.001962432</v>
      </c>
      <c r="Z538" s="8">
        <v>41.6343096627042</v>
      </c>
      <c r="AA538">
        <f t="shared" si="95"/>
        <v>0.133390865022663</v>
      </c>
      <c r="AD538" s="9">
        <v>2.129211</v>
      </c>
      <c r="AE538">
        <f t="shared" si="96"/>
        <v>2.60830729341974</v>
      </c>
      <c r="AH538">
        <v>131.1303</v>
      </c>
      <c r="AI538" s="10">
        <f t="shared" si="97"/>
        <v>1.59763778470727</v>
      </c>
      <c r="AJ538">
        <f t="shared" si="98"/>
        <v>3.47615500440052</v>
      </c>
    </row>
    <row r="539" spans="1:36">
      <c r="A539" s="1" t="s">
        <v>559</v>
      </c>
      <c r="B539" s="1">
        <v>210794496</v>
      </c>
      <c r="C539" s="2">
        <v>0</v>
      </c>
      <c r="E539">
        <v>9.639782</v>
      </c>
      <c r="F539">
        <v>21867.143749</v>
      </c>
      <c r="G539" s="3">
        <f t="shared" si="88"/>
        <v>21.867143749</v>
      </c>
      <c r="I539" t="s">
        <v>559</v>
      </c>
      <c r="J539">
        <v>6.10082</v>
      </c>
      <c r="K539" s="5">
        <f t="shared" si="89"/>
        <v>34.5518300818579</v>
      </c>
      <c r="L539">
        <f t="shared" si="90"/>
        <v>1.58007970672612</v>
      </c>
      <c r="O539">
        <v>0.0145856</v>
      </c>
      <c r="P539" s="6">
        <f t="shared" si="91"/>
        <v>14.4522334357174</v>
      </c>
      <c r="Q539" s="4">
        <f t="shared" si="92"/>
        <v>2.39076058628184</v>
      </c>
      <c r="T539">
        <v>211.236</v>
      </c>
      <c r="U539" s="7">
        <f t="shared" si="93"/>
        <v>0.997909901721298</v>
      </c>
      <c r="V539">
        <f t="shared" si="94"/>
        <v>34.6241980586216</v>
      </c>
      <c r="Y539">
        <v>0.03088404</v>
      </c>
      <c r="Z539" s="8">
        <v>4.09521220669316</v>
      </c>
      <c r="AA539">
        <f t="shared" si="95"/>
        <v>8.43712812376042</v>
      </c>
      <c r="AD539" s="9">
        <v>3.70077</v>
      </c>
      <c r="AE539">
        <f t="shared" si="96"/>
        <v>9.33638947620572</v>
      </c>
      <c r="AH539">
        <v>12.0299</v>
      </c>
      <c r="AI539" s="10">
        <f t="shared" si="97"/>
        <v>17.5225476521002</v>
      </c>
      <c r="AJ539">
        <f t="shared" si="98"/>
        <v>1.97184968577994</v>
      </c>
    </row>
    <row r="540" spans="1:36">
      <c r="A540" s="1" t="s">
        <v>560</v>
      </c>
      <c r="B540" s="1">
        <v>211513862</v>
      </c>
      <c r="C540" s="2">
        <v>0.23386</v>
      </c>
      <c r="E540">
        <v>27.879045</v>
      </c>
      <c r="F540">
        <v>7586.840271</v>
      </c>
      <c r="G540" s="3">
        <f t="shared" si="88"/>
        <v>7.586840271</v>
      </c>
      <c r="I540" t="s">
        <v>560</v>
      </c>
      <c r="J540">
        <v>40.7586</v>
      </c>
      <c r="K540" s="5">
        <f t="shared" si="89"/>
        <v>5.18942902847497</v>
      </c>
      <c r="L540">
        <f t="shared" si="90"/>
        <v>0.684003991531374</v>
      </c>
      <c r="O540">
        <v>0.0558192</v>
      </c>
      <c r="P540" s="6">
        <f t="shared" si="91"/>
        <v>3.78926716971938</v>
      </c>
      <c r="Q540" s="4">
        <f t="shared" si="92"/>
        <v>1.36950729416614</v>
      </c>
      <c r="T540">
        <v>126.008</v>
      </c>
      <c r="U540" s="7">
        <f t="shared" si="93"/>
        <v>1.67857486826233</v>
      </c>
      <c r="V540">
        <f t="shared" si="94"/>
        <v>3.09156840519547</v>
      </c>
      <c r="Y540">
        <v>0.002271906</v>
      </c>
      <c r="Z540" s="8">
        <v>36.3088993030522</v>
      </c>
      <c r="AA540">
        <f t="shared" si="95"/>
        <v>0.142924438032709</v>
      </c>
      <c r="AD540" s="9">
        <v>2.13855</v>
      </c>
      <c r="AE540">
        <f t="shared" si="96"/>
        <v>2.4266110348016</v>
      </c>
      <c r="AH540">
        <v>136.664</v>
      </c>
      <c r="AI540" s="10">
        <f t="shared" si="97"/>
        <v>1.54769260375812</v>
      </c>
      <c r="AJ540">
        <f t="shared" si="98"/>
        <v>3.3530101622725</v>
      </c>
    </row>
    <row r="541" spans="1:36">
      <c r="A541" s="1" t="s">
        <v>561</v>
      </c>
      <c r="B541" s="1">
        <v>211926086</v>
      </c>
      <c r="C541" s="2">
        <v>0.244262</v>
      </c>
      <c r="E541">
        <v>23.051483</v>
      </c>
      <c r="F541">
        <v>9193.598642</v>
      </c>
      <c r="G541" s="3">
        <f t="shared" si="88"/>
        <v>9.193598642</v>
      </c>
      <c r="I541" t="s">
        <v>561</v>
      </c>
      <c r="J541">
        <v>38.6519</v>
      </c>
      <c r="K541" s="5">
        <f t="shared" si="89"/>
        <v>5.48294096797311</v>
      </c>
      <c r="L541">
        <f t="shared" si="90"/>
        <v>0.596386810157762</v>
      </c>
      <c r="O541">
        <v>0.05808</v>
      </c>
      <c r="P541" s="6">
        <f t="shared" si="91"/>
        <v>3.64886511707989</v>
      </c>
      <c r="Q541" s="4">
        <f t="shared" si="92"/>
        <v>1.50264281962853</v>
      </c>
      <c r="T541">
        <v>122.47</v>
      </c>
      <c r="U541" s="7">
        <f t="shared" si="93"/>
        <v>1.73043264472932</v>
      </c>
      <c r="V541">
        <f t="shared" si="94"/>
        <v>3.16853763980555</v>
      </c>
      <c r="Y541">
        <v>0.00207297</v>
      </c>
      <c r="Z541" s="8">
        <v>39.8708970896829</v>
      </c>
      <c r="AA541">
        <f t="shared" si="95"/>
        <v>0.137517371521392</v>
      </c>
      <c r="AD541" s="9">
        <v>2.139036</v>
      </c>
      <c r="AE541">
        <f t="shared" si="96"/>
        <v>2.56327661992277</v>
      </c>
      <c r="AH541">
        <v>134.4647</v>
      </c>
      <c r="AI541" s="10">
        <f t="shared" si="97"/>
        <v>1.5760722777056</v>
      </c>
      <c r="AJ541">
        <f t="shared" si="98"/>
        <v>3.4788639109591</v>
      </c>
    </row>
    <row r="542" spans="1:36">
      <c r="A542" s="1" t="s">
        <v>562</v>
      </c>
      <c r="B542" s="1">
        <v>223678350</v>
      </c>
      <c r="C542" s="2">
        <v>0.105613</v>
      </c>
      <c r="E542">
        <v>160.335864</v>
      </c>
      <c r="F542">
        <v>1395.061241</v>
      </c>
      <c r="G542" s="3">
        <f t="shared" si="88"/>
        <v>1.395061241</v>
      </c>
      <c r="I542" t="s">
        <v>562</v>
      </c>
      <c r="J542">
        <v>200.75</v>
      </c>
      <c r="K542" s="5">
        <f t="shared" si="89"/>
        <v>1.11421344956413</v>
      </c>
      <c r="L542">
        <f t="shared" si="90"/>
        <v>0.798684256158855</v>
      </c>
      <c r="O542">
        <v>0.1404256</v>
      </c>
      <c r="P542" s="6">
        <f t="shared" si="91"/>
        <v>1.59286020497687</v>
      </c>
      <c r="Q542" s="4">
        <f t="shared" si="92"/>
        <v>0.699504856787049</v>
      </c>
      <c r="T542">
        <v>2452.902</v>
      </c>
      <c r="U542" s="7">
        <f t="shared" si="93"/>
        <v>0.0911892729509781</v>
      </c>
      <c r="V542">
        <f t="shared" si="94"/>
        <v>12.2186899128269</v>
      </c>
      <c r="Y542">
        <v>0.3380202</v>
      </c>
      <c r="Z542" s="8">
        <v>0.397038431431021</v>
      </c>
      <c r="AA542">
        <f t="shared" si="95"/>
        <v>2.80631133250311</v>
      </c>
      <c r="AD542" s="9">
        <v>0.968049</v>
      </c>
      <c r="AE542">
        <f t="shared" si="96"/>
        <v>1.15098868917186</v>
      </c>
      <c r="AH542">
        <v>194.0327</v>
      </c>
      <c r="AI542" s="10">
        <f t="shared" si="97"/>
        <v>1.15278687561426</v>
      </c>
      <c r="AJ542">
        <f t="shared" si="98"/>
        <v>0.96653897882939</v>
      </c>
    </row>
    <row r="543" spans="1:36">
      <c r="A543" s="1" t="s">
        <v>563</v>
      </c>
      <c r="B543" s="1">
        <v>224531414</v>
      </c>
      <c r="C543" s="2">
        <v>0.159808</v>
      </c>
      <c r="E543">
        <v>32.791133</v>
      </c>
      <c r="F543">
        <v>6847.321111</v>
      </c>
      <c r="G543" s="3">
        <f t="shared" si="88"/>
        <v>6.847321111</v>
      </c>
      <c r="I543" t="s">
        <v>563</v>
      </c>
      <c r="J543">
        <v>34.3389</v>
      </c>
      <c r="K543" s="5">
        <f t="shared" si="89"/>
        <v>6.53868976583408</v>
      </c>
      <c r="L543">
        <f t="shared" si="90"/>
        <v>0.954926701966684</v>
      </c>
      <c r="O543">
        <v>0.0284016</v>
      </c>
      <c r="P543" s="6">
        <f t="shared" si="91"/>
        <v>7.90559031885528</v>
      </c>
      <c r="Q543" s="4">
        <f t="shared" si="92"/>
        <v>0.827096965831753</v>
      </c>
      <c r="T543">
        <v>198.212</v>
      </c>
      <c r="U543" s="7">
        <f t="shared" si="93"/>
        <v>1.13278416039392</v>
      </c>
      <c r="V543">
        <f t="shared" si="94"/>
        <v>5.77222916284447</v>
      </c>
      <c r="Y543">
        <v>0.02686554</v>
      </c>
      <c r="Z543" s="8">
        <v>5.01455948400814</v>
      </c>
      <c r="AA543">
        <f t="shared" si="95"/>
        <v>1.3039410115059</v>
      </c>
      <c r="AD543" s="9">
        <v>2.907516</v>
      </c>
      <c r="AE543">
        <f t="shared" si="96"/>
        <v>2.24889210096663</v>
      </c>
      <c r="AH543">
        <v>38.1955</v>
      </c>
      <c r="AI543" s="10">
        <f t="shared" si="97"/>
        <v>5.87847819769345</v>
      </c>
      <c r="AJ543">
        <f t="shared" si="98"/>
        <v>1.11230994586315</v>
      </c>
    </row>
    <row r="544" spans="1:36">
      <c r="A544" s="1" t="s">
        <v>564</v>
      </c>
      <c r="B544" s="1">
        <v>229322284</v>
      </c>
      <c r="C544" s="2">
        <v>0.114863</v>
      </c>
      <c r="E544">
        <v>27.754034</v>
      </c>
      <c r="F544">
        <v>8262.664817</v>
      </c>
      <c r="G544" s="3">
        <f t="shared" si="88"/>
        <v>8.262664817</v>
      </c>
      <c r="I544" t="s">
        <v>564</v>
      </c>
      <c r="J544">
        <v>23.6057</v>
      </c>
      <c r="K544" s="5">
        <f t="shared" si="89"/>
        <v>9.71469958526966</v>
      </c>
      <c r="L544">
        <f t="shared" si="90"/>
        <v>1.17573443924316</v>
      </c>
      <c r="O544">
        <v>0.0301664</v>
      </c>
      <c r="P544" s="6">
        <f t="shared" si="91"/>
        <v>7.60191086772038</v>
      </c>
      <c r="Q544" s="4">
        <f t="shared" si="92"/>
        <v>1.27792863588032</v>
      </c>
      <c r="T544">
        <v>334.535</v>
      </c>
      <c r="U544" s="7">
        <f t="shared" si="93"/>
        <v>0.685495640217018</v>
      </c>
      <c r="V544">
        <f t="shared" si="94"/>
        <v>14.1717890170594</v>
      </c>
      <c r="Y544">
        <v>0.06818148</v>
      </c>
      <c r="Z544" s="8">
        <v>2.0180461087087</v>
      </c>
      <c r="AA544">
        <f t="shared" si="95"/>
        <v>4.81391358866714</v>
      </c>
      <c r="AD544" s="9">
        <v>2.773584</v>
      </c>
      <c r="AE544">
        <f t="shared" si="96"/>
        <v>3.50257990573556</v>
      </c>
      <c r="AH544">
        <v>37.8563</v>
      </c>
      <c r="AI544" s="10">
        <f t="shared" si="97"/>
        <v>6.05770463568812</v>
      </c>
      <c r="AJ544">
        <f t="shared" si="98"/>
        <v>1.60369317580076</v>
      </c>
    </row>
    <row r="545" spans="1:36">
      <c r="A545" s="1" t="s">
        <v>565</v>
      </c>
      <c r="B545" s="1">
        <v>230709890</v>
      </c>
      <c r="C545" s="2">
        <v>0.119412</v>
      </c>
      <c r="E545">
        <v>28.553807</v>
      </c>
      <c r="F545">
        <v>8079.829514</v>
      </c>
      <c r="G545" s="3">
        <f t="shared" si="88"/>
        <v>8.079829514</v>
      </c>
      <c r="I545" t="s">
        <v>565</v>
      </c>
      <c r="J545">
        <v>31.6034</v>
      </c>
      <c r="K545" s="5">
        <f t="shared" si="89"/>
        <v>7.30016042577697</v>
      </c>
      <c r="L545">
        <f t="shared" si="90"/>
        <v>0.903504264926372</v>
      </c>
      <c r="O545">
        <v>0.0315296</v>
      </c>
      <c r="P545" s="6">
        <f t="shared" si="91"/>
        <v>7.31724760225312</v>
      </c>
      <c r="Q545" s="4">
        <f t="shared" si="92"/>
        <v>0.997664808216837</v>
      </c>
      <c r="T545">
        <v>640.888</v>
      </c>
      <c r="U545" s="7">
        <f t="shared" si="93"/>
        <v>0.359984724320006</v>
      </c>
      <c r="V545">
        <f t="shared" si="94"/>
        <v>20.2790838960365</v>
      </c>
      <c r="Y545">
        <v>0.0709902</v>
      </c>
      <c r="Z545" s="8">
        <v>1.94993018754701</v>
      </c>
      <c r="AA545">
        <f t="shared" si="95"/>
        <v>3.74380604618491</v>
      </c>
      <c r="AD545" s="9">
        <v>2.586969</v>
      </c>
      <c r="AE545">
        <f t="shared" si="96"/>
        <v>2.82189714131749</v>
      </c>
      <c r="AH545">
        <v>42.1631</v>
      </c>
      <c r="AI545" s="10">
        <f t="shared" si="97"/>
        <v>5.47184362629883</v>
      </c>
      <c r="AJ545">
        <f t="shared" si="98"/>
        <v>1.33413177063227</v>
      </c>
    </row>
    <row r="546" spans="1:36">
      <c r="A546" s="1" t="s">
        <v>566</v>
      </c>
      <c r="B546" s="1">
        <v>234252916</v>
      </c>
      <c r="C546" s="2">
        <v>0.103839</v>
      </c>
      <c r="E546">
        <v>165.867283</v>
      </c>
      <c r="F546">
        <v>1412.291272</v>
      </c>
      <c r="G546" s="3">
        <f t="shared" si="88"/>
        <v>1.412291272</v>
      </c>
      <c r="I546" t="s">
        <v>566</v>
      </c>
      <c r="J546">
        <v>208.84</v>
      </c>
      <c r="K546" s="5">
        <f t="shared" si="89"/>
        <v>1.12168605631105</v>
      </c>
      <c r="L546">
        <f t="shared" si="90"/>
        <v>0.794231387355803</v>
      </c>
      <c r="O546">
        <v>0.147896</v>
      </c>
      <c r="P546" s="6">
        <f t="shared" si="91"/>
        <v>1.58390298588197</v>
      </c>
      <c r="Q546" s="4">
        <f t="shared" si="92"/>
        <v>0.708178509864011</v>
      </c>
      <c r="T546">
        <v>1896.343</v>
      </c>
      <c r="U546" s="7">
        <f t="shared" si="93"/>
        <v>0.123528768793409</v>
      </c>
      <c r="V546">
        <f t="shared" si="94"/>
        <v>9.08036295728788</v>
      </c>
      <c r="Y546">
        <v>0.351</v>
      </c>
      <c r="Z546" s="8">
        <v>0.400432335042735</v>
      </c>
      <c r="AA546">
        <f t="shared" si="95"/>
        <v>2.80118751197089</v>
      </c>
      <c r="AD546" s="9">
        <v>0.931575</v>
      </c>
      <c r="AE546">
        <f t="shared" si="96"/>
        <v>1.20407487997322</v>
      </c>
      <c r="AH546">
        <v>196.3052</v>
      </c>
      <c r="AI546" s="10">
        <f t="shared" si="97"/>
        <v>1.19330978496749</v>
      </c>
      <c r="AJ546">
        <f t="shared" si="98"/>
        <v>0.939978931239226</v>
      </c>
    </row>
    <row r="547" spans="1:36">
      <c r="A547" s="1" t="s">
        <v>567</v>
      </c>
      <c r="B547" s="1">
        <v>241787550</v>
      </c>
      <c r="C547" s="2">
        <v>4.33595e-5</v>
      </c>
      <c r="E547">
        <v>50.722203</v>
      </c>
      <c r="F547">
        <v>4766.897646</v>
      </c>
      <c r="G547" s="3">
        <f t="shared" si="88"/>
        <v>4.766897646</v>
      </c>
      <c r="I547" t="s">
        <v>567</v>
      </c>
      <c r="J547">
        <v>38.1228</v>
      </c>
      <c r="K547" s="5">
        <f t="shared" si="89"/>
        <v>6.34233450848311</v>
      </c>
      <c r="L547">
        <f t="shared" si="90"/>
        <v>1.3304952150179</v>
      </c>
      <c r="O547">
        <v>0.0462656</v>
      </c>
      <c r="P547" s="6">
        <f t="shared" si="91"/>
        <v>5.22607617754876</v>
      </c>
      <c r="Q547" s="4">
        <f t="shared" si="92"/>
        <v>1.21359396476649</v>
      </c>
      <c r="T547">
        <v>8734.778</v>
      </c>
      <c r="U547" s="7">
        <f t="shared" si="93"/>
        <v>0.0276810183384168</v>
      </c>
      <c r="V547">
        <f t="shared" si="94"/>
        <v>229.122152622578</v>
      </c>
      <c r="Y547">
        <v>0.002577096</v>
      </c>
      <c r="Z547" s="8">
        <v>36.5904663621378</v>
      </c>
      <c r="AA547">
        <f t="shared" si="95"/>
        <v>0.173332978205653</v>
      </c>
      <c r="AD547" s="9">
        <v>2.237955</v>
      </c>
      <c r="AE547">
        <f t="shared" si="96"/>
        <v>2.83398661210038</v>
      </c>
      <c r="AH547">
        <v>99.0198</v>
      </c>
      <c r="AI547" s="10">
        <f t="shared" si="97"/>
        <v>2.44181012282392</v>
      </c>
      <c r="AJ547">
        <f t="shared" si="98"/>
        <v>2.5973905379458</v>
      </c>
    </row>
    <row r="548" spans="1:36">
      <c r="A548" s="1" t="s">
        <v>568</v>
      </c>
      <c r="B548" s="1">
        <v>241787550</v>
      </c>
      <c r="C548" s="2">
        <v>4.33595e-5</v>
      </c>
      <c r="E548">
        <v>52.091181</v>
      </c>
      <c r="F548">
        <v>4641.621599</v>
      </c>
      <c r="G548" s="3">
        <f t="shared" si="88"/>
        <v>4.641621599</v>
      </c>
      <c r="I548" t="s">
        <v>568</v>
      </c>
      <c r="J548">
        <v>35.7096</v>
      </c>
      <c r="K548" s="5">
        <f t="shared" si="89"/>
        <v>6.77093974729484</v>
      </c>
      <c r="L548">
        <f t="shared" si="90"/>
        <v>1.45874445016233</v>
      </c>
      <c r="O548">
        <v>0.0452464</v>
      </c>
      <c r="P548" s="6">
        <f t="shared" si="91"/>
        <v>5.34379641253227</v>
      </c>
      <c r="Q548" s="4">
        <f t="shared" si="92"/>
        <v>1.2670654389856</v>
      </c>
      <c r="T548">
        <v>8734.361</v>
      </c>
      <c r="U548" s="7">
        <f t="shared" si="93"/>
        <v>0.0276823398987058</v>
      </c>
      <c r="V548">
        <f t="shared" si="94"/>
        <v>244.594198758877</v>
      </c>
      <c r="Y548">
        <v>0.00265248</v>
      </c>
      <c r="Z548" s="8">
        <v>35.5505581568947</v>
      </c>
      <c r="AA548">
        <f t="shared" si="95"/>
        <v>0.190459449818278</v>
      </c>
      <c r="AD548" s="9">
        <v>2.262387</v>
      </c>
      <c r="AE548">
        <f t="shared" si="96"/>
        <v>2.99283002744219</v>
      </c>
      <c r="AH548">
        <v>98.8342</v>
      </c>
      <c r="AI548" s="10">
        <f t="shared" si="97"/>
        <v>2.44639557966777</v>
      </c>
      <c r="AJ548">
        <f t="shared" si="98"/>
        <v>2.76772072495911</v>
      </c>
    </row>
    <row r="549" spans="1:36">
      <c r="A549" s="1" t="s">
        <v>569</v>
      </c>
      <c r="B549" s="1">
        <v>243981060</v>
      </c>
      <c r="C549" s="2">
        <v>1</v>
      </c>
      <c r="E549">
        <v>36.032706</v>
      </c>
      <c r="F549">
        <v>6771.100168</v>
      </c>
      <c r="G549" s="3">
        <f t="shared" si="88"/>
        <v>6.771100168</v>
      </c>
      <c r="I549" t="s">
        <v>569</v>
      </c>
      <c r="J549">
        <v>11.0847</v>
      </c>
      <c r="K549" s="5">
        <f t="shared" si="89"/>
        <v>22.0106146309778</v>
      </c>
      <c r="L549">
        <f t="shared" si="90"/>
        <v>3.25067036151662</v>
      </c>
      <c r="O549">
        <v>0.0213568</v>
      </c>
      <c r="P549" s="6">
        <f t="shared" si="91"/>
        <v>11.4240457371891</v>
      </c>
      <c r="Q549" s="4">
        <f t="shared" si="92"/>
        <v>1.92669174628091</v>
      </c>
      <c r="T549">
        <v>34.591</v>
      </c>
      <c r="U549" s="7">
        <f t="shared" si="93"/>
        <v>7.05331039865861</v>
      </c>
      <c r="V549">
        <f t="shared" si="94"/>
        <v>3.12060768446598</v>
      </c>
      <c r="Y549">
        <v>0.007708626</v>
      </c>
      <c r="Z549" s="8">
        <v>18.9902371706709</v>
      </c>
      <c r="AA549">
        <f t="shared" si="95"/>
        <v>1.15904895937644</v>
      </c>
      <c r="AD549" s="9">
        <v>3.33552</v>
      </c>
      <c r="AE549">
        <f t="shared" si="96"/>
        <v>6.59885554005907</v>
      </c>
      <c r="AH549">
        <v>41.8385</v>
      </c>
      <c r="AI549" s="10">
        <f t="shared" si="97"/>
        <v>5.83149634905649</v>
      </c>
      <c r="AJ549">
        <f t="shared" si="98"/>
        <v>3.77443683636003</v>
      </c>
    </row>
    <row r="550" spans="1:36">
      <c r="A550" s="1" t="s">
        <v>570</v>
      </c>
      <c r="B550" s="1">
        <v>254331808</v>
      </c>
      <c r="C550" s="2">
        <v>0.115523</v>
      </c>
      <c r="E550">
        <v>30.112665</v>
      </c>
      <c r="F550">
        <v>8446.007916</v>
      </c>
      <c r="G550" s="3">
        <f t="shared" si="88"/>
        <v>8.446007916</v>
      </c>
      <c r="I550" t="s">
        <v>570</v>
      </c>
      <c r="J550">
        <v>32.0827</v>
      </c>
      <c r="K550" s="5">
        <f t="shared" si="89"/>
        <v>7.92738167298887</v>
      </c>
      <c r="L550">
        <f t="shared" si="90"/>
        <v>0.93859510337083</v>
      </c>
      <c r="O550">
        <v>0.0328768</v>
      </c>
      <c r="P550" s="6">
        <f t="shared" si="91"/>
        <v>7.73590519758614</v>
      </c>
      <c r="Q550" s="4">
        <f t="shared" si="92"/>
        <v>1.02475165743532</v>
      </c>
      <c r="T550">
        <v>642.498</v>
      </c>
      <c r="U550" s="7">
        <f t="shared" si="93"/>
        <v>0.395848404197367</v>
      </c>
      <c r="V550">
        <f t="shared" si="94"/>
        <v>20.0263070128138</v>
      </c>
      <c r="Y550">
        <v>0.07507062</v>
      </c>
      <c r="Z550" s="8">
        <v>2.03274043560583</v>
      </c>
      <c r="AA550">
        <f t="shared" si="95"/>
        <v>3.8998494515736</v>
      </c>
      <c r="AD550" s="9">
        <v>2.701563</v>
      </c>
      <c r="AE550">
        <f t="shared" si="96"/>
        <v>2.93436861290626</v>
      </c>
      <c r="AH550">
        <v>42.8344</v>
      </c>
      <c r="AI550" s="10">
        <f t="shared" si="97"/>
        <v>5.93755971835721</v>
      </c>
      <c r="AJ550">
        <f t="shared" si="98"/>
        <v>1.33512453752334</v>
      </c>
    </row>
    <row r="551" spans="1:36">
      <c r="A551" s="1" t="s">
        <v>572</v>
      </c>
      <c r="B551" s="1">
        <v>258256624</v>
      </c>
      <c r="C551" s="2">
        <v>0.680666</v>
      </c>
      <c r="E551">
        <v>20.431507</v>
      </c>
      <c r="F551">
        <v>12640.116307</v>
      </c>
      <c r="G551" s="3">
        <f t="shared" si="88"/>
        <v>12.640116307</v>
      </c>
      <c r="I551" t="s">
        <v>572</v>
      </c>
      <c r="J551">
        <v>14.6059</v>
      </c>
      <c r="K551" s="5">
        <f t="shared" si="89"/>
        <v>17.6816645328258</v>
      </c>
      <c r="L551">
        <f t="shared" si="90"/>
        <v>1.3988529933885</v>
      </c>
      <c r="O551">
        <v>0.0222368</v>
      </c>
      <c r="P551" s="6">
        <f t="shared" si="91"/>
        <v>11.6139293423514</v>
      </c>
      <c r="Q551" s="4">
        <f t="shared" si="92"/>
        <v>1.5224532551914</v>
      </c>
      <c r="T551">
        <v>92.986</v>
      </c>
      <c r="U551" s="7">
        <f t="shared" si="93"/>
        <v>2.77737104510356</v>
      </c>
      <c r="V551">
        <f t="shared" si="94"/>
        <v>6.36633141401762</v>
      </c>
      <c r="Y551">
        <v>0.017056962</v>
      </c>
      <c r="Z551" s="8">
        <v>9.08450018238887</v>
      </c>
      <c r="AA551">
        <f t="shared" si="95"/>
        <v>1.94635524000575</v>
      </c>
      <c r="AD551" s="9">
        <v>3.40422</v>
      </c>
      <c r="AE551">
        <f t="shared" si="96"/>
        <v>5.19404284471208</v>
      </c>
      <c r="AH551">
        <v>23.8754</v>
      </c>
      <c r="AI551" s="10">
        <f t="shared" si="97"/>
        <v>10.8168501470132</v>
      </c>
      <c r="AJ551">
        <f t="shared" si="98"/>
        <v>1.63464079584278</v>
      </c>
    </row>
    <row r="552" spans="1:36">
      <c r="A552" s="1" t="s">
        <v>571</v>
      </c>
      <c r="B552" s="1">
        <v>258256624</v>
      </c>
      <c r="C552" s="2">
        <v>0.702361</v>
      </c>
      <c r="E552">
        <v>21.842831</v>
      </c>
      <c r="F552">
        <v>11823.404657</v>
      </c>
      <c r="G552" s="3">
        <f t="shared" si="88"/>
        <v>11.823404657</v>
      </c>
      <c r="I552" t="s">
        <v>571</v>
      </c>
      <c r="J552">
        <v>16.211</v>
      </c>
      <c r="K552" s="5">
        <f t="shared" si="89"/>
        <v>15.930949602122</v>
      </c>
      <c r="L552">
        <f t="shared" si="90"/>
        <v>1.34740796448087</v>
      </c>
      <c r="O552">
        <v>0.0220416</v>
      </c>
      <c r="P552" s="6">
        <f t="shared" si="91"/>
        <v>11.7167820847851</v>
      </c>
      <c r="Q552" s="4">
        <f t="shared" si="92"/>
        <v>1.3596693603109</v>
      </c>
      <c r="T552">
        <v>92.412</v>
      </c>
      <c r="U552" s="7">
        <f t="shared" si="93"/>
        <v>2.79462217028092</v>
      </c>
      <c r="V552">
        <f t="shared" si="94"/>
        <v>5.70057368453519</v>
      </c>
      <c r="Y552">
        <v>0.017294472</v>
      </c>
      <c r="Z552" s="8">
        <v>8.95974010654965</v>
      </c>
      <c r="AA552">
        <f t="shared" si="95"/>
        <v>1.77805934242181</v>
      </c>
      <c r="AD552" s="9">
        <v>3.40659</v>
      </c>
      <c r="AE552">
        <f t="shared" si="96"/>
        <v>4.67650923713215</v>
      </c>
      <c r="AH552">
        <v>23.1839</v>
      </c>
      <c r="AI552" s="10">
        <f t="shared" si="97"/>
        <v>11.1394814504893</v>
      </c>
      <c r="AJ552">
        <f t="shared" si="98"/>
        <v>1.43013385972488</v>
      </c>
    </row>
    <row r="553" spans="1:36">
      <c r="A553" s="1" t="s">
        <v>573</v>
      </c>
      <c r="B553" s="1">
        <v>293719984</v>
      </c>
      <c r="C553" s="2">
        <v>1</v>
      </c>
      <c r="E553">
        <v>13.80253</v>
      </c>
      <c r="F553">
        <v>21280.155863</v>
      </c>
      <c r="G553" s="3">
        <f t="shared" si="88"/>
        <v>21.280155863</v>
      </c>
      <c r="I553" t="s">
        <v>573</v>
      </c>
      <c r="J553">
        <v>5.46231</v>
      </c>
      <c r="K553" s="5">
        <f t="shared" si="89"/>
        <v>53.7721191217635</v>
      </c>
      <c r="L553">
        <f t="shared" si="90"/>
        <v>2.52686678931979</v>
      </c>
      <c r="O553">
        <v>0.017152</v>
      </c>
      <c r="P553" s="6">
        <f t="shared" si="91"/>
        <v>17.1245326492537</v>
      </c>
      <c r="Q553" s="4">
        <f t="shared" si="92"/>
        <v>3.14006345300798</v>
      </c>
      <c r="T553">
        <v>46.617</v>
      </c>
      <c r="U553" s="7">
        <f t="shared" si="93"/>
        <v>6.30070540789841</v>
      </c>
      <c r="V553">
        <f t="shared" si="94"/>
        <v>8.53430142192589</v>
      </c>
      <c r="Y553">
        <v>0.012714948</v>
      </c>
      <c r="Z553" s="8">
        <v>13.8602210878094</v>
      </c>
      <c r="AA553">
        <f t="shared" si="95"/>
        <v>3.87960038884648</v>
      </c>
      <c r="AD553" s="9">
        <v>3.95715</v>
      </c>
      <c r="AE553">
        <f t="shared" si="96"/>
        <v>13.5885976325799</v>
      </c>
      <c r="AH553">
        <v>12.674</v>
      </c>
      <c r="AI553" s="10">
        <f t="shared" si="97"/>
        <v>23.1750026826574</v>
      </c>
      <c r="AJ553">
        <f t="shared" si="98"/>
        <v>2.32026377118838</v>
      </c>
    </row>
    <row r="554" spans="1:36">
      <c r="A554" s="1" t="s">
        <v>574</v>
      </c>
      <c r="B554" s="1">
        <v>300282560</v>
      </c>
      <c r="C554" s="2">
        <v>0.448168</v>
      </c>
      <c r="E554">
        <v>200.035923</v>
      </c>
      <c r="F554">
        <v>1501.143172</v>
      </c>
      <c r="G554" s="3">
        <f t="shared" si="88"/>
        <v>1.501143172</v>
      </c>
      <c r="I554" t="s">
        <v>574</v>
      </c>
      <c r="J554">
        <v>121.349</v>
      </c>
      <c r="K554" s="5">
        <f t="shared" si="89"/>
        <v>2.47453674937577</v>
      </c>
      <c r="L554">
        <f t="shared" si="90"/>
        <v>1.64843486985915</v>
      </c>
      <c r="O554">
        <v>0.1289712</v>
      </c>
      <c r="P554" s="6">
        <f t="shared" si="91"/>
        <v>2.32829158757924</v>
      </c>
      <c r="Q554" s="4">
        <f t="shared" si="92"/>
        <v>1.06281221930135</v>
      </c>
      <c r="T554">
        <v>481.828</v>
      </c>
      <c r="U554" s="7">
        <f t="shared" si="93"/>
        <v>0.623215255236308</v>
      </c>
      <c r="V554">
        <f t="shared" si="94"/>
        <v>3.97059720310839</v>
      </c>
      <c r="Y554">
        <v>0.02953008</v>
      </c>
      <c r="Z554" s="8">
        <v>6.10122072137969</v>
      </c>
      <c r="AA554">
        <f t="shared" si="95"/>
        <v>0.405580598109585</v>
      </c>
      <c r="AD554" s="9">
        <v>1.649871</v>
      </c>
      <c r="AE554">
        <f t="shared" si="96"/>
        <v>1.49983650199062</v>
      </c>
      <c r="AH554">
        <v>171.6385</v>
      </c>
      <c r="AI554" s="10">
        <f t="shared" si="97"/>
        <v>1.74950585096001</v>
      </c>
      <c r="AJ554">
        <f t="shared" si="98"/>
        <v>1.41442039077372</v>
      </c>
    </row>
    <row r="555" spans="1:36">
      <c r="A555" s="1" t="s">
        <v>575</v>
      </c>
      <c r="B555" s="1">
        <v>306811190</v>
      </c>
      <c r="C555" s="2">
        <v>0</v>
      </c>
      <c r="E555">
        <v>41.989735</v>
      </c>
      <c r="F555">
        <v>7306.814084</v>
      </c>
      <c r="G555" s="3">
        <f t="shared" si="88"/>
        <v>7.306814084</v>
      </c>
      <c r="I555" t="s">
        <v>575</v>
      </c>
      <c r="J555">
        <v>37.6348</v>
      </c>
      <c r="K555" s="5">
        <f t="shared" si="89"/>
        <v>8.15232683580091</v>
      </c>
      <c r="L555">
        <f t="shared" si="90"/>
        <v>1.11571565145641</v>
      </c>
      <c r="O555">
        <v>0.039192</v>
      </c>
      <c r="P555" s="6">
        <f t="shared" si="91"/>
        <v>7.82841370687895</v>
      </c>
      <c r="Q555" s="4">
        <f t="shared" si="92"/>
        <v>1.04137659825481</v>
      </c>
      <c r="T555">
        <v>251.614</v>
      </c>
      <c r="U555" s="7">
        <f t="shared" si="93"/>
        <v>1.21937249119683</v>
      </c>
      <c r="V555">
        <f t="shared" si="94"/>
        <v>6.68567389756289</v>
      </c>
      <c r="Y555">
        <v>0.09555606</v>
      </c>
      <c r="Z555" s="8">
        <v>1.92647869742641</v>
      </c>
      <c r="AA555">
        <f t="shared" si="95"/>
        <v>4.23172436149521</v>
      </c>
      <c r="AD555" s="9">
        <v>2.950209</v>
      </c>
      <c r="AE555">
        <f t="shared" si="96"/>
        <v>2.76330484918218</v>
      </c>
      <c r="AH555">
        <v>37.044</v>
      </c>
      <c r="AI555" s="10">
        <f t="shared" si="97"/>
        <v>8.28234504913076</v>
      </c>
      <c r="AJ555">
        <f t="shared" si="98"/>
        <v>0.984301763261662</v>
      </c>
    </row>
    <row r="556" spans="1:36">
      <c r="A556" s="1" t="s">
        <v>576</v>
      </c>
      <c r="B556" s="1">
        <v>318033908</v>
      </c>
      <c r="C556" s="2">
        <v>0.135334</v>
      </c>
      <c r="E556">
        <v>47.360507</v>
      </c>
      <c r="F556">
        <v>6715.171079</v>
      </c>
      <c r="G556" s="3">
        <f t="shared" si="88"/>
        <v>6.715171079</v>
      </c>
      <c r="I556" t="s">
        <v>576</v>
      </c>
      <c r="J556">
        <v>37.9504</v>
      </c>
      <c r="K556" s="5">
        <f t="shared" si="89"/>
        <v>8.38025180235254</v>
      </c>
      <c r="L556">
        <f t="shared" si="90"/>
        <v>1.24795804958114</v>
      </c>
      <c r="O556">
        <v>0.0377536</v>
      </c>
      <c r="P556" s="6">
        <f t="shared" si="91"/>
        <v>8.42393594253263</v>
      </c>
      <c r="Q556" s="4">
        <f t="shared" si="92"/>
        <v>0.994814283907416</v>
      </c>
      <c r="T556">
        <v>791.52</v>
      </c>
      <c r="U556" s="7">
        <f t="shared" si="93"/>
        <v>0.401801480695371</v>
      </c>
      <c r="V556">
        <f t="shared" si="94"/>
        <v>20.8566971626123</v>
      </c>
      <c r="Y556">
        <v>0.08812854</v>
      </c>
      <c r="Z556" s="8">
        <v>2.16525026739351</v>
      </c>
      <c r="AA556">
        <f t="shared" si="95"/>
        <v>3.87033865255703</v>
      </c>
      <c r="AD556" s="9">
        <v>2.738457</v>
      </c>
      <c r="AE556">
        <f t="shared" si="96"/>
        <v>3.06020938154316</v>
      </c>
      <c r="AH556">
        <v>49.7657</v>
      </c>
      <c r="AI556" s="10">
        <f t="shared" si="97"/>
        <v>6.39062462700213</v>
      </c>
      <c r="AJ556">
        <f t="shared" si="98"/>
        <v>1.31133532189384</v>
      </c>
    </row>
    <row r="557" spans="1:36">
      <c r="A557" s="1" t="s">
        <v>577</v>
      </c>
      <c r="B557" s="1">
        <v>323280496</v>
      </c>
      <c r="C557" s="2">
        <v>0.177912</v>
      </c>
      <c r="E557">
        <v>19.079412</v>
      </c>
      <c r="F557">
        <v>16943.944553</v>
      </c>
      <c r="G557" s="3">
        <f t="shared" si="88"/>
        <v>16.943944553</v>
      </c>
      <c r="I557" t="s">
        <v>577</v>
      </c>
      <c r="J557">
        <v>25.1461</v>
      </c>
      <c r="K557" s="5">
        <f t="shared" si="89"/>
        <v>12.8560888567213</v>
      </c>
      <c r="L557">
        <f t="shared" si="90"/>
        <v>0.758742382360139</v>
      </c>
      <c r="O557">
        <v>0.052304</v>
      </c>
      <c r="P557" s="6">
        <f t="shared" si="91"/>
        <v>6.18079871520343</v>
      </c>
      <c r="Q557" s="4">
        <f t="shared" si="92"/>
        <v>2.08000445397099</v>
      </c>
      <c r="T557">
        <v>65.646</v>
      </c>
      <c r="U557" s="7">
        <f t="shared" si="93"/>
        <v>4.92460311367029</v>
      </c>
      <c r="V557">
        <f t="shared" si="94"/>
        <v>2.61058374857334</v>
      </c>
      <c r="Y557">
        <v>0.002823372</v>
      </c>
      <c r="Z557" s="8">
        <v>44.6556080601493</v>
      </c>
      <c r="AA557">
        <f t="shared" si="95"/>
        <v>0.287894161902458</v>
      </c>
      <c r="AD557" s="9">
        <v>2.342808</v>
      </c>
      <c r="AE557">
        <f t="shared" si="96"/>
        <v>5.4874701028515</v>
      </c>
      <c r="AH557">
        <v>142.0867</v>
      </c>
      <c r="AI557" s="10">
        <f t="shared" si="97"/>
        <v>2.27523403668324</v>
      </c>
      <c r="AJ557">
        <f t="shared" si="98"/>
        <v>5.65044678896529</v>
      </c>
    </row>
    <row r="558" spans="1:36">
      <c r="A558" s="1" t="s">
        <v>578</v>
      </c>
      <c r="B558" s="1">
        <v>328842078</v>
      </c>
      <c r="C558" s="2">
        <v>0</v>
      </c>
      <c r="E558">
        <v>53.631379</v>
      </c>
      <c r="F558">
        <v>6131.523867</v>
      </c>
      <c r="G558" s="3">
        <f t="shared" si="88"/>
        <v>6.131523867</v>
      </c>
      <c r="I558" t="s">
        <v>578</v>
      </c>
      <c r="J558">
        <v>63.4888</v>
      </c>
      <c r="K558" s="5">
        <f t="shared" si="89"/>
        <v>5.17952895628835</v>
      </c>
      <c r="L558">
        <f t="shared" si="90"/>
        <v>0.844737632705745</v>
      </c>
      <c r="O558">
        <v>0.0489952</v>
      </c>
      <c r="P558" s="6">
        <f t="shared" si="91"/>
        <v>6.71172029096728</v>
      </c>
      <c r="Q558" s="4">
        <f t="shared" si="92"/>
        <v>0.771714066102998</v>
      </c>
      <c r="T558">
        <v>532.024</v>
      </c>
      <c r="U558" s="7">
        <f t="shared" si="93"/>
        <v>0.618096322722283</v>
      </c>
      <c r="V558">
        <f t="shared" si="94"/>
        <v>8.37980872216832</v>
      </c>
      <c r="Y558">
        <v>0.03687318</v>
      </c>
      <c r="Z558" s="8">
        <v>5.35091486006903</v>
      </c>
      <c r="AA558">
        <f t="shared" si="95"/>
        <v>0.967970728695454</v>
      </c>
      <c r="AD558" s="9">
        <v>2.880237</v>
      </c>
      <c r="AE558">
        <f t="shared" si="96"/>
        <v>1.79829956919807</v>
      </c>
      <c r="AH558">
        <v>54.0747</v>
      </c>
      <c r="AI558" s="10">
        <f t="shared" si="97"/>
        <v>6.08125570738257</v>
      </c>
      <c r="AJ558">
        <f t="shared" si="98"/>
        <v>0.851720303423596</v>
      </c>
    </row>
    <row r="559" spans="1:36">
      <c r="A559" s="1" t="s">
        <v>579</v>
      </c>
      <c r="B559" s="1">
        <v>329009580</v>
      </c>
      <c r="C559" s="2">
        <v>0.000786164</v>
      </c>
      <c r="E559">
        <v>26.167314</v>
      </c>
      <c r="F559">
        <v>12573.303423</v>
      </c>
      <c r="G559" s="3">
        <f t="shared" si="88"/>
        <v>12.573303423</v>
      </c>
      <c r="I559" t="s">
        <v>579</v>
      </c>
      <c r="J559">
        <v>14.7814</v>
      </c>
      <c r="K559" s="5">
        <f t="shared" si="89"/>
        <v>22.2583503592353</v>
      </c>
      <c r="L559">
        <f t="shared" si="90"/>
        <v>1.77028658343826</v>
      </c>
      <c r="O559">
        <v>0.0247792</v>
      </c>
      <c r="P559" s="6">
        <f t="shared" si="91"/>
        <v>13.2776514173177</v>
      </c>
      <c r="Q559" s="4">
        <f t="shared" si="92"/>
        <v>1.67637706847795</v>
      </c>
      <c r="T559">
        <v>61.998</v>
      </c>
      <c r="U559" s="7">
        <f t="shared" si="93"/>
        <v>5.30677731539727</v>
      </c>
      <c r="V559">
        <f t="shared" si="94"/>
        <v>4.19432530071576</v>
      </c>
      <c r="Y559">
        <v>0.014888214</v>
      </c>
      <c r="Z559" s="8">
        <v>13.2591960325127</v>
      </c>
      <c r="AA559">
        <f t="shared" si="95"/>
        <v>1.67871040632146</v>
      </c>
      <c r="AD559" s="9">
        <v>3.6843</v>
      </c>
      <c r="AE559">
        <f t="shared" si="96"/>
        <v>6.0414055205155</v>
      </c>
      <c r="AH559">
        <v>23.7782</v>
      </c>
      <c r="AI559" s="10">
        <f t="shared" si="97"/>
        <v>13.8366057985886</v>
      </c>
      <c r="AJ559">
        <f t="shared" si="98"/>
        <v>1.60865682546985</v>
      </c>
    </row>
    <row r="560" spans="1:36">
      <c r="A560" s="1" t="s">
        <v>580</v>
      </c>
      <c r="B560" s="1">
        <v>351780064</v>
      </c>
      <c r="C560" s="2">
        <v>0.209581</v>
      </c>
      <c r="E560">
        <v>449.55511</v>
      </c>
      <c r="F560">
        <v>782.507097</v>
      </c>
      <c r="G560" s="3">
        <f t="shared" si="88"/>
        <v>0.782507097</v>
      </c>
      <c r="I560" t="s">
        <v>580</v>
      </c>
      <c r="J560">
        <v>175.216</v>
      </c>
      <c r="K560" s="5">
        <f t="shared" si="89"/>
        <v>2.00769372660031</v>
      </c>
      <c r="L560">
        <f t="shared" si="90"/>
        <v>2.56571951142356</v>
      </c>
      <c r="O560">
        <v>0.1695088</v>
      </c>
      <c r="P560" s="6">
        <f t="shared" si="91"/>
        <v>2.07529086395515</v>
      </c>
      <c r="Q560" s="4">
        <f t="shared" si="92"/>
        <v>0.967427632179709</v>
      </c>
      <c r="T560">
        <v>329.239</v>
      </c>
      <c r="U560" s="7">
        <f t="shared" si="93"/>
        <v>1.06846413699471</v>
      </c>
      <c r="V560">
        <f t="shared" si="94"/>
        <v>1.87904643411561</v>
      </c>
      <c r="Y560">
        <v>0.003103272</v>
      </c>
      <c r="Z560" s="8">
        <v>44.2095391444901</v>
      </c>
      <c r="AA560">
        <f t="shared" si="95"/>
        <v>0.0454131340306119</v>
      </c>
      <c r="AD560" s="9">
        <v>1.201914</v>
      </c>
      <c r="AE560">
        <f t="shared" si="96"/>
        <v>1.67041379549644</v>
      </c>
      <c r="AH560">
        <v>401.1588</v>
      </c>
      <c r="AI560" s="10">
        <f t="shared" si="97"/>
        <v>0.876909752447161</v>
      </c>
      <c r="AJ560">
        <f t="shared" si="98"/>
        <v>2.2895100904027</v>
      </c>
    </row>
    <row r="561" spans="1:36">
      <c r="A561" s="1" t="s">
        <v>581</v>
      </c>
      <c r="B561" s="1">
        <v>353774742</v>
      </c>
      <c r="C561" s="2">
        <v>0</v>
      </c>
      <c r="E561">
        <v>48.798788</v>
      </c>
      <c r="F561">
        <v>7249.662459</v>
      </c>
      <c r="G561" s="3">
        <f t="shared" si="88"/>
        <v>7.249662459</v>
      </c>
      <c r="I561" t="s">
        <v>581</v>
      </c>
      <c r="J561">
        <v>40.4297</v>
      </c>
      <c r="K561" s="5">
        <f t="shared" si="89"/>
        <v>8.75036772471723</v>
      </c>
      <c r="L561">
        <f t="shared" si="90"/>
        <v>1.20700346729305</v>
      </c>
      <c r="O561">
        <v>0.0479552</v>
      </c>
      <c r="P561" s="6">
        <f t="shared" si="91"/>
        <v>7.37719250467103</v>
      </c>
      <c r="Q561" s="4">
        <f t="shared" si="92"/>
        <v>1.18613791346461</v>
      </c>
      <c r="T561">
        <v>287.335</v>
      </c>
      <c r="U561" s="7">
        <f t="shared" si="93"/>
        <v>1.23122745923748</v>
      </c>
      <c r="V561">
        <f t="shared" si="94"/>
        <v>7.10702775434891</v>
      </c>
      <c r="Y561">
        <v>0.1092564</v>
      </c>
      <c r="Z561" s="8">
        <v>1.94281383241622</v>
      </c>
      <c r="AA561">
        <f t="shared" si="95"/>
        <v>4.5039661437013</v>
      </c>
      <c r="AD561" s="9">
        <v>2.768229</v>
      </c>
      <c r="AE561">
        <f t="shared" si="96"/>
        <v>3.16099850291187</v>
      </c>
      <c r="AH561">
        <v>44.3749</v>
      </c>
      <c r="AI561" s="10">
        <f t="shared" si="97"/>
        <v>7.9724065180992</v>
      </c>
      <c r="AJ561">
        <f t="shared" si="98"/>
        <v>1.09758172828391</v>
      </c>
    </row>
    <row r="562" spans="1:36">
      <c r="A562" s="1" t="s">
        <v>582</v>
      </c>
      <c r="B562" s="1">
        <v>355061442</v>
      </c>
      <c r="C562" s="2">
        <v>0</v>
      </c>
      <c r="E562">
        <v>36.825914</v>
      </c>
      <c r="F562">
        <v>9641.619279</v>
      </c>
      <c r="G562" s="3">
        <f t="shared" si="88"/>
        <v>9.641619279</v>
      </c>
      <c r="I562" t="s">
        <v>582</v>
      </c>
      <c r="J562">
        <v>34.8386</v>
      </c>
      <c r="K562" s="5">
        <f t="shared" si="89"/>
        <v>10.1916105124775</v>
      </c>
      <c r="L562">
        <f t="shared" si="90"/>
        <v>1.05704345064479</v>
      </c>
      <c r="O562">
        <v>0.0774752</v>
      </c>
      <c r="P562" s="6">
        <f t="shared" si="91"/>
        <v>4.58290449072736</v>
      </c>
      <c r="Q562" s="4">
        <f t="shared" si="92"/>
        <v>2.22383218613836</v>
      </c>
      <c r="T562">
        <v>147.894</v>
      </c>
      <c r="U562" s="7">
        <f t="shared" si="93"/>
        <v>2.40078327721206</v>
      </c>
      <c r="V562">
        <f t="shared" si="94"/>
        <v>4.24511891981882</v>
      </c>
      <c r="Y562">
        <v>0.12580632</v>
      </c>
      <c r="Z562" s="8">
        <v>1.69337172568119</v>
      </c>
      <c r="AA562">
        <f t="shared" si="95"/>
        <v>6.01853116944998</v>
      </c>
      <c r="AD562" s="9">
        <v>2.059416</v>
      </c>
      <c r="AE562">
        <f t="shared" si="96"/>
        <v>4.94878670092761</v>
      </c>
      <c r="AH562">
        <v>61.5406</v>
      </c>
      <c r="AI562" s="10">
        <f t="shared" si="97"/>
        <v>5.76954794070906</v>
      </c>
      <c r="AJ562">
        <f t="shared" si="98"/>
        <v>1.76644870919038</v>
      </c>
    </row>
    <row r="563" spans="1:36">
      <c r="A563" s="1" t="s">
        <v>583</v>
      </c>
      <c r="B563" s="1">
        <v>364302812</v>
      </c>
      <c r="C563" s="2">
        <v>0.233881</v>
      </c>
      <c r="E563">
        <v>366.437689</v>
      </c>
      <c r="F563">
        <v>994.173969</v>
      </c>
      <c r="G563" s="3">
        <f t="shared" si="88"/>
        <v>0.994173969</v>
      </c>
      <c r="I563" t="s">
        <v>583</v>
      </c>
      <c r="J563">
        <v>331.127</v>
      </c>
      <c r="K563" s="5">
        <f t="shared" si="89"/>
        <v>1.10019059756528</v>
      </c>
      <c r="L563">
        <f t="shared" si="90"/>
        <v>1.10663790430152</v>
      </c>
      <c r="O563">
        <v>0.2216784</v>
      </c>
      <c r="P563" s="6">
        <f t="shared" si="91"/>
        <v>1.64338434416705</v>
      </c>
      <c r="Q563" s="4">
        <f t="shared" si="92"/>
        <v>0.669466398088951</v>
      </c>
      <c r="T563">
        <v>478.948</v>
      </c>
      <c r="U563" s="7">
        <f t="shared" si="93"/>
        <v>0.760631241804956</v>
      </c>
      <c r="V563">
        <f t="shared" si="94"/>
        <v>1.44641783968085</v>
      </c>
      <c r="Y563">
        <v>1.5053958</v>
      </c>
      <c r="Z563" s="8">
        <v>0.14519881562045</v>
      </c>
      <c r="AA563">
        <f t="shared" si="95"/>
        <v>7.57713203695259</v>
      </c>
      <c r="AD563" s="9">
        <v>0.822558</v>
      </c>
      <c r="AE563">
        <f t="shared" si="96"/>
        <v>1.33752343003811</v>
      </c>
      <c r="AH563">
        <v>433.1118</v>
      </c>
      <c r="AI563" s="10">
        <f t="shared" si="97"/>
        <v>0.841128807850536</v>
      </c>
      <c r="AJ563">
        <f t="shared" si="98"/>
        <v>1.30799300570476</v>
      </c>
    </row>
    <row r="564" spans="1:36">
      <c r="A564" s="1" t="s">
        <v>584</v>
      </c>
      <c r="B564" s="1">
        <v>367600496</v>
      </c>
      <c r="C564" s="2">
        <v>0.000104485</v>
      </c>
      <c r="E564">
        <v>374.356208</v>
      </c>
      <c r="F564">
        <v>981.953785</v>
      </c>
      <c r="G564" s="3">
        <f t="shared" si="88"/>
        <v>0.981953785</v>
      </c>
      <c r="I564" t="s">
        <v>584</v>
      </c>
      <c r="J564">
        <v>291.729</v>
      </c>
      <c r="K564" s="5">
        <f t="shared" si="89"/>
        <v>1.2600752616298</v>
      </c>
      <c r="L564">
        <f t="shared" si="90"/>
        <v>1.28323275583667</v>
      </c>
      <c r="O564">
        <v>0.1537024</v>
      </c>
      <c r="P564" s="6">
        <f t="shared" si="91"/>
        <v>2.39163797051965</v>
      </c>
      <c r="Q564" s="4">
        <f t="shared" si="92"/>
        <v>0.526867058125863</v>
      </c>
      <c r="T564">
        <v>742.505</v>
      </c>
      <c r="U564" s="7">
        <f t="shared" si="93"/>
        <v>0.495081509215426</v>
      </c>
      <c r="V564">
        <f t="shared" si="94"/>
        <v>2.54518748564592</v>
      </c>
      <c r="Y564">
        <v>0.003407634</v>
      </c>
      <c r="Z564" s="8">
        <v>42.071476408558</v>
      </c>
      <c r="AA564">
        <f t="shared" si="95"/>
        <v>0.0299508210596926</v>
      </c>
      <c r="AD564" s="9">
        <v>1.33989</v>
      </c>
      <c r="AE564">
        <f t="shared" si="96"/>
        <v>0.940431872489384</v>
      </c>
      <c r="AH564">
        <v>363.4732</v>
      </c>
      <c r="AI564" s="10">
        <f t="shared" si="97"/>
        <v>1.01135515905987</v>
      </c>
      <c r="AJ564">
        <f t="shared" si="98"/>
        <v>1.24592755605374</v>
      </c>
    </row>
    <row r="565" spans="1:36">
      <c r="A565" s="1" t="s">
        <v>585</v>
      </c>
      <c r="B565" s="1">
        <v>382255382</v>
      </c>
      <c r="C565" s="2">
        <v>0.0413258</v>
      </c>
      <c r="E565">
        <v>45.081978</v>
      </c>
      <c r="F565">
        <v>8479.117413</v>
      </c>
      <c r="G565" s="3">
        <f t="shared" si="88"/>
        <v>8.479117413</v>
      </c>
      <c r="I565" t="s">
        <v>585</v>
      </c>
      <c r="J565">
        <v>43.8864</v>
      </c>
      <c r="K565" s="5">
        <f t="shared" si="89"/>
        <v>8.71011023916293</v>
      </c>
      <c r="L565">
        <f t="shared" si="90"/>
        <v>1.02724255543493</v>
      </c>
      <c r="O565">
        <v>0.0498528</v>
      </c>
      <c r="P565" s="6">
        <f t="shared" si="91"/>
        <v>7.66768129372874</v>
      </c>
      <c r="Q565" s="4">
        <f t="shared" si="92"/>
        <v>1.13595100076561</v>
      </c>
      <c r="T565">
        <v>415.172</v>
      </c>
      <c r="U565" s="7">
        <f t="shared" si="93"/>
        <v>0.920715708188413</v>
      </c>
      <c r="V565">
        <f t="shared" si="94"/>
        <v>9.46015166429691</v>
      </c>
      <c r="Y565">
        <v>0.002183562</v>
      </c>
      <c r="Z565" s="8">
        <v>105.036279803367</v>
      </c>
      <c r="AA565">
        <f t="shared" si="95"/>
        <v>0.0829247785190858</v>
      </c>
      <c r="AD565" s="9">
        <v>2.545353</v>
      </c>
      <c r="AE565">
        <f t="shared" si="96"/>
        <v>3.42196553451051</v>
      </c>
      <c r="AH565">
        <v>113.242</v>
      </c>
      <c r="AI565" s="10">
        <f t="shared" si="97"/>
        <v>3.37556191165822</v>
      </c>
      <c r="AJ565">
        <f t="shared" si="98"/>
        <v>2.58034379671151</v>
      </c>
    </row>
    <row r="566" spans="1:36">
      <c r="A566" s="1" t="s">
        <v>586</v>
      </c>
      <c r="B566" s="1">
        <v>385191344</v>
      </c>
      <c r="C566" s="2">
        <v>0.891726</v>
      </c>
      <c r="E566">
        <v>31.983075</v>
      </c>
      <c r="F566">
        <v>12043.599571</v>
      </c>
      <c r="G566" s="3">
        <f t="shared" si="88"/>
        <v>12.043599571</v>
      </c>
      <c r="I566" t="s">
        <v>586</v>
      </c>
      <c r="J566">
        <v>84.2741</v>
      </c>
      <c r="K566" s="5">
        <f t="shared" si="89"/>
        <v>4.57069661972065</v>
      </c>
      <c r="L566">
        <f t="shared" si="90"/>
        <v>0.379512503116303</v>
      </c>
      <c r="O566">
        <v>0.1831376</v>
      </c>
      <c r="P566" s="6">
        <f t="shared" si="91"/>
        <v>2.10328924262412</v>
      </c>
      <c r="Q566" s="4">
        <f t="shared" si="92"/>
        <v>2.17311843140419</v>
      </c>
      <c r="T566">
        <v>140.755</v>
      </c>
      <c r="U566" s="7">
        <f t="shared" si="93"/>
        <v>2.736608603602</v>
      </c>
      <c r="V566">
        <f t="shared" si="94"/>
        <v>1.67020472482056</v>
      </c>
      <c r="Y566">
        <v>0.10067724</v>
      </c>
      <c r="Z566" s="8">
        <v>2.29560133352881</v>
      </c>
      <c r="AA566">
        <f t="shared" si="95"/>
        <v>1.99106724367273</v>
      </c>
      <c r="AD566" s="9">
        <v>1.241649</v>
      </c>
      <c r="AE566">
        <f t="shared" si="96"/>
        <v>3.68115032486689</v>
      </c>
      <c r="AH566">
        <v>448.9012</v>
      </c>
      <c r="AI566" s="10">
        <f t="shared" si="97"/>
        <v>0.858075995341514</v>
      </c>
      <c r="AJ566">
        <f t="shared" si="98"/>
        <v>5.32668043918594</v>
      </c>
    </row>
    <row r="567" spans="1:36">
      <c r="A567" s="1" t="s">
        <v>587</v>
      </c>
      <c r="B567" s="1">
        <v>385300368</v>
      </c>
      <c r="C567" s="2">
        <v>0.950735</v>
      </c>
      <c r="E567">
        <v>30.892996</v>
      </c>
      <c r="F567">
        <v>12472.094627</v>
      </c>
      <c r="G567" s="3">
        <f t="shared" si="88"/>
        <v>12.472094627</v>
      </c>
      <c r="I567" t="s">
        <v>587</v>
      </c>
      <c r="J567">
        <v>11.5086</v>
      </c>
      <c r="K567" s="5">
        <f t="shared" si="89"/>
        <v>33.4793430999427</v>
      </c>
      <c r="L567">
        <f t="shared" si="90"/>
        <v>2.68434004882111</v>
      </c>
      <c r="O567">
        <v>0.0262416</v>
      </c>
      <c r="P567" s="6">
        <f t="shared" si="91"/>
        <v>14.6828077556247</v>
      </c>
      <c r="Q567" s="4">
        <f t="shared" si="92"/>
        <v>2.28017308795162</v>
      </c>
      <c r="T567">
        <v>105.779</v>
      </c>
      <c r="U567" s="7">
        <f t="shared" si="93"/>
        <v>3.64250340804886</v>
      </c>
      <c r="V567">
        <f t="shared" si="94"/>
        <v>9.19130041881723</v>
      </c>
      <c r="Y567">
        <v>0.02163528</v>
      </c>
      <c r="Z567" s="8">
        <v>10.6853352857</v>
      </c>
      <c r="AA567">
        <f t="shared" si="95"/>
        <v>3.13320473385121</v>
      </c>
      <c r="AD567" s="9">
        <v>3.67638</v>
      </c>
      <c r="AE567">
        <f t="shared" si="96"/>
        <v>9.1066057099491</v>
      </c>
      <c r="AH567">
        <v>24.5689</v>
      </c>
      <c r="AI567" s="10">
        <f t="shared" si="97"/>
        <v>15.6824427630053</v>
      </c>
      <c r="AJ567">
        <f t="shared" si="98"/>
        <v>2.13482960568618</v>
      </c>
    </row>
    <row r="568" spans="1:36">
      <c r="A568" s="1" t="s">
        <v>588</v>
      </c>
      <c r="B568" s="1">
        <v>394238376</v>
      </c>
      <c r="C568" s="2">
        <v>1</v>
      </c>
      <c r="E568">
        <v>18.464977</v>
      </c>
      <c r="F568">
        <v>21350.60261</v>
      </c>
      <c r="G568" s="3">
        <f t="shared" si="88"/>
        <v>21.35060261</v>
      </c>
      <c r="I568" t="s">
        <v>588</v>
      </c>
      <c r="J568">
        <v>6.8519</v>
      </c>
      <c r="K568" s="5">
        <f t="shared" si="89"/>
        <v>57.5370883988383</v>
      </c>
      <c r="L568">
        <f t="shared" si="90"/>
        <v>2.69486952897009</v>
      </c>
      <c r="O568">
        <v>0.0226272</v>
      </c>
      <c r="P568" s="6">
        <f t="shared" si="91"/>
        <v>17.4232064064489</v>
      </c>
      <c r="Q568" s="4">
        <f t="shared" si="92"/>
        <v>3.30232490258177</v>
      </c>
      <c r="T568">
        <v>57.744</v>
      </c>
      <c r="U568" s="7">
        <f t="shared" si="93"/>
        <v>6.82734788029925</v>
      </c>
      <c r="V568">
        <f t="shared" si="94"/>
        <v>8.42744348282958</v>
      </c>
      <c r="Y568">
        <v>0.016998156</v>
      </c>
      <c r="Z568" s="8">
        <v>13.9158050790921</v>
      </c>
      <c r="AA568">
        <f t="shared" si="95"/>
        <v>4.13465754024431</v>
      </c>
      <c r="AD568" s="9">
        <v>3.96927</v>
      </c>
      <c r="AE568">
        <f t="shared" si="96"/>
        <v>14.4956348141694</v>
      </c>
      <c r="AH568">
        <v>16.6449</v>
      </c>
      <c r="AI568" s="10">
        <f t="shared" si="97"/>
        <v>23.6852354775337</v>
      </c>
      <c r="AJ568">
        <f t="shared" si="98"/>
        <v>2.42923860535034</v>
      </c>
    </row>
    <row r="569" spans="1:36">
      <c r="A569" s="1" t="s">
        <v>589</v>
      </c>
      <c r="B569" s="1">
        <v>402201632</v>
      </c>
      <c r="C569" s="2">
        <v>0</v>
      </c>
      <c r="E569">
        <v>52.670257</v>
      </c>
      <c r="F569">
        <v>7636.219233</v>
      </c>
      <c r="G569" s="3">
        <f t="shared" si="88"/>
        <v>7.636219233</v>
      </c>
      <c r="I569" t="s">
        <v>589</v>
      </c>
      <c r="J569">
        <v>49.8709</v>
      </c>
      <c r="K569" s="5">
        <f t="shared" si="89"/>
        <v>8.06485609844619</v>
      </c>
      <c r="L569">
        <f t="shared" si="90"/>
        <v>1.05613207954976</v>
      </c>
      <c r="O569">
        <v>0.060624</v>
      </c>
      <c r="P569" s="6">
        <f t="shared" si="91"/>
        <v>6.63436315650567</v>
      </c>
      <c r="Q569" s="4">
        <f t="shared" si="92"/>
        <v>1.21561872755455</v>
      </c>
      <c r="T569">
        <v>628.641</v>
      </c>
      <c r="U569" s="7">
        <f t="shared" si="93"/>
        <v>0.639795419007033</v>
      </c>
      <c r="V569">
        <f t="shared" si="94"/>
        <v>12.6053670577431</v>
      </c>
      <c r="Y569">
        <v>0.14246586</v>
      </c>
      <c r="Z569" s="8">
        <v>1.69388637530423</v>
      </c>
      <c r="AA569">
        <f t="shared" si="95"/>
        <v>4.76115530299233</v>
      </c>
      <c r="AD569" s="9">
        <v>2.056254</v>
      </c>
      <c r="AE569">
        <f t="shared" si="96"/>
        <v>3.92211083769135</v>
      </c>
      <c r="AH569">
        <v>71.0918</v>
      </c>
      <c r="AI569" s="10">
        <f t="shared" si="97"/>
        <v>5.65749681397855</v>
      </c>
      <c r="AJ569">
        <f t="shared" si="98"/>
        <v>1.42551668407829</v>
      </c>
    </row>
    <row r="570" spans="1:36">
      <c r="A570" s="1" t="s">
        <v>590</v>
      </c>
      <c r="B570" s="1">
        <v>402990156</v>
      </c>
      <c r="C570" s="2">
        <v>0.000175176</v>
      </c>
      <c r="E570">
        <v>394.209872</v>
      </c>
      <c r="F570">
        <v>1022.27312</v>
      </c>
      <c r="G570" s="3">
        <f t="shared" si="88"/>
        <v>1.02227312</v>
      </c>
      <c r="I570" t="s">
        <v>590</v>
      </c>
      <c r="J570">
        <v>200.346</v>
      </c>
      <c r="K570" s="5">
        <f t="shared" si="89"/>
        <v>2.01147093528196</v>
      </c>
      <c r="L570">
        <f t="shared" si="90"/>
        <v>1.96764533462639</v>
      </c>
      <c r="O570">
        <v>0.1778352</v>
      </c>
      <c r="P570" s="6">
        <f t="shared" si="91"/>
        <v>2.26608768117898</v>
      </c>
      <c r="Q570" s="4">
        <f t="shared" si="92"/>
        <v>0.8876403821389</v>
      </c>
      <c r="T570">
        <v>461.55</v>
      </c>
      <c r="U570" s="7">
        <f t="shared" si="93"/>
        <v>0.873123509912252</v>
      </c>
      <c r="V570">
        <f t="shared" si="94"/>
        <v>2.30376448743673</v>
      </c>
      <c r="Y570">
        <v>0.003464334</v>
      </c>
      <c r="Z570" s="8">
        <v>45.3669192520121</v>
      </c>
      <c r="AA570">
        <f t="shared" si="95"/>
        <v>0.0443378340087034</v>
      </c>
      <c r="AD570" s="9">
        <v>1.332624</v>
      </c>
      <c r="AE570">
        <f t="shared" si="96"/>
        <v>1.50940620556283</v>
      </c>
      <c r="AH570">
        <v>399.748</v>
      </c>
      <c r="AI570" s="10">
        <f t="shared" si="97"/>
        <v>1.00811049961476</v>
      </c>
      <c r="AJ570">
        <f t="shared" si="98"/>
        <v>1.99528815149791</v>
      </c>
    </row>
    <row r="571" spans="1:36">
      <c r="A571" s="1" t="s">
        <v>591</v>
      </c>
      <c r="B571" s="1">
        <v>407765828</v>
      </c>
      <c r="C571" s="2">
        <v>0.88159</v>
      </c>
      <c r="E571">
        <v>33.77801</v>
      </c>
      <c r="F571">
        <v>12071.931615</v>
      </c>
      <c r="G571" s="3">
        <f t="shared" si="88"/>
        <v>12.071931615</v>
      </c>
      <c r="I571" t="s">
        <v>591</v>
      </c>
      <c r="J571">
        <v>88.762</v>
      </c>
      <c r="K571" s="5">
        <f t="shared" si="89"/>
        <v>4.59392339064014</v>
      </c>
      <c r="L571">
        <f t="shared" si="90"/>
        <v>0.38054584279884</v>
      </c>
      <c r="O571">
        <v>0.1994224</v>
      </c>
      <c r="P571" s="6">
        <f t="shared" si="91"/>
        <v>2.04473433275299</v>
      </c>
      <c r="Q571" s="4">
        <f t="shared" si="92"/>
        <v>2.24670917735067</v>
      </c>
      <c r="T571">
        <v>149.51</v>
      </c>
      <c r="U571" s="7">
        <f t="shared" si="93"/>
        <v>2.72734819075647</v>
      </c>
      <c r="V571">
        <f t="shared" si="94"/>
        <v>1.68439196953651</v>
      </c>
      <c r="Y571">
        <v>0.09943506</v>
      </c>
      <c r="Z571" s="8">
        <v>2.46049529009184</v>
      </c>
      <c r="AA571">
        <f t="shared" si="95"/>
        <v>1.86707262116672</v>
      </c>
      <c r="AD571" s="9">
        <v>1.237518</v>
      </c>
      <c r="AE571">
        <f t="shared" si="96"/>
        <v>3.71220733002683</v>
      </c>
      <c r="AH571">
        <v>474.8298</v>
      </c>
      <c r="AI571" s="10">
        <f t="shared" si="97"/>
        <v>0.858762082750493</v>
      </c>
      <c r="AJ571">
        <f t="shared" si="98"/>
        <v>5.3494716207386</v>
      </c>
    </row>
    <row r="572" spans="1:36">
      <c r="A572" s="1" t="s">
        <v>593</v>
      </c>
      <c r="B572" s="1">
        <v>425405742</v>
      </c>
      <c r="C572" s="2">
        <v>1</v>
      </c>
      <c r="E572">
        <v>49.645496</v>
      </c>
      <c r="F572">
        <v>8568.868794</v>
      </c>
      <c r="G572" s="3">
        <f t="shared" si="88"/>
        <v>8.568868794</v>
      </c>
      <c r="I572" t="s">
        <v>593</v>
      </c>
      <c r="J572">
        <v>8.54778</v>
      </c>
      <c r="K572" s="5">
        <f t="shared" si="89"/>
        <v>49.7679797561472</v>
      </c>
      <c r="L572">
        <f t="shared" si="90"/>
        <v>5.80799880971397</v>
      </c>
      <c r="O572">
        <v>0.0243248</v>
      </c>
      <c r="P572" s="6">
        <f t="shared" si="91"/>
        <v>17.4885607281458</v>
      </c>
      <c r="Q572" s="4">
        <f t="shared" si="92"/>
        <v>2.84574474307949</v>
      </c>
      <c r="T572">
        <v>51.244</v>
      </c>
      <c r="U572" s="7">
        <f t="shared" si="93"/>
        <v>8.30157173522754</v>
      </c>
      <c r="V572">
        <f t="shared" si="94"/>
        <v>5.99500689067805</v>
      </c>
      <c r="Y572">
        <v>0.06561702</v>
      </c>
      <c r="Z572" s="8">
        <v>3.88989693832484</v>
      </c>
      <c r="AA572">
        <f t="shared" si="95"/>
        <v>12.7941640987485</v>
      </c>
      <c r="AD572" s="9">
        <v>3.96174</v>
      </c>
      <c r="AE572">
        <f t="shared" si="96"/>
        <v>12.5621519221724</v>
      </c>
      <c r="AH572">
        <v>17.8976</v>
      </c>
      <c r="AI572" s="10">
        <f t="shared" si="97"/>
        <v>23.7688707983193</v>
      </c>
      <c r="AJ572">
        <f t="shared" si="98"/>
        <v>2.09383021088517</v>
      </c>
    </row>
    <row r="573" spans="1:36">
      <c r="A573" s="1" t="s">
        <v>592</v>
      </c>
      <c r="B573" s="1">
        <v>425405742</v>
      </c>
      <c r="C573" s="2">
        <v>1</v>
      </c>
      <c r="E573">
        <v>49.885193</v>
      </c>
      <c r="F573">
        <v>8527.695607</v>
      </c>
      <c r="G573" s="3">
        <f t="shared" si="88"/>
        <v>8.527695607</v>
      </c>
      <c r="I573" t="s">
        <v>592</v>
      </c>
      <c r="J573">
        <v>6.5184</v>
      </c>
      <c r="K573" s="5">
        <f t="shared" si="89"/>
        <v>65.2622947349043</v>
      </c>
      <c r="L573">
        <f t="shared" si="90"/>
        <v>7.65298126745207</v>
      </c>
      <c r="O573">
        <v>0.0242976</v>
      </c>
      <c r="P573" s="6">
        <f t="shared" si="91"/>
        <v>17.5081383346503</v>
      </c>
      <c r="Q573" s="4">
        <f t="shared" si="92"/>
        <v>3.72754050073638</v>
      </c>
      <c r="T573">
        <v>51.133</v>
      </c>
      <c r="U573" s="7">
        <f t="shared" si="93"/>
        <v>8.31959286566405</v>
      </c>
      <c r="V573">
        <f t="shared" si="94"/>
        <v>7.84440967108493</v>
      </c>
      <c r="Y573">
        <v>0.07078842</v>
      </c>
      <c r="Z573" s="8">
        <v>3.60572315641457</v>
      </c>
      <c r="AA573">
        <f t="shared" si="95"/>
        <v>18.0996410162003</v>
      </c>
      <c r="AD573" s="9">
        <v>3.95718</v>
      </c>
      <c r="AE573">
        <f t="shared" si="96"/>
        <v>16.4921218481101</v>
      </c>
      <c r="AH573">
        <v>18.0585</v>
      </c>
      <c r="AI573" s="10">
        <f t="shared" si="97"/>
        <v>23.557091785032</v>
      </c>
      <c r="AJ573">
        <f t="shared" si="98"/>
        <v>2.77038843888071</v>
      </c>
    </row>
    <row r="574" spans="1:36">
      <c r="A574" s="1" t="s">
        <v>594</v>
      </c>
      <c r="B574" s="1">
        <v>459065752</v>
      </c>
      <c r="C574" s="2">
        <v>1</v>
      </c>
      <c r="E574">
        <v>53.807582</v>
      </c>
      <c r="F574">
        <v>8531.61832</v>
      </c>
      <c r="G574" s="3">
        <f t="shared" si="88"/>
        <v>8.53161832</v>
      </c>
      <c r="I574" t="s">
        <v>594</v>
      </c>
      <c r="J574">
        <v>24.5111</v>
      </c>
      <c r="K574" s="5">
        <f t="shared" si="89"/>
        <v>18.7288922977753</v>
      </c>
      <c r="L574">
        <f t="shared" si="90"/>
        <v>2.19523326001008</v>
      </c>
      <c r="O574">
        <v>0.0406704</v>
      </c>
      <c r="P574" s="6">
        <f t="shared" si="91"/>
        <v>11.2874658719855</v>
      </c>
      <c r="Q574" s="4">
        <f t="shared" si="92"/>
        <v>1.65926457808911</v>
      </c>
      <c r="T574">
        <v>67.114</v>
      </c>
      <c r="U574" s="7">
        <f t="shared" si="93"/>
        <v>6.84008928092499</v>
      </c>
      <c r="V574">
        <f t="shared" si="94"/>
        <v>2.7381064089331</v>
      </c>
      <c r="Y574">
        <v>0.12984426</v>
      </c>
      <c r="Z574" s="8">
        <v>2.12130633421916</v>
      </c>
      <c r="AA574">
        <f t="shared" si="95"/>
        <v>8.82894280550446</v>
      </c>
      <c r="AD574" s="9">
        <v>3.16803</v>
      </c>
      <c r="AE574">
        <f t="shared" si="96"/>
        <v>5.91184183791672</v>
      </c>
      <c r="AH574">
        <v>44.2394</v>
      </c>
      <c r="AI574" s="10">
        <f t="shared" si="97"/>
        <v>10.3768530314606</v>
      </c>
      <c r="AJ574">
        <f t="shared" si="98"/>
        <v>1.8048720783645</v>
      </c>
    </row>
    <row r="575" spans="1:36">
      <c r="A575" s="1" t="s">
        <v>596</v>
      </c>
      <c r="B575" s="1">
        <v>461232120</v>
      </c>
      <c r="C575" s="2">
        <v>1</v>
      </c>
      <c r="E575">
        <v>51.896655</v>
      </c>
      <c r="F575">
        <v>8887.511468</v>
      </c>
      <c r="G575" s="3">
        <f t="shared" si="88"/>
        <v>8.887511468</v>
      </c>
      <c r="I575" t="s">
        <v>596</v>
      </c>
      <c r="J575">
        <v>28.0789</v>
      </c>
      <c r="K575" s="5">
        <f t="shared" si="89"/>
        <v>16.4262887791188</v>
      </c>
      <c r="L575">
        <f t="shared" si="90"/>
        <v>1.84824389124702</v>
      </c>
      <c r="O575">
        <v>0.0423024</v>
      </c>
      <c r="P575" s="6">
        <f t="shared" si="91"/>
        <v>10.9032140020424</v>
      </c>
      <c r="Q575" s="4">
        <f t="shared" si="92"/>
        <v>1.50655474395364</v>
      </c>
      <c r="T575">
        <v>67.646</v>
      </c>
      <c r="U575" s="7">
        <f t="shared" si="93"/>
        <v>6.818320669367</v>
      </c>
      <c r="V575">
        <f t="shared" si="94"/>
        <v>2.40913995918644</v>
      </c>
      <c r="Y575">
        <v>0.12852936</v>
      </c>
      <c r="Z575" s="8">
        <v>2.15312106121123</v>
      </c>
      <c r="AA575">
        <f t="shared" si="95"/>
        <v>7.62905954293081</v>
      </c>
      <c r="AD575" s="9">
        <v>3.15435</v>
      </c>
      <c r="AE575">
        <f t="shared" si="96"/>
        <v>5.20750353610691</v>
      </c>
      <c r="AH575">
        <v>44.7423</v>
      </c>
      <c r="AI575" s="10">
        <f t="shared" si="97"/>
        <v>10.30863679337</v>
      </c>
      <c r="AJ575">
        <f t="shared" si="98"/>
        <v>1.59344917357874</v>
      </c>
    </row>
    <row r="576" spans="1:36">
      <c r="A576" s="1" t="s">
        <v>595</v>
      </c>
      <c r="B576" s="1">
        <v>461232120</v>
      </c>
      <c r="C576" s="2">
        <v>1</v>
      </c>
      <c r="E576">
        <v>52.075328</v>
      </c>
      <c r="F576">
        <v>8857.018076</v>
      </c>
      <c r="G576" s="3">
        <f t="shared" si="88"/>
        <v>8.857018076</v>
      </c>
      <c r="I576" t="s">
        <v>595</v>
      </c>
      <c r="J576">
        <v>28.5395</v>
      </c>
      <c r="K576" s="5">
        <f t="shared" si="89"/>
        <v>16.1611843234815</v>
      </c>
      <c r="L576">
        <f t="shared" si="90"/>
        <v>1.82467554935602</v>
      </c>
      <c r="O576">
        <v>0.0404944</v>
      </c>
      <c r="P576" s="6">
        <f t="shared" si="91"/>
        <v>11.3900223240744</v>
      </c>
      <c r="Q576" s="4">
        <f t="shared" si="92"/>
        <v>1.41888960913821</v>
      </c>
      <c r="T576">
        <v>67.576</v>
      </c>
      <c r="U576" s="7">
        <f t="shared" si="93"/>
        <v>6.8253835681307</v>
      </c>
      <c r="V576">
        <f t="shared" si="94"/>
        <v>2.36780602323096</v>
      </c>
      <c r="Y576">
        <v>0.12914244</v>
      </c>
      <c r="Z576" s="8">
        <v>2.14289951467542</v>
      </c>
      <c r="AA576">
        <f t="shared" si="95"/>
        <v>7.54173689097568</v>
      </c>
      <c r="AD576" s="9">
        <v>3.14196</v>
      </c>
      <c r="AE576">
        <f t="shared" si="96"/>
        <v>5.14366329408442</v>
      </c>
      <c r="AH576">
        <v>44.1693</v>
      </c>
      <c r="AI576" s="10">
        <f t="shared" si="97"/>
        <v>10.4423687946153</v>
      </c>
      <c r="AJ576">
        <f t="shared" si="98"/>
        <v>1.54765500446749</v>
      </c>
    </row>
    <row r="577" spans="1:36">
      <c r="A577" s="1" t="s">
        <v>597</v>
      </c>
      <c r="B577" s="1">
        <v>467091368</v>
      </c>
      <c r="C577" s="2">
        <v>4.28761e-5</v>
      </c>
      <c r="E577">
        <v>44.89171</v>
      </c>
      <c r="F577">
        <v>10404.846751</v>
      </c>
      <c r="G577" s="3">
        <f t="shared" si="88"/>
        <v>10.404846751</v>
      </c>
      <c r="I577" t="s">
        <v>597</v>
      </c>
      <c r="J577">
        <v>77.164</v>
      </c>
      <c r="K577" s="5">
        <f t="shared" si="89"/>
        <v>6.05322907055103</v>
      </c>
      <c r="L577">
        <f t="shared" si="90"/>
        <v>0.581770132267375</v>
      </c>
      <c r="O577">
        <v>0.0911424</v>
      </c>
      <c r="P577" s="6">
        <f t="shared" si="91"/>
        <v>5.12485262622007</v>
      </c>
      <c r="Q577" s="4">
        <f t="shared" si="92"/>
        <v>1.18115183246073</v>
      </c>
      <c r="T577">
        <v>535.05</v>
      </c>
      <c r="U577" s="7">
        <f t="shared" si="93"/>
        <v>0.872986390057004</v>
      </c>
      <c r="V577">
        <f t="shared" si="94"/>
        <v>6.93393292208802</v>
      </c>
      <c r="Y577">
        <v>0.00882036</v>
      </c>
      <c r="Z577" s="8">
        <v>31.7736261104989</v>
      </c>
      <c r="AA577">
        <f t="shared" si="95"/>
        <v>0.190511119174745</v>
      </c>
      <c r="AD577" s="9">
        <v>2.245023</v>
      </c>
      <c r="AE577">
        <f t="shared" si="96"/>
        <v>2.69628822090065</v>
      </c>
      <c r="AH577">
        <v>189.2273</v>
      </c>
      <c r="AI577" s="10">
        <f t="shared" si="97"/>
        <v>2.46841427214783</v>
      </c>
      <c r="AJ577">
        <f t="shared" si="98"/>
        <v>2.45227437665233</v>
      </c>
    </row>
    <row r="578" spans="1:36">
      <c r="A578" s="1" t="s">
        <v>598</v>
      </c>
      <c r="B578" s="1">
        <v>488889912</v>
      </c>
      <c r="C578" s="2">
        <v>1</v>
      </c>
      <c r="E578">
        <v>21.416483</v>
      </c>
      <c r="F578">
        <v>22827.739821</v>
      </c>
      <c r="G578" s="3">
        <f t="shared" ref="G578:G611" si="99">F578/1000</f>
        <v>22.827739821</v>
      </c>
      <c r="I578" t="s">
        <v>598</v>
      </c>
      <c r="J578">
        <v>8.18455</v>
      </c>
      <c r="K578" s="5">
        <f t="shared" ref="K578:K611" si="100">B578/J578/1000000</f>
        <v>59.7332671924541</v>
      </c>
      <c r="L578">
        <f t="shared" ref="L578:L611" si="101">K578/G578</f>
        <v>2.61669651313896</v>
      </c>
      <c r="O578">
        <v>0.0272672</v>
      </c>
      <c r="P578" s="6">
        <f t="shared" ref="P578:P603" si="102">B578/O578/1000000000</f>
        <v>17.9295971716935</v>
      </c>
      <c r="Q578" s="4">
        <f t="shared" ref="Q578:Q611" si="103">K578/P578</f>
        <v>3.33154541178196</v>
      </c>
      <c r="T578">
        <v>95.215</v>
      </c>
      <c r="U578" s="7">
        <f t="shared" ref="U578:U601" si="104">B578/T578/1000000</f>
        <v>5.13458921388437</v>
      </c>
      <c r="V578">
        <f t="shared" ref="V578:V611" si="105">K578/U578</f>
        <v>11.6335045909671</v>
      </c>
      <c r="Y578">
        <v>0.01878876</v>
      </c>
      <c r="Z578" s="8">
        <v>15.6122036366423</v>
      </c>
      <c r="AA578">
        <f t="shared" ref="AA578:AA611" si="106">K578/Z578</f>
        <v>3.82606252023631</v>
      </c>
      <c r="AD578" s="9">
        <v>3.97992</v>
      </c>
      <c r="AE578">
        <f t="shared" ref="AE578:AE611" si="107">K578/AD578</f>
        <v>15.0086602726824</v>
      </c>
      <c r="AH578">
        <v>19.8515</v>
      </c>
      <c r="AI578" s="10">
        <f t="shared" ref="AI578:AI601" si="108">B578/AH578/1000000</f>
        <v>24.6273537012316</v>
      </c>
      <c r="AJ578">
        <f t="shared" ref="AJ578:AJ611" si="109">K578/AI578</f>
        <v>2.42548460208564</v>
      </c>
    </row>
    <row r="579" spans="1:36">
      <c r="A579" s="1" t="s">
        <v>599</v>
      </c>
      <c r="B579" s="1">
        <v>489768668</v>
      </c>
      <c r="C579" s="2">
        <v>1</v>
      </c>
      <c r="E579">
        <v>21.803643</v>
      </c>
      <c r="F579">
        <v>22462.698753</v>
      </c>
      <c r="G579" s="3">
        <f t="shared" si="99"/>
        <v>22.462698753</v>
      </c>
      <c r="I579" t="s">
        <v>599</v>
      </c>
      <c r="J579">
        <v>8.21841</v>
      </c>
      <c r="K579" s="5">
        <f t="shared" si="100"/>
        <v>59.5940903410757</v>
      </c>
      <c r="L579">
        <f t="shared" si="101"/>
        <v>2.65302450949339</v>
      </c>
      <c r="O579">
        <v>0.0272</v>
      </c>
      <c r="P579" s="6">
        <f t="shared" si="102"/>
        <v>18.0062010294118</v>
      </c>
      <c r="Q579" s="4">
        <f t="shared" si="103"/>
        <v>3.30964261943612</v>
      </c>
      <c r="T579">
        <v>68.827</v>
      </c>
      <c r="U579" s="7">
        <f t="shared" si="104"/>
        <v>7.11593804756854</v>
      </c>
      <c r="V579">
        <f t="shared" si="105"/>
        <v>8.37473428558565</v>
      </c>
      <c r="Y579">
        <v>0.0191448</v>
      </c>
      <c r="Z579" s="8">
        <v>15.3494004011533</v>
      </c>
      <c r="AA579">
        <f t="shared" si="106"/>
        <v>3.88250281988852</v>
      </c>
      <c r="AD579" s="9">
        <v>3.94713</v>
      </c>
      <c r="AE579">
        <f t="shared" si="107"/>
        <v>15.0980814771937</v>
      </c>
      <c r="AH579">
        <v>19.8266</v>
      </c>
      <c r="AI579" s="10">
        <f t="shared" si="108"/>
        <v>24.7026049852219</v>
      </c>
      <c r="AJ579">
        <f t="shared" si="109"/>
        <v>2.41246177788648</v>
      </c>
    </row>
    <row r="580" spans="1:36">
      <c r="A580" s="1" t="s">
        <v>600</v>
      </c>
      <c r="B580" s="1">
        <v>492893748</v>
      </c>
      <c r="C580" s="2">
        <v>1</v>
      </c>
      <c r="E580">
        <v>21.349916</v>
      </c>
      <c r="F580">
        <v>23086.44905</v>
      </c>
      <c r="G580" s="3">
        <f t="shared" si="99"/>
        <v>23.08644905</v>
      </c>
      <c r="I580" t="s">
        <v>600</v>
      </c>
      <c r="J580">
        <v>8.28881</v>
      </c>
      <c r="K580" s="5">
        <f t="shared" si="100"/>
        <v>59.464959143713</v>
      </c>
      <c r="L580">
        <f t="shared" si="101"/>
        <v>2.57575164612477</v>
      </c>
      <c r="O580">
        <v>0.0273872</v>
      </c>
      <c r="P580" s="6">
        <f t="shared" si="102"/>
        <v>17.9972303849974</v>
      </c>
      <c r="Q580" s="4">
        <f t="shared" si="103"/>
        <v>3.30411723757693</v>
      </c>
      <c r="T580">
        <v>69.703</v>
      </c>
      <c r="U580" s="7">
        <f t="shared" si="104"/>
        <v>7.0713419508486</v>
      </c>
      <c r="V580">
        <f t="shared" si="105"/>
        <v>8.409289150071</v>
      </c>
      <c r="Y580">
        <v>0.01912824</v>
      </c>
      <c r="Z580" s="8">
        <v>15.4607140437385</v>
      </c>
      <c r="AA580">
        <f t="shared" si="106"/>
        <v>3.84619746380964</v>
      </c>
      <c r="AD580" s="9">
        <v>3.99858</v>
      </c>
      <c r="AE580">
        <f t="shared" si="107"/>
        <v>14.8715191752355</v>
      </c>
      <c r="AH580">
        <v>20.1424</v>
      </c>
      <c r="AI580" s="10">
        <f t="shared" si="108"/>
        <v>24.4704577408849</v>
      </c>
      <c r="AJ580">
        <f t="shared" si="109"/>
        <v>2.4300713853979</v>
      </c>
    </row>
    <row r="581" spans="1:36">
      <c r="A581" s="1" t="s">
        <v>601</v>
      </c>
      <c r="B581" s="1">
        <v>492894708</v>
      </c>
      <c r="C581" s="2">
        <v>1</v>
      </c>
      <c r="E581">
        <v>21.562196</v>
      </c>
      <c r="F581">
        <v>22859.207377</v>
      </c>
      <c r="G581" s="3">
        <f t="shared" si="99"/>
        <v>22.859207377</v>
      </c>
      <c r="I581" t="s">
        <v>601</v>
      </c>
      <c r="J581">
        <v>8.4956</v>
      </c>
      <c r="K581" s="5">
        <f t="shared" si="100"/>
        <v>58.0176453693677</v>
      </c>
      <c r="L581">
        <f t="shared" si="101"/>
        <v>2.53804274192563</v>
      </c>
      <c r="O581">
        <v>0.0274608</v>
      </c>
      <c r="P581" s="6">
        <f t="shared" si="102"/>
        <v>17.9490294528928</v>
      </c>
      <c r="Q581" s="4">
        <f t="shared" si="103"/>
        <v>3.23235557229625</v>
      </c>
      <c r="T581">
        <v>70.538</v>
      </c>
      <c r="U581" s="7">
        <f t="shared" si="104"/>
        <v>6.98764790609317</v>
      </c>
      <c r="V581">
        <f t="shared" si="105"/>
        <v>8.30288619991525</v>
      </c>
      <c r="Y581">
        <v>0.0190827</v>
      </c>
      <c r="Z581" s="8">
        <v>15.4976405225676</v>
      </c>
      <c r="AA581">
        <f t="shared" si="106"/>
        <v>3.743643768539</v>
      </c>
      <c r="AD581" s="9">
        <v>3.98892</v>
      </c>
      <c r="AE581">
        <f t="shared" si="107"/>
        <v>14.5447001617901</v>
      </c>
      <c r="AH581">
        <v>20.0368</v>
      </c>
      <c r="AI581" s="10">
        <f t="shared" si="108"/>
        <v>24.5994723708377</v>
      </c>
      <c r="AJ581">
        <f t="shared" si="109"/>
        <v>2.35849145439992</v>
      </c>
    </row>
    <row r="582" spans="1:36">
      <c r="A582" s="1" t="s">
        <v>602</v>
      </c>
      <c r="B582" s="1">
        <v>527862308</v>
      </c>
      <c r="C582" s="2">
        <v>0.999929</v>
      </c>
      <c r="E582">
        <v>251.961461</v>
      </c>
      <c r="F582">
        <v>2095.01209</v>
      </c>
      <c r="G582" s="3">
        <f t="shared" si="99"/>
        <v>2.09501209</v>
      </c>
      <c r="I582" t="s">
        <v>602</v>
      </c>
      <c r="J582">
        <v>244.816</v>
      </c>
      <c r="K582" s="5">
        <f t="shared" si="100"/>
        <v>2.15615935232991</v>
      </c>
      <c r="L582">
        <f t="shared" si="101"/>
        <v>1.02918706895382</v>
      </c>
      <c r="O582">
        <v>0.371784</v>
      </c>
      <c r="P582" s="6">
        <f t="shared" si="102"/>
        <v>1.41980910421105</v>
      </c>
      <c r="Q582" s="4">
        <f t="shared" si="103"/>
        <v>1.5186262335795</v>
      </c>
      <c r="T582">
        <v>232.178</v>
      </c>
      <c r="U582" s="7">
        <f t="shared" si="104"/>
        <v>2.27352422710162</v>
      </c>
      <c r="V582">
        <f t="shared" si="105"/>
        <v>0.948377557022417</v>
      </c>
      <c r="Y582">
        <v>0.8378892</v>
      </c>
      <c r="Z582" s="8">
        <v>0.377994351520464</v>
      </c>
      <c r="AA582">
        <f t="shared" si="106"/>
        <v>5.70421050911704</v>
      </c>
      <c r="AD582" s="9">
        <v>0.97725</v>
      </c>
      <c r="AE582">
        <f t="shared" si="107"/>
        <v>2.20635390363767</v>
      </c>
      <c r="AH582">
        <v>405.5368</v>
      </c>
      <c r="AI582" s="10">
        <f t="shared" si="108"/>
        <v>1.30163849002113</v>
      </c>
      <c r="AJ582">
        <f t="shared" si="109"/>
        <v>1.65649630743089</v>
      </c>
    </row>
    <row r="583" spans="1:36">
      <c r="A583" s="1" t="s">
        <v>603</v>
      </c>
      <c r="B583" s="1">
        <v>533316882</v>
      </c>
      <c r="C583" s="2">
        <v>0.945586</v>
      </c>
      <c r="E583">
        <v>59.371085</v>
      </c>
      <c r="F583">
        <v>8982.771379</v>
      </c>
      <c r="G583" s="3">
        <f t="shared" si="99"/>
        <v>8.982771379</v>
      </c>
      <c r="I583" t="s">
        <v>603</v>
      </c>
      <c r="J583">
        <v>35.6685</v>
      </c>
      <c r="K583" s="5">
        <f t="shared" si="100"/>
        <v>14.9520412128349</v>
      </c>
      <c r="L583">
        <f t="shared" si="101"/>
        <v>1.66452429678772</v>
      </c>
      <c r="O583">
        <v>0.0462</v>
      </c>
      <c r="P583" s="6">
        <f t="shared" si="102"/>
        <v>11.5436554545455</v>
      </c>
      <c r="Q583" s="4">
        <f t="shared" si="103"/>
        <v>1.29526052399176</v>
      </c>
      <c r="T583">
        <v>66.833</v>
      </c>
      <c r="U583" s="7">
        <f t="shared" si="104"/>
        <v>7.97984352041656</v>
      </c>
      <c r="V583">
        <f t="shared" si="105"/>
        <v>1.87372611688184</v>
      </c>
      <c r="Y583">
        <v>0.09721116</v>
      </c>
      <c r="Z583" s="8">
        <v>3.29170158241091</v>
      </c>
      <c r="AA583">
        <f t="shared" si="106"/>
        <v>4.54234408511712</v>
      </c>
      <c r="AD583" s="9">
        <v>3.39345</v>
      </c>
      <c r="AE583">
        <f t="shared" si="107"/>
        <v>4.40614749379978</v>
      </c>
      <c r="AH583">
        <v>54.2815</v>
      </c>
      <c r="AI583" s="10">
        <f t="shared" si="108"/>
        <v>9.82502108453156</v>
      </c>
      <c r="AJ583">
        <f t="shared" si="109"/>
        <v>1.52183298989304</v>
      </c>
    </row>
    <row r="584" spans="1:36">
      <c r="A584" s="1" t="s">
        <v>604</v>
      </c>
      <c r="B584" s="1">
        <v>538342094</v>
      </c>
      <c r="C584" s="2">
        <v>0.727804</v>
      </c>
      <c r="E584">
        <v>41.343264</v>
      </c>
      <c r="F584">
        <v>13021.277128</v>
      </c>
      <c r="G584" s="3">
        <f t="shared" si="99"/>
        <v>13.021277128</v>
      </c>
      <c r="I584" t="s">
        <v>604</v>
      </c>
      <c r="J584">
        <v>22.9296</v>
      </c>
      <c r="K584" s="5">
        <f t="shared" si="100"/>
        <v>23.4780412218268</v>
      </c>
      <c r="L584">
        <f t="shared" si="101"/>
        <v>1.80305211163514</v>
      </c>
      <c r="O584">
        <v>0.0406912</v>
      </c>
      <c r="P584" s="6">
        <f t="shared" si="102"/>
        <v>13.2299390040107</v>
      </c>
      <c r="Q584" s="4">
        <f t="shared" si="103"/>
        <v>1.77461447212337</v>
      </c>
      <c r="T584">
        <v>103.594</v>
      </c>
      <c r="U584" s="7">
        <f t="shared" si="104"/>
        <v>5.19665322315964</v>
      </c>
      <c r="V584">
        <f t="shared" si="105"/>
        <v>4.51791570720815</v>
      </c>
      <c r="Y584">
        <v>0.02890422</v>
      </c>
      <c r="Z584" s="8">
        <v>11.1750206855608</v>
      </c>
      <c r="AA584">
        <f t="shared" si="106"/>
        <v>2.10093939711116</v>
      </c>
      <c r="AD584" s="9">
        <v>3.78483</v>
      </c>
      <c r="AE584">
        <f t="shared" si="107"/>
        <v>6.20319571072593</v>
      </c>
      <c r="AH584">
        <v>32.2136</v>
      </c>
      <c r="AI584" s="10">
        <f t="shared" si="108"/>
        <v>16.7116402389053</v>
      </c>
      <c r="AJ584">
        <f t="shared" si="109"/>
        <v>1.40489149396413</v>
      </c>
    </row>
    <row r="585" spans="1:36">
      <c r="A585" s="1" t="s">
        <v>605</v>
      </c>
      <c r="B585" s="1">
        <v>541225572</v>
      </c>
      <c r="C585" s="2">
        <v>5.74779e-5</v>
      </c>
      <c r="E585">
        <v>45.927744</v>
      </c>
      <c r="F585">
        <v>11784.283916</v>
      </c>
      <c r="G585" s="3">
        <f t="shared" si="99"/>
        <v>11.784283916</v>
      </c>
      <c r="I585" t="s">
        <v>605</v>
      </c>
      <c r="J585">
        <v>82.1617</v>
      </c>
      <c r="K585" s="5">
        <f t="shared" si="100"/>
        <v>6.58732197605454</v>
      </c>
      <c r="L585">
        <f t="shared" si="101"/>
        <v>0.558992130791304</v>
      </c>
      <c r="O585">
        <v>0.1051056</v>
      </c>
      <c r="P585" s="6">
        <f t="shared" si="102"/>
        <v>5.14935048180116</v>
      </c>
      <c r="Q585" s="4">
        <f t="shared" si="103"/>
        <v>1.27925298527173</v>
      </c>
      <c r="T585">
        <v>504.439</v>
      </c>
      <c r="U585" s="7">
        <f t="shared" si="104"/>
        <v>1.07292570955061</v>
      </c>
      <c r="V585">
        <f t="shared" si="105"/>
        <v>6.13958815360442</v>
      </c>
      <c r="Y585">
        <v>0.008717346</v>
      </c>
      <c r="Z585" s="8">
        <v>24.2135591589459</v>
      </c>
      <c r="AA585">
        <f t="shared" si="106"/>
        <v>0.272050958424292</v>
      </c>
      <c r="AD585" s="9">
        <v>2.270211</v>
      </c>
      <c r="AE585">
        <f t="shared" si="107"/>
        <v>2.90163424283229</v>
      </c>
      <c r="AH585">
        <v>212.7313</v>
      </c>
      <c r="AI585" s="10">
        <f t="shared" si="108"/>
        <v>2.54417460900206</v>
      </c>
      <c r="AJ585">
        <f t="shared" si="109"/>
        <v>2.58917841281278</v>
      </c>
    </row>
    <row r="586" spans="1:36">
      <c r="A586" s="1" t="s">
        <v>606</v>
      </c>
      <c r="B586" s="1">
        <v>648643046</v>
      </c>
      <c r="C586" s="2">
        <v>0.174105</v>
      </c>
      <c r="E586">
        <v>67.437433</v>
      </c>
      <c r="F586">
        <v>9618.442151</v>
      </c>
      <c r="G586" s="3">
        <f t="shared" si="99"/>
        <v>9.618442151</v>
      </c>
      <c r="I586" t="s">
        <v>606</v>
      </c>
      <c r="J586">
        <v>69.7062</v>
      </c>
      <c r="K586" s="5">
        <f t="shared" si="100"/>
        <v>9.30538525984776</v>
      </c>
      <c r="L586">
        <f t="shared" si="101"/>
        <v>0.967452432916105</v>
      </c>
      <c r="O586">
        <v>0.1439696</v>
      </c>
      <c r="P586" s="6">
        <f t="shared" si="102"/>
        <v>4.50541674075638</v>
      </c>
      <c r="Q586" s="4">
        <f t="shared" si="103"/>
        <v>2.06537725482095</v>
      </c>
      <c r="T586">
        <v>1004.559</v>
      </c>
      <c r="U586" s="7">
        <f t="shared" si="104"/>
        <v>0.645699302878178</v>
      </c>
      <c r="V586">
        <f t="shared" si="105"/>
        <v>14.4113292648287</v>
      </c>
      <c r="Y586">
        <v>0.329625</v>
      </c>
      <c r="Z586" s="8">
        <v>1.18069268896473</v>
      </c>
      <c r="AA586">
        <f t="shared" si="106"/>
        <v>7.88129319917025</v>
      </c>
      <c r="AD586" s="9">
        <v>1.557921</v>
      </c>
      <c r="AE586">
        <f t="shared" si="107"/>
        <v>5.97295065657871</v>
      </c>
      <c r="AH586">
        <v>148.584</v>
      </c>
      <c r="AI586" s="10">
        <f t="shared" si="108"/>
        <v>4.3654972675389</v>
      </c>
      <c r="AJ586">
        <f t="shared" si="109"/>
        <v>2.13157509661981</v>
      </c>
    </row>
    <row r="587" spans="1:36">
      <c r="A587" s="1" t="s">
        <v>607</v>
      </c>
      <c r="B587" s="1">
        <v>866232788</v>
      </c>
      <c r="C587" s="2">
        <v>0.379022</v>
      </c>
      <c r="E587">
        <v>74.303781</v>
      </c>
      <c r="F587">
        <v>11657.990704</v>
      </c>
      <c r="G587" s="3">
        <f t="shared" si="99"/>
        <v>11.657990704</v>
      </c>
      <c r="I587" t="s">
        <v>607</v>
      </c>
      <c r="J587">
        <v>32.8208</v>
      </c>
      <c r="K587" s="5">
        <f t="shared" si="100"/>
        <v>26.3927993223809</v>
      </c>
      <c r="L587">
        <f t="shared" si="101"/>
        <v>2.26392351756853</v>
      </c>
      <c r="O587">
        <v>0.0598752</v>
      </c>
      <c r="P587" s="6">
        <f t="shared" si="102"/>
        <v>14.4673051279996</v>
      </c>
      <c r="Q587" s="4">
        <f t="shared" si="103"/>
        <v>1.8243065373178</v>
      </c>
      <c r="T587">
        <v>187.551</v>
      </c>
      <c r="U587" s="7">
        <f t="shared" si="104"/>
        <v>4.61865192934189</v>
      </c>
      <c r="V587">
        <f t="shared" si="105"/>
        <v>5.71439453029786</v>
      </c>
      <c r="Y587">
        <v>0.006332382</v>
      </c>
      <c r="Z587" s="8">
        <v>82.0764876155608</v>
      </c>
      <c r="AA587">
        <f t="shared" si="106"/>
        <v>0.321563459757227</v>
      </c>
      <c r="AD587" s="9">
        <v>3.63168</v>
      </c>
      <c r="AE587">
        <f t="shared" si="107"/>
        <v>7.26738019935152</v>
      </c>
      <c r="AH587">
        <v>73.507</v>
      </c>
      <c r="AI587" s="10">
        <f t="shared" si="108"/>
        <v>11.7843577890541</v>
      </c>
      <c r="AJ587">
        <f t="shared" si="109"/>
        <v>2.23964680934042</v>
      </c>
    </row>
    <row r="588" spans="1:36">
      <c r="A588" s="1" t="s">
        <v>608</v>
      </c>
      <c r="B588" s="1">
        <v>1040987838</v>
      </c>
      <c r="C588" s="2">
        <v>0.932529</v>
      </c>
      <c r="E588">
        <v>210.932318</v>
      </c>
      <c r="F588">
        <v>4935.174683</v>
      </c>
      <c r="G588" s="3">
        <f t="shared" si="99"/>
        <v>4.935174683</v>
      </c>
      <c r="I588" t="s">
        <v>608</v>
      </c>
      <c r="J588">
        <v>365.608</v>
      </c>
      <c r="K588" s="5">
        <f t="shared" si="100"/>
        <v>2.84727860987725</v>
      </c>
      <c r="L588">
        <f t="shared" si="101"/>
        <v>0.576935730296468</v>
      </c>
      <c r="O588">
        <v>0.4946768</v>
      </c>
      <c r="P588" s="6">
        <f t="shared" si="102"/>
        <v>2.10437974451197</v>
      </c>
      <c r="Q588" s="4">
        <f t="shared" si="103"/>
        <v>1.35302509791908</v>
      </c>
      <c r="T588">
        <v>398.198</v>
      </c>
      <c r="U588" s="7">
        <f t="shared" si="104"/>
        <v>2.61424677672916</v>
      </c>
      <c r="V588">
        <f t="shared" si="105"/>
        <v>1.08913918732632</v>
      </c>
      <c r="Y588">
        <v>2.075796</v>
      </c>
      <c r="Z588" s="8">
        <v>0.300893104524722</v>
      </c>
      <c r="AA588">
        <f t="shared" si="106"/>
        <v>9.4627579265224</v>
      </c>
      <c r="AD588" s="9">
        <v>1.303662</v>
      </c>
      <c r="AE588">
        <f t="shared" si="107"/>
        <v>2.18406198069534</v>
      </c>
      <c r="AH588">
        <v>1032.3683</v>
      </c>
      <c r="AI588" s="10">
        <f t="shared" si="108"/>
        <v>1.00834928581205</v>
      </c>
      <c r="AJ588">
        <f t="shared" si="109"/>
        <v>2.82370270891228</v>
      </c>
    </row>
    <row r="589" spans="1:36">
      <c r="A589" s="1" t="s">
        <v>609</v>
      </c>
      <c r="B589" s="1">
        <v>1040988978</v>
      </c>
      <c r="C589" s="2">
        <v>0.932452</v>
      </c>
      <c r="E589">
        <v>215.452721</v>
      </c>
      <c r="F589">
        <v>4831.635335</v>
      </c>
      <c r="G589" s="3">
        <f t="shared" si="99"/>
        <v>4.831635335</v>
      </c>
      <c r="I589" t="s">
        <v>609</v>
      </c>
      <c r="J589">
        <v>393.102</v>
      </c>
      <c r="K589" s="5">
        <f t="shared" si="100"/>
        <v>2.64813961261963</v>
      </c>
      <c r="L589">
        <f t="shared" si="101"/>
        <v>0.548083501550024</v>
      </c>
      <c r="O589">
        <v>0.5048352</v>
      </c>
      <c r="P589" s="6">
        <f t="shared" si="102"/>
        <v>2.06203723115979</v>
      </c>
      <c r="Q589" s="4">
        <f t="shared" si="103"/>
        <v>1.28423462612757</v>
      </c>
      <c r="T589">
        <v>396.749</v>
      </c>
      <c r="U589" s="7">
        <f t="shared" si="104"/>
        <v>2.62379735802737</v>
      </c>
      <c r="V589">
        <f t="shared" si="105"/>
        <v>1.00927749032058</v>
      </c>
      <c r="Y589">
        <v>2.043666</v>
      </c>
      <c r="Z589" s="8">
        <v>0.305624004509543</v>
      </c>
      <c r="AA589">
        <f t="shared" si="106"/>
        <v>8.66469771204421</v>
      </c>
      <c r="AD589" s="9">
        <v>1.292139</v>
      </c>
      <c r="AE589">
        <f t="shared" si="107"/>
        <v>2.04942317554042</v>
      </c>
      <c r="AH589">
        <v>1020.9533</v>
      </c>
      <c r="AI589" s="10">
        <f t="shared" si="108"/>
        <v>1.01962448037535</v>
      </c>
      <c r="AJ589">
        <f t="shared" si="109"/>
        <v>2.59717147203525</v>
      </c>
    </row>
    <row r="590" spans="1:36">
      <c r="A590" s="1" t="s">
        <v>610</v>
      </c>
      <c r="B590" s="1">
        <v>1040988978</v>
      </c>
      <c r="C590" s="2">
        <v>0.932452</v>
      </c>
      <c r="E590">
        <v>207.871255</v>
      </c>
      <c r="F590">
        <v>5007.854385</v>
      </c>
      <c r="G590" s="3">
        <f t="shared" si="99"/>
        <v>5.007854385</v>
      </c>
      <c r="I590" t="s">
        <v>610</v>
      </c>
      <c r="J590">
        <v>124.038</v>
      </c>
      <c r="K590" s="5">
        <f t="shared" si="100"/>
        <v>8.39250050790887</v>
      </c>
      <c r="L590">
        <f t="shared" si="101"/>
        <v>1.67586751983981</v>
      </c>
      <c r="O590">
        <v>0.5042944</v>
      </c>
      <c r="P590" s="6">
        <f t="shared" si="102"/>
        <v>2.06424853815549</v>
      </c>
      <c r="Q590" s="4">
        <f t="shared" si="103"/>
        <v>4.06564439929699</v>
      </c>
      <c r="T590">
        <v>394.389</v>
      </c>
      <c r="U590" s="7">
        <f t="shared" si="104"/>
        <v>2.63949800324046</v>
      </c>
      <c r="V590">
        <f t="shared" si="105"/>
        <v>3.17958206356117</v>
      </c>
      <c r="Y590">
        <v>2.077074</v>
      </c>
      <c r="Z590" s="8">
        <v>0.300708297730365</v>
      </c>
      <c r="AA590">
        <f t="shared" si="106"/>
        <v>27.9091084990084</v>
      </c>
      <c r="AD590" s="9">
        <v>1.301025</v>
      </c>
      <c r="AE590">
        <f t="shared" si="107"/>
        <v>6.45068350562738</v>
      </c>
      <c r="AH590">
        <v>1018.6417</v>
      </c>
      <c r="AI590" s="10">
        <f t="shared" si="108"/>
        <v>1.02193831059537</v>
      </c>
      <c r="AJ590">
        <f t="shared" si="109"/>
        <v>8.21233573582289</v>
      </c>
    </row>
    <row r="591" spans="1:36">
      <c r="A591" s="1" t="s">
        <v>611</v>
      </c>
      <c r="B591" s="1">
        <v>1165401468</v>
      </c>
      <c r="C591" s="2">
        <v>0.00497225</v>
      </c>
      <c r="E591">
        <v>1666.480107</v>
      </c>
      <c r="F591">
        <v>699.31916</v>
      </c>
      <c r="G591" s="3">
        <f t="shared" si="99"/>
        <v>0.69931916</v>
      </c>
      <c r="I591" t="s">
        <v>611</v>
      </c>
      <c r="J591">
        <v>921.176</v>
      </c>
      <c r="K591" s="5">
        <f t="shared" si="100"/>
        <v>1.26512356813465</v>
      </c>
      <c r="L591">
        <f t="shared" si="101"/>
        <v>1.80907894491929</v>
      </c>
      <c r="O591">
        <v>0.615192</v>
      </c>
      <c r="P591" s="6">
        <f t="shared" si="102"/>
        <v>1.89437032341123</v>
      </c>
      <c r="Q591" s="4">
        <f t="shared" si="103"/>
        <v>0.667833291358003</v>
      </c>
      <c r="T591">
        <v>11333.133</v>
      </c>
      <c r="U591" s="7">
        <f t="shared" si="104"/>
        <v>0.10283135898961</v>
      </c>
      <c r="V591">
        <f t="shared" si="105"/>
        <v>12.3028965148897</v>
      </c>
      <c r="Y591">
        <v>0.1048185</v>
      </c>
      <c r="Z591" s="8">
        <v>6.67096820504014</v>
      </c>
      <c r="AA591">
        <f t="shared" si="106"/>
        <v>0.189646169678758</v>
      </c>
      <c r="AD591" s="9">
        <v>0.967644</v>
      </c>
      <c r="AE591">
        <f t="shared" si="107"/>
        <v>1.30742666531766</v>
      </c>
      <c r="AH591">
        <v>1056.6</v>
      </c>
      <c r="AI591" s="10">
        <f t="shared" si="108"/>
        <v>1.10297318568995</v>
      </c>
      <c r="AJ591">
        <f t="shared" si="109"/>
        <v>1.14701208021051</v>
      </c>
    </row>
    <row r="592" spans="1:36">
      <c r="A592" s="1" t="s">
        <v>612</v>
      </c>
      <c r="B592" s="1">
        <v>1192131702</v>
      </c>
      <c r="C592" s="2">
        <v>1</v>
      </c>
      <c r="E592">
        <v>134.315622</v>
      </c>
      <c r="F592">
        <v>8875.599785</v>
      </c>
      <c r="G592" s="3">
        <f t="shared" si="99"/>
        <v>8.875599785</v>
      </c>
      <c r="I592" t="s">
        <v>612</v>
      </c>
      <c r="J592">
        <v>21.4896</v>
      </c>
      <c r="K592" s="5">
        <f t="shared" si="100"/>
        <v>55.4748204712977</v>
      </c>
      <c r="L592">
        <f t="shared" si="101"/>
        <v>6.25026159528415</v>
      </c>
      <c r="O592">
        <v>0.0682752</v>
      </c>
      <c r="P592" s="6">
        <f t="shared" si="102"/>
        <v>17.4606841429978</v>
      </c>
      <c r="Q592" s="4">
        <f t="shared" si="103"/>
        <v>3.1771275407639</v>
      </c>
      <c r="T592">
        <v>138.79</v>
      </c>
      <c r="U592" s="7">
        <f t="shared" si="104"/>
        <v>8.58946395273435</v>
      </c>
      <c r="V592">
        <f t="shared" si="105"/>
        <v>6.45847293574566</v>
      </c>
      <c r="Y592">
        <v>0.16846164</v>
      </c>
      <c r="Z592" s="8">
        <v>4.24594596847092</v>
      </c>
      <c r="AA592">
        <f t="shared" si="106"/>
        <v>13.0653618494528</v>
      </c>
      <c r="AD592" s="9">
        <v>3.90579</v>
      </c>
      <c r="AE592">
        <f t="shared" si="107"/>
        <v>14.2032266126181</v>
      </c>
      <c r="AH592">
        <v>50.3832</v>
      </c>
      <c r="AI592" s="10">
        <f t="shared" si="108"/>
        <v>23.6612938836755</v>
      </c>
      <c r="AJ592">
        <f t="shared" si="109"/>
        <v>2.34453875362966</v>
      </c>
    </row>
    <row r="593" spans="1:36">
      <c r="A593" s="1" t="s">
        <v>613</v>
      </c>
      <c r="B593" s="1">
        <v>1240402324</v>
      </c>
      <c r="C593" s="2">
        <v>1</v>
      </c>
      <c r="E593">
        <v>145.848335</v>
      </c>
      <c r="F593">
        <v>8504.741046</v>
      </c>
      <c r="G593" s="3">
        <f t="shared" si="99"/>
        <v>8.504741046</v>
      </c>
      <c r="I593" t="s">
        <v>613</v>
      </c>
      <c r="J593">
        <v>54.8842</v>
      </c>
      <c r="K593" s="5">
        <f t="shared" si="100"/>
        <v>22.6003535443716</v>
      </c>
      <c r="L593">
        <f t="shared" si="101"/>
        <v>2.65738291408662</v>
      </c>
      <c r="O593">
        <v>0.1019024</v>
      </c>
      <c r="P593" s="6">
        <f t="shared" si="102"/>
        <v>12.1724544662344</v>
      </c>
      <c r="Q593" s="4">
        <f t="shared" si="103"/>
        <v>1.85668006457232</v>
      </c>
      <c r="T593">
        <v>166.926</v>
      </c>
      <c r="U593" s="7">
        <f t="shared" si="104"/>
        <v>7.43085153900531</v>
      </c>
      <c r="V593">
        <f t="shared" si="105"/>
        <v>3.04142175708127</v>
      </c>
      <c r="Y593">
        <v>0.03174948</v>
      </c>
      <c r="Z593" s="8">
        <v>23.4410577559066</v>
      </c>
      <c r="AA593">
        <f t="shared" si="106"/>
        <v>0.964135397801187</v>
      </c>
      <c r="AD593" s="9">
        <v>3.29652</v>
      </c>
      <c r="AE593">
        <f t="shared" si="107"/>
        <v>6.85582175881584</v>
      </c>
      <c r="AH593">
        <v>120.9177</v>
      </c>
      <c r="AI593" s="10">
        <f t="shared" si="108"/>
        <v>10.2582361722064</v>
      </c>
      <c r="AJ593">
        <f t="shared" si="109"/>
        <v>2.20314225223288</v>
      </c>
    </row>
    <row r="594" spans="1:36">
      <c r="A594" s="1" t="s">
        <v>614</v>
      </c>
      <c r="B594" s="1">
        <v>1337750372</v>
      </c>
      <c r="C594" s="2">
        <v>0.267839</v>
      </c>
      <c r="E594">
        <v>376.93105</v>
      </c>
      <c r="F594">
        <v>3549.058565</v>
      </c>
      <c r="G594" s="3">
        <f t="shared" si="99"/>
        <v>3.549058565</v>
      </c>
      <c r="I594" t="s">
        <v>614</v>
      </c>
      <c r="J594">
        <v>528.161</v>
      </c>
      <c r="K594" s="5">
        <f t="shared" si="100"/>
        <v>2.53284580270031</v>
      </c>
      <c r="L594">
        <f t="shared" si="101"/>
        <v>0.713666950350906</v>
      </c>
      <c r="O594">
        <v>0.416112</v>
      </c>
      <c r="P594" s="6">
        <f t="shared" si="102"/>
        <v>3.21488054177721</v>
      </c>
      <c r="Q594" s="4">
        <f t="shared" si="103"/>
        <v>0.787850674320898</v>
      </c>
      <c r="T594">
        <v>2071.085</v>
      </c>
      <c r="U594" s="7">
        <f t="shared" si="104"/>
        <v>0.645917657652873</v>
      </c>
      <c r="V594">
        <f t="shared" si="105"/>
        <v>3.92131376606754</v>
      </c>
      <c r="Y594">
        <v>0.006938658</v>
      </c>
      <c r="Z594" s="8">
        <v>115.678020620126</v>
      </c>
      <c r="AA594">
        <f t="shared" si="106"/>
        <v>0.0218956530300419</v>
      </c>
      <c r="AD594" s="9">
        <v>1.672191</v>
      </c>
      <c r="AE594">
        <f t="shared" si="107"/>
        <v>1.51468690042006</v>
      </c>
      <c r="AH594">
        <v>830.0927</v>
      </c>
      <c r="AI594" s="10">
        <f t="shared" si="108"/>
        <v>1.61156744541905</v>
      </c>
      <c r="AJ594">
        <f t="shared" si="109"/>
        <v>1.57166602607917</v>
      </c>
    </row>
    <row r="595" spans="1:36">
      <c r="A595" s="1" t="s">
        <v>615</v>
      </c>
      <c r="B595" s="1">
        <v>1357697784</v>
      </c>
      <c r="C595" s="2">
        <v>0.314159</v>
      </c>
      <c r="E595">
        <v>407.980304</v>
      </c>
      <c r="F595">
        <v>3327.851293</v>
      </c>
      <c r="G595" s="3">
        <f t="shared" si="99"/>
        <v>3.327851293</v>
      </c>
      <c r="I595" t="s">
        <v>615</v>
      </c>
      <c r="J595">
        <v>446.889</v>
      </c>
      <c r="K595" s="5">
        <f t="shared" si="100"/>
        <v>3.03810965138994</v>
      </c>
      <c r="L595">
        <f t="shared" si="101"/>
        <v>0.912934318243271</v>
      </c>
      <c r="O595">
        <v>0.3399792</v>
      </c>
      <c r="P595" s="6">
        <f t="shared" si="102"/>
        <v>3.9934730830592</v>
      </c>
      <c r="Q595" s="4">
        <f t="shared" si="103"/>
        <v>0.760768781509502</v>
      </c>
      <c r="T595">
        <v>1035.184</v>
      </c>
      <c r="U595" s="7">
        <f t="shared" si="104"/>
        <v>1.31155213372695</v>
      </c>
      <c r="V595">
        <f t="shared" si="105"/>
        <v>2.3164230938779</v>
      </c>
      <c r="Y595">
        <v>0.008887662</v>
      </c>
      <c r="Z595" s="8">
        <v>91.6572514121262</v>
      </c>
      <c r="AA595">
        <f t="shared" si="106"/>
        <v>0.0331464189093936</v>
      </c>
      <c r="AD595" s="9">
        <v>1.706229</v>
      </c>
      <c r="AE595">
        <f t="shared" si="107"/>
        <v>1.78059900012832</v>
      </c>
      <c r="AH595">
        <v>795.446</v>
      </c>
      <c r="AI595" s="10">
        <f t="shared" si="108"/>
        <v>1.70683840763546</v>
      </c>
      <c r="AJ595">
        <f t="shared" si="109"/>
        <v>1.77996325709516</v>
      </c>
    </row>
    <row r="596" spans="1:36">
      <c r="A596" s="1" t="s">
        <v>616</v>
      </c>
      <c r="B596" s="1">
        <v>1762440102</v>
      </c>
      <c r="C596" s="2">
        <v>0.382009</v>
      </c>
      <c r="E596">
        <v>459.312817</v>
      </c>
      <c r="F596">
        <v>3837.123716</v>
      </c>
      <c r="G596" s="3">
        <f t="shared" si="99"/>
        <v>3.837123716</v>
      </c>
      <c r="I596" t="s">
        <v>616</v>
      </c>
      <c r="J596">
        <v>1967.86</v>
      </c>
      <c r="K596" s="5">
        <f t="shared" si="100"/>
        <v>0.895612544591587</v>
      </c>
      <c r="L596">
        <f t="shared" si="101"/>
        <v>0.233407263064537</v>
      </c>
      <c r="O596">
        <v>0.753672</v>
      </c>
      <c r="P596" s="6">
        <f t="shared" si="102"/>
        <v>2.33847098207178</v>
      </c>
      <c r="Q596" s="4">
        <f t="shared" si="103"/>
        <v>0.382990659904668</v>
      </c>
      <c r="T596">
        <v>7313.986</v>
      </c>
      <c r="U596" s="7">
        <f t="shared" si="104"/>
        <v>0.240968481755366</v>
      </c>
      <c r="V596">
        <f t="shared" si="105"/>
        <v>3.71672070167593</v>
      </c>
      <c r="Y596">
        <v>1.2419442</v>
      </c>
      <c r="Z596" s="8">
        <v>0.851458593067225</v>
      </c>
      <c r="AA596">
        <f t="shared" si="106"/>
        <v>1.05185683940931</v>
      </c>
      <c r="AD596" s="9">
        <v>1.148817</v>
      </c>
      <c r="AE596">
        <f t="shared" si="107"/>
        <v>0.779595483520514</v>
      </c>
      <c r="AH596">
        <v>1775.0283</v>
      </c>
      <c r="AI596" s="10">
        <f t="shared" si="108"/>
        <v>0.992908170534521</v>
      </c>
      <c r="AJ596">
        <f t="shared" si="109"/>
        <v>0.902009441728578</v>
      </c>
    </row>
    <row r="597" spans="1:36">
      <c r="A597" s="1" t="s">
        <v>618</v>
      </c>
      <c r="B597" s="1">
        <v>1809439090</v>
      </c>
      <c r="C597" s="2">
        <v>0.365697</v>
      </c>
      <c r="E597">
        <v>449.069212</v>
      </c>
      <c r="F597">
        <v>4029.310048</v>
      </c>
      <c r="G597" s="3">
        <f t="shared" si="99"/>
        <v>4.029310048</v>
      </c>
      <c r="I597" t="s">
        <v>618</v>
      </c>
      <c r="J597">
        <v>2310.86</v>
      </c>
      <c r="K597" s="5">
        <f t="shared" si="100"/>
        <v>0.783015453121349</v>
      </c>
      <c r="L597">
        <f t="shared" si="101"/>
        <v>0.194329908543526</v>
      </c>
      <c r="O597">
        <v>0.7710832</v>
      </c>
      <c r="P597" s="6">
        <f t="shared" si="102"/>
        <v>2.34661978110793</v>
      </c>
      <c r="Q597" s="4">
        <f t="shared" si="103"/>
        <v>0.333678024631522</v>
      </c>
      <c r="T597">
        <v>9094.835</v>
      </c>
      <c r="U597" s="7">
        <f t="shared" si="104"/>
        <v>0.198952382313698</v>
      </c>
      <c r="V597">
        <f t="shared" si="105"/>
        <v>3.93569277238777</v>
      </c>
      <c r="Y597">
        <v>1.2648726</v>
      </c>
      <c r="Z597" s="8">
        <v>0.858318421950163</v>
      </c>
      <c r="AA597">
        <f t="shared" si="106"/>
        <v>0.912266861687857</v>
      </c>
      <c r="AD597" s="9">
        <v>1.157616</v>
      </c>
      <c r="AE597">
        <f t="shared" si="107"/>
        <v>0.676403447361948</v>
      </c>
      <c r="AH597">
        <v>1803.51</v>
      </c>
      <c r="AI597" s="10">
        <f t="shared" si="108"/>
        <v>1.00328752820888</v>
      </c>
      <c r="AJ597">
        <f t="shared" si="109"/>
        <v>0.780449702708083</v>
      </c>
    </row>
    <row r="598" spans="1:36">
      <c r="A598" s="1" t="s">
        <v>617</v>
      </c>
      <c r="B598" s="1">
        <v>1809439090</v>
      </c>
      <c r="C598" s="2">
        <v>0.325966</v>
      </c>
      <c r="E598">
        <v>459.164515</v>
      </c>
      <c r="F598">
        <v>3940.720655</v>
      </c>
      <c r="G598" s="3">
        <f t="shared" si="99"/>
        <v>3.940720655</v>
      </c>
      <c r="I598" t="s">
        <v>617</v>
      </c>
      <c r="J598">
        <v>1511.57</v>
      </c>
      <c r="K598" s="5">
        <f t="shared" si="100"/>
        <v>1.19705940842965</v>
      </c>
      <c r="L598">
        <f t="shared" si="101"/>
        <v>0.303766623729295</v>
      </c>
      <c r="O598">
        <v>0.797144</v>
      </c>
      <c r="P598" s="6">
        <f t="shared" si="102"/>
        <v>2.2699024141184</v>
      </c>
      <c r="Q598" s="4">
        <f t="shared" si="103"/>
        <v>0.527361617391189</v>
      </c>
      <c r="T598">
        <v>9125.013</v>
      </c>
      <c r="U598" s="7">
        <f t="shared" si="104"/>
        <v>0.198294412292892</v>
      </c>
      <c r="V598">
        <f t="shared" si="105"/>
        <v>6.03677831658474</v>
      </c>
      <c r="Y598">
        <v>1.2820842</v>
      </c>
      <c r="Z598" s="8">
        <v>0.846795751792277</v>
      </c>
      <c r="AA598">
        <f t="shared" si="106"/>
        <v>1.41363416844738</v>
      </c>
      <c r="AD598" s="9">
        <v>1.150905</v>
      </c>
      <c r="AE598">
        <f t="shared" si="107"/>
        <v>1.04010270911122</v>
      </c>
      <c r="AH598">
        <v>1794.2617</v>
      </c>
      <c r="AI598" s="10">
        <f t="shared" si="108"/>
        <v>1.00845884967616</v>
      </c>
      <c r="AJ598">
        <f t="shared" si="109"/>
        <v>1.18701859655855</v>
      </c>
    </row>
    <row r="599" spans="1:36">
      <c r="A599" s="1" t="s">
        <v>619</v>
      </c>
      <c r="B599" s="1">
        <v>1812018218</v>
      </c>
      <c r="C599" s="2">
        <v>0.334719</v>
      </c>
      <c r="E599">
        <v>481.636965</v>
      </c>
      <c r="F599">
        <v>3762.207534</v>
      </c>
      <c r="G599" s="3">
        <f t="shared" si="99"/>
        <v>3.762207534</v>
      </c>
      <c r="I599" t="s">
        <v>619</v>
      </c>
      <c r="J599">
        <v>1890.53</v>
      </c>
      <c r="K599" s="5">
        <f t="shared" si="100"/>
        <v>0.958471020295896</v>
      </c>
      <c r="L599">
        <f t="shared" si="101"/>
        <v>0.254762931506026</v>
      </c>
      <c r="O599">
        <v>0.7917968</v>
      </c>
      <c r="P599" s="6">
        <f t="shared" si="102"/>
        <v>2.28848893807098</v>
      </c>
      <c r="Q599" s="4">
        <f t="shared" si="103"/>
        <v>0.418822658196379</v>
      </c>
      <c r="T599">
        <v>7174.428</v>
      </c>
      <c r="U599" s="7">
        <f t="shared" si="104"/>
        <v>0.252566227997549</v>
      </c>
      <c r="V599">
        <f t="shared" si="105"/>
        <v>3.79492946422432</v>
      </c>
      <c r="Y599">
        <v>1.280115</v>
      </c>
      <c r="Z599" s="8">
        <v>0.849307234740629</v>
      </c>
      <c r="AA599">
        <f t="shared" si="106"/>
        <v>1.12853273949633</v>
      </c>
      <c r="AD599" s="9">
        <v>1.088328</v>
      </c>
      <c r="AE599">
        <f t="shared" si="107"/>
        <v>0.880682129188899</v>
      </c>
      <c r="AH599">
        <v>1784.9867</v>
      </c>
      <c r="AI599" s="10">
        <f t="shared" si="108"/>
        <v>1.01514382039933</v>
      </c>
      <c r="AJ599">
        <f t="shared" si="109"/>
        <v>0.944172639418576</v>
      </c>
    </row>
    <row r="600" spans="1:36">
      <c r="A600" s="1" t="s">
        <v>620</v>
      </c>
      <c r="B600" s="1">
        <v>1821434330</v>
      </c>
      <c r="C600" s="2">
        <v>0.372467</v>
      </c>
      <c r="E600">
        <v>528.856037</v>
      </c>
      <c r="F600">
        <v>3444.102369</v>
      </c>
      <c r="G600" s="3">
        <f t="shared" si="99"/>
        <v>3.444102369</v>
      </c>
      <c r="I600" t="s">
        <v>620</v>
      </c>
      <c r="J600">
        <v>2026.16</v>
      </c>
      <c r="K600" s="5">
        <f t="shared" si="100"/>
        <v>0.898958784103921</v>
      </c>
      <c r="L600">
        <f t="shared" si="101"/>
        <v>0.261013955971621</v>
      </c>
      <c r="O600">
        <v>0.8074512</v>
      </c>
      <c r="P600" s="6">
        <f t="shared" si="102"/>
        <v>2.25578255379396</v>
      </c>
      <c r="Q600" s="4">
        <f t="shared" si="103"/>
        <v>0.39851304931496</v>
      </c>
      <c r="T600">
        <v>7271.662</v>
      </c>
      <c r="U600" s="7">
        <f t="shared" si="104"/>
        <v>0.250483910005718</v>
      </c>
      <c r="V600">
        <f t="shared" si="105"/>
        <v>3.58888834050618</v>
      </c>
      <c r="Y600">
        <v>1.2571776</v>
      </c>
      <c r="Z600" s="8">
        <v>0.86929690602187</v>
      </c>
      <c r="AA600">
        <f t="shared" si="106"/>
        <v>1.03412168831682</v>
      </c>
      <c r="AD600" s="9">
        <v>1.08558</v>
      </c>
      <c r="AE600">
        <f t="shared" si="107"/>
        <v>0.828090775533743</v>
      </c>
      <c r="AH600">
        <v>1801.625</v>
      </c>
      <c r="AI600" s="10">
        <f t="shared" si="108"/>
        <v>1.0109952570596</v>
      </c>
      <c r="AJ600">
        <f t="shared" si="109"/>
        <v>0.88918199944723</v>
      </c>
    </row>
    <row r="601" spans="1:36">
      <c r="A601" s="1" t="s">
        <v>621</v>
      </c>
      <c r="B601" s="1">
        <v>1821434330</v>
      </c>
      <c r="C601" s="2">
        <v>0.372467</v>
      </c>
      <c r="E601">
        <v>532.873629</v>
      </c>
      <c r="F601">
        <v>3418.135616</v>
      </c>
      <c r="G601" s="3">
        <f t="shared" si="99"/>
        <v>3.418135616</v>
      </c>
      <c r="I601" t="s">
        <v>621</v>
      </c>
      <c r="J601">
        <v>2007.02</v>
      </c>
      <c r="K601" s="5">
        <f t="shared" si="100"/>
        <v>0.9075317286325</v>
      </c>
      <c r="L601">
        <f t="shared" si="101"/>
        <v>0.265504892311593</v>
      </c>
      <c r="O601">
        <v>0.8013152</v>
      </c>
      <c r="P601" s="6">
        <f t="shared" si="102"/>
        <v>2.27305600842215</v>
      </c>
      <c r="Q601" s="4">
        <f t="shared" si="103"/>
        <v>0.399256210700441</v>
      </c>
      <c r="T601">
        <v>7282.231</v>
      </c>
      <c r="U601" s="7">
        <f t="shared" si="104"/>
        <v>0.250120372451794</v>
      </c>
      <c r="V601">
        <f t="shared" si="105"/>
        <v>3.62837988659804</v>
      </c>
      <c r="Y601">
        <v>1.3869558</v>
      </c>
      <c r="Z601" s="8">
        <v>0.787956327086991</v>
      </c>
      <c r="AA601">
        <f t="shared" si="106"/>
        <v>1.15175384400753</v>
      </c>
      <c r="AD601" s="9">
        <v>1.088247</v>
      </c>
      <c r="AE601">
        <f t="shared" si="107"/>
        <v>0.833939104479498</v>
      </c>
      <c r="AH601">
        <v>1801.41</v>
      </c>
      <c r="AI601" s="10">
        <f t="shared" si="108"/>
        <v>1.01111592030687</v>
      </c>
      <c r="AJ601">
        <f t="shared" si="109"/>
        <v>0.897554583412223</v>
      </c>
    </row>
    <row r="602" spans="1:36">
      <c r="A602" s="1" t="s">
        <v>622</v>
      </c>
      <c r="B602" s="1">
        <v>7760091282</v>
      </c>
      <c r="C602" s="2">
        <v>0.331557</v>
      </c>
      <c r="E602">
        <v>4115.528347</v>
      </c>
      <c r="F602">
        <v>1885.563803</v>
      </c>
      <c r="G602" s="3">
        <f t="shared" si="99"/>
        <v>1.885563803</v>
      </c>
      <c r="I602" t="s">
        <v>622</v>
      </c>
      <c r="J602">
        <v>7402.53</v>
      </c>
      <c r="K602" s="5">
        <f t="shared" si="100"/>
        <v>1.04830257790242</v>
      </c>
      <c r="L602">
        <f t="shared" si="101"/>
        <v>0.555962400335927</v>
      </c>
      <c r="O602">
        <v>59.2846848</v>
      </c>
      <c r="P602" s="6">
        <f t="shared" si="102"/>
        <v>0.130895378936045</v>
      </c>
      <c r="Q602" s="4">
        <f t="shared" si="103"/>
        <v>8.00870578032105</v>
      </c>
      <c r="T602">
        <v>0</v>
      </c>
      <c r="U602" s="7">
        <v>0</v>
      </c>
      <c r="V602" t="e">
        <f t="shared" si="105"/>
        <v>#DIV/0!</v>
      </c>
      <c r="Y602">
        <v>11.339694</v>
      </c>
      <c r="Z602" s="8">
        <v>0.410597919943871</v>
      </c>
      <c r="AA602">
        <f t="shared" si="106"/>
        <v>2.55311224675888</v>
      </c>
      <c r="AD602" s="9">
        <v>0.404913</v>
      </c>
      <c r="AE602">
        <f t="shared" si="107"/>
        <v>2.58895757336124</v>
      </c>
      <c r="AH602" t="s">
        <v>623</v>
      </c>
      <c r="AI602" s="10">
        <v>0</v>
      </c>
      <c r="AJ602" t="e">
        <f t="shared" si="109"/>
        <v>#DIV/0!</v>
      </c>
    </row>
    <row r="603" spans="1:36">
      <c r="A603" s="1" t="s">
        <v>624</v>
      </c>
      <c r="B603" s="1">
        <v>16489419010</v>
      </c>
      <c r="C603" s="2">
        <v>0.1093</v>
      </c>
      <c r="E603">
        <v>2088.469376</v>
      </c>
      <c r="F603">
        <v>7895.456453</v>
      </c>
      <c r="G603" s="3">
        <f t="shared" si="99"/>
        <v>7.895456453</v>
      </c>
      <c r="I603" t="s">
        <v>624</v>
      </c>
      <c r="J603">
        <v>2366.15</v>
      </c>
      <c r="K603" s="5">
        <f t="shared" si="100"/>
        <v>6.96888152061365</v>
      </c>
      <c r="L603">
        <f t="shared" si="101"/>
        <v>0.88264453893172</v>
      </c>
      <c r="O603">
        <v>1.7314032</v>
      </c>
      <c r="P603" s="6">
        <f t="shared" si="102"/>
        <v>9.52373139312669</v>
      </c>
      <c r="Q603" s="4">
        <f t="shared" si="103"/>
        <v>0.731738562643957</v>
      </c>
      <c r="T603">
        <v>6602.287</v>
      </c>
      <c r="U603" s="7">
        <f>B603/T603/1000000</f>
        <v>2.49753138722991</v>
      </c>
      <c r="V603">
        <f t="shared" si="105"/>
        <v>2.79030788411555</v>
      </c>
      <c r="Y603">
        <v>4.586778</v>
      </c>
      <c r="Z603" s="8">
        <v>2.15699373416372</v>
      </c>
      <c r="AA603">
        <f t="shared" si="106"/>
        <v>3.23083067430214</v>
      </c>
      <c r="AD603" s="9">
        <v>0.762396</v>
      </c>
      <c r="AE603">
        <f t="shared" si="107"/>
        <v>9.14076348854618</v>
      </c>
      <c r="AH603">
        <v>58843.45</v>
      </c>
      <c r="AI603" s="10">
        <f>B603/AH603/1000000</f>
        <v>0.280225224897588</v>
      </c>
      <c r="AJ603">
        <f t="shared" si="109"/>
        <v>24.8688586945037</v>
      </c>
    </row>
    <row r="604" spans="1:36">
      <c r="A604" s="1" t="s">
        <v>625</v>
      </c>
      <c r="B604" s="1">
        <v>23259770310</v>
      </c>
      <c r="C604" s="2">
        <v>0.3163</v>
      </c>
      <c r="E604">
        <v>30710.399785</v>
      </c>
      <c r="F604">
        <v>757.390671</v>
      </c>
      <c r="G604" s="3">
        <f t="shared" si="99"/>
        <v>0.757390671</v>
      </c>
      <c r="I604" t="s">
        <v>625</v>
      </c>
      <c r="J604">
        <v>297635</v>
      </c>
      <c r="K604" s="5">
        <f t="shared" si="100"/>
        <v>0.0781486394745242</v>
      </c>
      <c r="L604">
        <f t="shared" si="101"/>
        <v>0.103181412798949</v>
      </c>
      <c r="O604" t="e">
        <v>#VALUE!</v>
      </c>
      <c r="P604" s="6">
        <v>0</v>
      </c>
      <c r="Q604" s="4" t="e">
        <f t="shared" si="103"/>
        <v>#DIV/0!</v>
      </c>
      <c r="T604">
        <v>0</v>
      </c>
      <c r="U604" s="7">
        <v>0</v>
      </c>
      <c r="V604" t="e">
        <f t="shared" si="105"/>
        <v>#DIV/0!</v>
      </c>
      <c r="Y604">
        <v>941.2758</v>
      </c>
      <c r="Z604" s="8">
        <v>0.0148265388167846</v>
      </c>
      <c r="AA604">
        <f t="shared" si="106"/>
        <v>5.27086196179886</v>
      </c>
      <c r="AD604" s="9">
        <v>0</v>
      </c>
      <c r="AE604" t="e">
        <f t="shared" si="107"/>
        <v>#DIV/0!</v>
      </c>
      <c r="AH604" t="s">
        <v>623</v>
      </c>
      <c r="AI604" s="10">
        <v>0</v>
      </c>
      <c r="AJ604" t="e">
        <f t="shared" si="109"/>
        <v>#DIV/0!</v>
      </c>
    </row>
    <row r="605" spans="1:36">
      <c r="A605" s="1" t="s">
        <v>627</v>
      </c>
      <c r="B605" s="1">
        <v>24864000506</v>
      </c>
      <c r="C605" s="2">
        <v>0.288956</v>
      </c>
      <c r="E605">
        <v>34498.837448</v>
      </c>
      <c r="F605">
        <v>720.719953</v>
      </c>
      <c r="G605" s="3">
        <f t="shared" si="99"/>
        <v>0.720719953</v>
      </c>
      <c r="I605" t="s">
        <v>627</v>
      </c>
      <c r="J605">
        <v>260868</v>
      </c>
      <c r="K605" s="5">
        <f t="shared" si="100"/>
        <v>0.0953125738151096</v>
      </c>
      <c r="L605">
        <f t="shared" si="101"/>
        <v>0.132246337038916</v>
      </c>
      <c r="O605" t="e">
        <v>#VALUE!</v>
      </c>
      <c r="P605" s="6">
        <v>0</v>
      </c>
      <c r="Q605" s="4" t="e">
        <f t="shared" si="103"/>
        <v>#DIV/0!</v>
      </c>
      <c r="T605">
        <v>0</v>
      </c>
      <c r="U605" s="7">
        <v>0</v>
      </c>
      <c r="V605" t="e">
        <f t="shared" si="105"/>
        <v>#DIV/0!</v>
      </c>
      <c r="Y605">
        <v>1237.149</v>
      </c>
      <c r="Z605" s="8">
        <v>0.0120586932565115</v>
      </c>
      <c r="AA605">
        <f t="shared" si="106"/>
        <v>7.90405492432958</v>
      </c>
      <c r="AD605" s="9">
        <v>0</v>
      </c>
      <c r="AE605" t="e">
        <f t="shared" si="107"/>
        <v>#DIV/0!</v>
      </c>
      <c r="AH605" t="s">
        <v>623</v>
      </c>
      <c r="AI605" s="10">
        <v>0</v>
      </c>
      <c r="AJ605" t="e">
        <f t="shared" si="109"/>
        <v>#DIV/0!</v>
      </c>
    </row>
    <row r="606" spans="1:36">
      <c r="A606" s="1" t="s">
        <v>628</v>
      </c>
      <c r="B606" s="1">
        <v>26088428220</v>
      </c>
      <c r="C606" s="2">
        <v>0.881265</v>
      </c>
      <c r="E606">
        <v>135995.644929</v>
      </c>
      <c r="F606">
        <v>191.832821</v>
      </c>
      <c r="G606" s="3">
        <f t="shared" si="99"/>
        <v>0.191832821</v>
      </c>
      <c r="I606" t="s">
        <v>628</v>
      </c>
      <c r="J606">
        <v>223287</v>
      </c>
      <c r="K606" s="5">
        <f t="shared" si="100"/>
        <v>0.116838097247041</v>
      </c>
      <c r="L606">
        <f t="shared" si="101"/>
        <v>0.609062081441428</v>
      </c>
      <c r="O606" t="e">
        <v>#VALUE!</v>
      </c>
      <c r="P606" s="6">
        <v>0</v>
      </c>
      <c r="Q606" s="4" t="e">
        <f t="shared" si="103"/>
        <v>#DIV/0!</v>
      </c>
      <c r="T606">
        <v>0</v>
      </c>
      <c r="U606" s="7">
        <v>0</v>
      </c>
      <c r="V606" t="e">
        <f t="shared" si="105"/>
        <v>#DIV/0!</v>
      </c>
      <c r="Y606" t="e">
        <v>#VALUE!</v>
      </c>
      <c r="Z606" s="8">
        <v>0</v>
      </c>
      <c r="AA606" t="e">
        <f t="shared" si="106"/>
        <v>#DIV/0!</v>
      </c>
      <c r="AD606" s="9">
        <v>0</v>
      </c>
      <c r="AE606" t="e">
        <f t="shared" si="107"/>
        <v>#DIV/0!</v>
      </c>
      <c r="AH606" t="s">
        <v>623</v>
      </c>
      <c r="AI606" s="10">
        <v>0</v>
      </c>
      <c r="AJ606" t="e">
        <f t="shared" si="109"/>
        <v>#DIV/0!</v>
      </c>
    </row>
    <row r="607" spans="1:36">
      <c r="A607" s="1" t="s">
        <v>629</v>
      </c>
      <c r="B607" s="1">
        <v>26088428220</v>
      </c>
      <c r="C607" s="2">
        <v>0.873237</v>
      </c>
      <c r="E607">
        <v>157369.276327</v>
      </c>
      <c r="F607">
        <v>165.778409</v>
      </c>
      <c r="G607" s="3">
        <f t="shared" si="99"/>
        <v>0.165778409</v>
      </c>
      <c r="I607" t="s">
        <v>629</v>
      </c>
      <c r="J607">
        <v>216832</v>
      </c>
      <c r="K607" s="5">
        <f t="shared" si="100"/>
        <v>0.120316319639168</v>
      </c>
      <c r="L607">
        <f t="shared" si="101"/>
        <v>0.72576592069458</v>
      </c>
      <c r="O607" t="e">
        <v>#VALUE!</v>
      </c>
      <c r="P607" s="6">
        <v>0</v>
      </c>
      <c r="Q607" s="4" t="e">
        <f t="shared" si="103"/>
        <v>#DIV/0!</v>
      </c>
      <c r="T607">
        <v>0</v>
      </c>
      <c r="U607" s="7">
        <v>0</v>
      </c>
      <c r="V607" t="e">
        <f t="shared" si="105"/>
        <v>#DIV/0!</v>
      </c>
      <c r="Y607" t="e">
        <v>#VALUE!</v>
      </c>
      <c r="Z607" s="8">
        <v>0</v>
      </c>
      <c r="AA607" t="e">
        <f t="shared" si="106"/>
        <v>#DIV/0!</v>
      </c>
      <c r="AD607" s="9">
        <v>0</v>
      </c>
      <c r="AE607" t="e">
        <f t="shared" si="107"/>
        <v>#DIV/0!</v>
      </c>
      <c r="AH607" t="s">
        <v>623</v>
      </c>
      <c r="AI607" s="10">
        <v>0</v>
      </c>
      <c r="AJ607" t="e">
        <f t="shared" si="109"/>
        <v>#DIV/0!</v>
      </c>
    </row>
    <row r="608" spans="1:36">
      <c r="A608" s="1" t="s">
        <v>630</v>
      </c>
      <c r="B608" s="1">
        <v>26088428220</v>
      </c>
      <c r="C608" s="2">
        <v>0.884939</v>
      </c>
      <c r="E608">
        <v>154385.839604</v>
      </c>
      <c r="F608">
        <v>168.982002</v>
      </c>
      <c r="G608" s="3">
        <f t="shared" si="99"/>
        <v>0.168982002</v>
      </c>
      <c r="I608" t="s">
        <v>630</v>
      </c>
      <c r="J608">
        <v>225439</v>
      </c>
      <c r="K608" s="5">
        <f t="shared" si="100"/>
        <v>0.115722781861169</v>
      </c>
      <c r="L608">
        <f t="shared" si="101"/>
        <v>0.684823120163819</v>
      </c>
      <c r="O608" t="e">
        <v>#VALUE!</v>
      </c>
      <c r="P608" s="6">
        <v>0</v>
      </c>
      <c r="Q608" s="4" t="e">
        <f t="shared" si="103"/>
        <v>#DIV/0!</v>
      </c>
      <c r="T608">
        <v>0</v>
      </c>
      <c r="U608" s="7">
        <v>0</v>
      </c>
      <c r="V608" t="e">
        <f t="shared" si="105"/>
        <v>#DIV/0!</v>
      </c>
      <c r="Y608" t="e">
        <v>#VALUE!</v>
      </c>
      <c r="Z608" s="8">
        <v>0</v>
      </c>
      <c r="AA608" t="e">
        <f t="shared" si="106"/>
        <v>#DIV/0!</v>
      </c>
      <c r="AD608" s="9">
        <v>0</v>
      </c>
      <c r="AE608" t="e">
        <f t="shared" si="107"/>
        <v>#DIV/0!</v>
      </c>
      <c r="AH608" t="s">
        <v>623</v>
      </c>
      <c r="AI608" s="10">
        <v>0</v>
      </c>
      <c r="AJ608" t="e">
        <f t="shared" si="109"/>
        <v>#DIV/0!</v>
      </c>
    </row>
    <row r="609" spans="1:36">
      <c r="A609" s="1" t="s">
        <v>631</v>
      </c>
      <c r="B609" s="1">
        <v>26088428220</v>
      </c>
      <c r="C609" s="2">
        <v>0.873237</v>
      </c>
      <c r="E609">
        <v>154260.829325</v>
      </c>
      <c r="F609">
        <v>169.118942</v>
      </c>
      <c r="G609" s="3">
        <f t="shared" si="99"/>
        <v>0.169118942</v>
      </c>
      <c r="I609" t="s">
        <v>631</v>
      </c>
      <c r="J609">
        <v>215533</v>
      </c>
      <c r="K609" s="5">
        <f t="shared" si="100"/>
        <v>0.121041456389509</v>
      </c>
      <c r="L609">
        <f t="shared" si="101"/>
        <v>0.715717914019997</v>
      </c>
      <c r="O609" t="e">
        <v>#VALUE!</v>
      </c>
      <c r="P609" s="6">
        <v>0</v>
      </c>
      <c r="Q609" s="4" t="e">
        <f t="shared" si="103"/>
        <v>#DIV/0!</v>
      </c>
      <c r="T609">
        <v>0</v>
      </c>
      <c r="U609" s="7">
        <v>0</v>
      </c>
      <c r="V609" t="e">
        <f t="shared" si="105"/>
        <v>#DIV/0!</v>
      </c>
      <c r="Y609" t="e">
        <v>#VALUE!</v>
      </c>
      <c r="Z609" s="8">
        <v>0</v>
      </c>
      <c r="AA609" t="e">
        <f t="shared" si="106"/>
        <v>#DIV/0!</v>
      </c>
      <c r="AD609" s="9">
        <v>0</v>
      </c>
      <c r="AE609" t="e">
        <f t="shared" si="107"/>
        <v>#DIV/0!</v>
      </c>
      <c r="AH609" t="s">
        <v>623</v>
      </c>
      <c r="AI609" s="10">
        <v>0</v>
      </c>
      <c r="AJ609" t="e">
        <f t="shared" si="109"/>
        <v>#DIV/0!</v>
      </c>
    </row>
    <row r="610" spans="1:36">
      <c r="A610" s="1" t="s">
        <v>632</v>
      </c>
      <c r="B610" s="1">
        <v>26088428220</v>
      </c>
      <c r="C610" s="2">
        <v>0.905336</v>
      </c>
      <c r="E610">
        <v>154252.716847</v>
      </c>
      <c r="F610">
        <v>169.127836</v>
      </c>
      <c r="G610" s="3">
        <f t="shared" si="99"/>
        <v>0.169127836</v>
      </c>
      <c r="I610" t="s">
        <v>632</v>
      </c>
      <c r="J610">
        <v>216202</v>
      </c>
      <c r="K610" s="5">
        <f t="shared" si="100"/>
        <v>0.12066691436712</v>
      </c>
      <c r="L610">
        <f t="shared" si="101"/>
        <v>0.713465726405437</v>
      </c>
      <c r="O610" t="e">
        <v>#VALUE!</v>
      </c>
      <c r="P610" s="6">
        <v>0</v>
      </c>
      <c r="Q610" s="4" t="e">
        <f t="shared" si="103"/>
        <v>#DIV/0!</v>
      </c>
      <c r="T610">
        <v>0</v>
      </c>
      <c r="U610" s="7">
        <v>0</v>
      </c>
      <c r="V610" t="e">
        <f t="shared" si="105"/>
        <v>#DIV/0!</v>
      </c>
      <c r="Y610" t="e">
        <v>#VALUE!</v>
      </c>
      <c r="Z610" s="8">
        <v>0</v>
      </c>
      <c r="AA610" t="e">
        <f t="shared" si="106"/>
        <v>#DIV/0!</v>
      </c>
      <c r="AD610" s="9">
        <v>0</v>
      </c>
      <c r="AE610" t="e">
        <f t="shared" si="107"/>
        <v>#DIV/0!</v>
      </c>
      <c r="AH610" t="s">
        <v>623</v>
      </c>
      <c r="AI610" s="10">
        <v>0</v>
      </c>
      <c r="AJ610" t="e">
        <f t="shared" si="109"/>
        <v>#DIV/0!</v>
      </c>
    </row>
    <row r="611" spans="1:36">
      <c r="A611" s="1" t="s">
        <v>633</v>
      </c>
      <c r="B611" s="1">
        <v>35218253702</v>
      </c>
      <c r="C611" s="2">
        <v>0.999738</v>
      </c>
      <c r="E611">
        <v>13887.19959</v>
      </c>
      <c r="F611">
        <v>2536.022722</v>
      </c>
      <c r="G611" s="3">
        <f t="shared" si="99"/>
        <v>2.536022722</v>
      </c>
      <c r="I611" t="s">
        <v>633</v>
      </c>
      <c r="J611">
        <v>128564</v>
      </c>
      <c r="K611" s="5">
        <f t="shared" si="100"/>
        <v>0.27393557840453</v>
      </c>
      <c r="L611">
        <f t="shared" si="101"/>
        <v>0.108017793384948</v>
      </c>
      <c r="O611" t="e">
        <v>#VALUE!</v>
      </c>
      <c r="P611" s="6">
        <v>0</v>
      </c>
      <c r="Q611" s="4" t="e">
        <f t="shared" si="103"/>
        <v>#DIV/0!</v>
      </c>
      <c r="T611">
        <v>0</v>
      </c>
      <c r="U611" s="7">
        <v>0</v>
      </c>
      <c r="V611" t="e">
        <f t="shared" si="105"/>
        <v>#DIV/0!</v>
      </c>
      <c r="Y611">
        <v>1784.8566</v>
      </c>
      <c r="Z611" s="8">
        <v>0.0118390195723287</v>
      </c>
      <c r="AA611">
        <f t="shared" si="106"/>
        <v>23.1383668834199</v>
      </c>
      <c r="AD611" s="9">
        <v>0</v>
      </c>
      <c r="AE611" t="e">
        <f t="shared" si="107"/>
        <v>#DIV/0!</v>
      </c>
      <c r="AH611" t="s">
        <v>623</v>
      </c>
      <c r="AI611" s="10">
        <v>0</v>
      </c>
      <c r="AJ611" t="e">
        <f t="shared" si="109"/>
        <v>#DIV/0!</v>
      </c>
    </row>
  </sheetData>
  <autoFilter xmlns:etc="http://www.wps.cn/officeDocument/2017/etCustomData" ref="A1:AK611" etc:filterBottomFollowUsedRange="0">
    <sortState ref="A1:AK611">
      <sortCondition ref="B1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33"/>
  <sheetViews>
    <sheetView topLeftCell="A172" workbookViewId="0">
      <selection activeCell="I200" sqref="I200"/>
    </sheetView>
  </sheetViews>
  <sheetFormatPr defaultColWidth="9.23076923076923" defaultRowHeight="16.8"/>
  <cols>
    <col min="1" max="1" width="20.8173076923077" style="1" customWidth="1"/>
    <col min="2" max="2" width="13.6442307692308" style="1" customWidth="1"/>
    <col min="3" max="3" width="13.2115384615385" style="2" customWidth="1"/>
    <col min="5" max="6" width="12.9230769230769"/>
    <col min="7" max="7" width="12.9230769230769" style="3"/>
    <col min="8" max="8" width="12.9230769230769" style="4"/>
    <col min="10" max="10" width="10.3846153846154"/>
    <col min="11" max="11" width="12.9230769230769" style="5"/>
    <col min="12" max="13" width="12.9230769230769"/>
    <col min="14" max="15" width="11.7692307692308"/>
    <col min="16" max="16" width="12.9230769230769" style="6"/>
    <col min="17" max="18" width="12.9230769230769" style="4"/>
    <col min="20" max="20" width="10.6923076923077"/>
    <col min="21" max="21" width="12.9230769230769" style="7"/>
    <col min="22" max="23" width="12.9230769230769"/>
    <col min="25" max="25" width="12.9230769230769"/>
    <col min="26" max="26" width="12.9230769230769" style="8"/>
    <col min="27" max="28" width="12.9230769230769"/>
    <col min="29" max="29" width="9.69230769230769"/>
    <col min="30" max="30" width="9.69230769230769" style="9"/>
    <col min="31" max="32" width="12.9230769230769"/>
    <col min="34" max="34" width="12.5" customWidth="1"/>
    <col min="35" max="35" width="15.3846153846154" style="10" customWidth="1"/>
    <col min="36" max="36" width="11.375" customWidth="1"/>
    <col min="37" max="37" width="12.9230769230769"/>
  </cols>
  <sheetData>
    <row r="1" customFormat="1" spans="1:37">
      <c r="A1" s="1" t="s">
        <v>0</v>
      </c>
      <c r="B1" s="1" t="s">
        <v>1</v>
      </c>
      <c r="C1" s="2" t="s">
        <v>2</v>
      </c>
      <c r="E1" t="s">
        <v>634</v>
      </c>
      <c r="F1" t="s">
        <v>635</v>
      </c>
      <c r="G1" s="11" t="s">
        <v>5</v>
      </c>
      <c r="H1" s="12"/>
      <c r="I1" t="s">
        <v>636</v>
      </c>
      <c r="J1" t="s">
        <v>637</v>
      </c>
      <c r="K1" s="5" t="s">
        <v>6</v>
      </c>
      <c r="L1" t="s">
        <v>638</v>
      </c>
      <c r="M1" t="s">
        <v>3</v>
      </c>
      <c r="O1" t="s">
        <v>639</v>
      </c>
      <c r="P1" s="13" t="s">
        <v>8</v>
      </c>
      <c r="Q1" t="s">
        <v>640</v>
      </c>
      <c r="R1" t="s">
        <v>9</v>
      </c>
      <c r="T1" t="s">
        <v>641</v>
      </c>
      <c r="U1" s="7" t="s">
        <v>11</v>
      </c>
      <c r="V1" t="s">
        <v>642</v>
      </c>
      <c r="W1" t="s">
        <v>12</v>
      </c>
      <c r="Y1" t="s">
        <v>643</v>
      </c>
      <c r="Z1" s="8" t="s">
        <v>14</v>
      </c>
      <c r="AA1" t="s">
        <v>644</v>
      </c>
      <c r="AB1" t="s">
        <v>16</v>
      </c>
      <c r="AD1" s="9" t="s">
        <v>17</v>
      </c>
      <c r="AE1" t="s">
        <v>645</v>
      </c>
      <c r="AF1" t="s">
        <v>18</v>
      </c>
      <c r="AH1" t="s">
        <v>646</v>
      </c>
      <c r="AI1" s="10" t="s">
        <v>20</v>
      </c>
      <c r="AJ1" t="s">
        <v>647</v>
      </c>
      <c r="AK1" t="s">
        <v>21</v>
      </c>
    </row>
    <row r="2" customFormat="1" spans="1:37">
      <c r="A2" s="1" t="s">
        <v>272</v>
      </c>
      <c r="B2" s="1">
        <v>15656860</v>
      </c>
      <c r="C2" s="2">
        <v>0</v>
      </c>
      <c r="E2">
        <v>3.401532</v>
      </c>
      <c r="F2">
        <v>4602.88425</v>
      </c>
      <c r="G2" s="3">
        <v>4.60288425</v>
      </c>
      <c r="H2" s="4"/>
      <c r="I2" t="s">
        <v>272</v>
      </c>
      <c r="J2">
        <v>2.25967</v>
      </c>
      <c r="K2" s="5">
        <v>6.92882589050614</v>
      </c>
      <c r="L2">
        <v>1.50532264427595</v>
      </c>
      <c r="M2"/>
      <c r="O2">
        <v>0.002104</v>
      </c>
      <c r="P2" s="6">
        <v>7.44147338403042</v>
      </c>
      <c r="Q2" s="4">
        <v>0.931109409781074</v>
      </c>
      <c r="R2" s="4"/>
      <c r="T2">
        <v>15.91</v>
      </c>
      <c r="U2" s="7">
        <v>0.98408925204274</v>
      </c>
      <c r="V2">
        <v>7.04085109772666</v>
      </c>
      <c r="W2"/>
      <c r="Y2">
        <v>0.00327657</v>
      </c>
      <c r="Z2" s="8">
        <v>4.77842988246856</v>
      </c>
      <c r="AA2">
        <v>1.45002146331101</v>
      </c>
      <c r="AB2"/>
      <c r="AD2" s="9">
        <v>2.351196</v>
      </c>
      <c r="AE2">
        <v>2.94693674644995</v>
      </c>
      <c r="AF2"/>
      <c r="AH2">
        <v>1.995</v>
      </c>
      <c r="AI2" s="10">
        <v>7.84805012531328</v>
      </c>
      <c r="AJ2">
        <v>0.882872277810477</v>
      </c>
    </row>
    <row r="3" customFormat="1" spans="1:37">
      <c r="A3" s="1" t="s">
        <v>69</v>
      </c>
      <c r="B3" s="1">
        <v>2355242</v>
      </c>
      <c r="C3" s="2">
        <v>0</v>
      </c>
      <c r="E3">
        <v>1.431079</v>
      </c>
      <c r="F3">
        <v>1645.780348</v>
      </c>
      <c r="G3" s="3">
        <v>1.645780348</v>
      </c>
      <c r="H3" s="4"/>
      <c r="I3" t="s">
        <v>69</v>
      </c>
      <c r="J3">
        <v>0.840191</v>
      </c>
      <c r="K3" s="5">
        <v>2.80322212449312</v>
      </c>
      <c r="L3">
        <v>1.7032784040104</v>
      </c>
      <c r="O3">
        <v>0.0009024</v>
      </c>
      <c r="P3" s="6">
        <v>2.60997562056738</v>
      </c>
      <c r="Q3" s="4">
        <v>1.07404149770707</v>
      </c>
      <c r="R3" s="4"/>
      <c r="T3">
        <v>3.802</v>
      </c>
      <c r="U3" s="7">
        <v>0.619474487112046</v>
      </c>
      <c r="V3">
        <v>4.52516154064968</v>
      </c>
      <c r="Y3">
        <v>0.0017002</v>
      </c>
      <c r="Z3" s="8">
        <v>1.38527349723562</v>
      </c>
      <c r="AA3">
        <v>2.02358749379605</v>
      </c>
      <c r="AD3" s="9">
        <v>1.578651</v>
      </c>
      <c r="AE3">
        <v>1.77570731244152</v>
      </c>
      <c r="AH3">
        <v>1.264</v>
      </c>
      <c r="AI3" s="10">
        <v>1.86332436708861</v>
      </c>
      <c r="AJ3">
        <v>1.50441982834855</v>
      </c>
    </row>
    <row r="4" customFormat="1" spans="1:37">
      <c r="A4" s="1" t="s">
        <v>62</v>
      </c>
      <c r="B4" s="1">
        <v>2174000</v>
      </c>
      <c r="C4" s="2">
        <v>0</v>
      </c>
      <c r="E4">
        <v>1.940646</v>
      </c>
      <c r="F4">
        <v>1120.245298</v>
      </c>
      <c r="G4" s="3">
        <v>1.120245298</v>
      </c>
      <c r="H4" s="4"/>
      <c r="I4" t="s">
        <v>62</v>
      </c>
      <c r="J4">
        <v>1.97778</v>
      </c>
      <c r="K4" s="5">
        <v>1.09921224807613</v>
      </c>
      <c r="L4">
        <v>0.981224603253033</v>
      </c>
      <c r="O4">
        <v>0.0011264</v>
      </c>
      <c r="P4" s="6">
        <v>1.93004261363636</v>
      </c>
      <c r="Q4" s="4">
        <v>0.569527449969157</v>
      </c>
      <c r="R4" s="4"/>
      <c r="T4">
        <v>4.156</v>
      </c>
      <c r="U4" s="7">
        <v>0.523099133782483</v>
      </c>
      <c r="V4">
        <v>2.10134595354387</v>
      </c>
      <c r="Y4">
        <v>0.00291089</v>
      </c>
      <c r="Z4" s="8">
        <v>0.74685061956996</v>
      </c>
      <c r="AA4">
        <v>1.47179666090263</v>
      </c>
      <c r="AD4" s="9">
        <v>1.075302</v>
      </c>
      <c r="AE4">
        <v>1.02223584451264</v>
      </c>
      <c r="AH4">
        <v>1.7596</v>
      </c>
      <c r="AI4" s="10">
        <v>1.23550807001591</v>
      </c>
      <c r="AJ4">
        <v>0.889684393613041</v>
      </c>
    </row>
    <row r="5" customFormat="1" spans="1:37">
      <c r="A5" s="1" t="s">
        <v>78</v>
      </c>
      <c r="B5" s="1">
        <v>2630446</v>
      </c>
      <c r="C5" s="2">
        <v>0</v>
      </c>
      <c r="E5">
        <v>1.692395</v>
      </c>
      <c r="F5">
        <v>1554.274627</v>
      </c>
      <c r="G5" s="3">
        <v>1.554274627</v>
      </c>
      <c r="H5" s="4"/>
      <c r="I5" t="s">
        <v>78</v>
      </c>
      <c r="J5">
        <v>1.63321</v>
      </c>
      <c r="K5" s="5">
        <v>1.61059875949817</v>
      </c>
      <c r="L5">
        <v>1.03623821139439</v>
      </c>
      <c r="O5">
        <v>0.0022672</v>
      </c>
      <c r="P5" s="6">
        <v>1.16021788990826</v>
      </c>
      <c r="Q5" s="4">
        <v>1.38818645489557</v>
      </c>
      <c r="R5" s="4"/>
      <c r="T5">
        <v>22.473</v>
      </c>
      <c r="U5" s="7">
        <v>0.117049170115249</v>
      </c>
      <c r="V5">
        <v>13.7600186136504</v>
      </c>
      <c r="Y5">
        <v>0.00422704</v>
      </c>
      <c r="Z5" s="8">
        <v>0.622290302433854</v>
      </c>
      <c r="AA5">
        <v>2.58817910740199</v>
      </c>
      <c r="AD5" s="9">
        <v>0.991413</v>
      </c>
      <c r="AE5">
        <v>1.62454875969769</v>
      </c>
      <c r="AH5">
        <v>4.211</v>
      </c>
      <c r="AI5" s="10">
        <v>0.624660650676799</v>
      </c>
      <c r="AJ5">
        <v>2.5783579576417</v>
      </c>
    </row>
    <row r="6" customFormat="1" spans="1:37">
      <c r="A6" s="1" t="s">
        <v>28</v>
      </c>
      <c r="B6" s="1">
        <v>1083918</v>
      </c>
      <c r="C6" s="2">
        <v>0</v>
      </c>
      <c r="E6">
        <v>1.369637</v>
      </c>
      <c r="F6">
        <v>791.390634</v>
      </c>
      <c r="G6" s="3">
        <v>0.791390634</v>
      </c>
      <c r="H6" s="4"/>
      <c r="I6" t="s">
        <v>28</v>
      </c>
      <c r="J6">
        <v>1.14611</v>
      </c>
      <c r="K6" s="5">
        <v>0.945736447635916</v>
      </c>
      <c r="L6">
        <v>1.19503113507395</v>
      </c>
      <c r="O6">
        <v>0.0006368</v>
      </c>
      <c r="P6" s="6">
        <v>1.70213253768844</v>
      </c>
      <c r="Q6" s="4">
        <v>0.555618570643307</v>
      </c>
      <c r="R6" s="4"/>
      <c r="T6">
        <v>1.26</v>
      </c>
      <c r="U6" s="7">
        <v>0.860252380952381</v>
      </c>
      <c r="V6">
        <v>1.09937091553167</v>
      </c>
      <c r="Y6">
        <v>0.00118275</v>
      </c>
      <c r="Z6" s="8">
        <v>0.916438807863031</v>
      </c>
      <c r="AA6">
        <v>1.03196900821038</v>
      </c>
      <c r="AD6" s="9">
        <v>1.046397</v>
      </c>
      <c r="AE6">
        <v>0.903802713153723</v>
      </c>
      <c r="AH6">
        <v>1.2023</v>
      </c>
      <c r="AI6" s="10">
        <v>0.901537053979872</v>
      </c>
      <c r="AJ6">
        <v>1.04902670773311</v>
      </c>
    </row>
    <row r="7" customFormat="1" spans="1:37">
      <c r="A7" s="1" t="s">
        <v>207</v>
      </c>
      <c r="B7" s="1">
        <v>10316460</v>
      </c>
      <c r="C7" s="2">
        <v>0</v>
      </c>
      <c r="E7">
        <v>1.917101</v>
      </c>
      <c r="F7">
        <v>5381.28077</v>
      </c>
      <c r="G7" s="3">
        <v>5.38128077</v>
      </c>
      <c r="H7" s="4"/>
      <c r="I7" t="s">
        <v>207</v>
      </c>
      <c r="J7">
        <v>1.05512</v>
      </c>
      <c r="K7" s="5">
        <v>9.77752293577982</v>
      </c>
      <c r="L7">
        <v>1.81695089954948</v>
      </c>
      <c r="O7">
        <v>0.0022608</v>
      </c>
      <c r="P7" s="6">
        <v>4.56319002123142</v>
      </c>
      <c r="Q7" s="4">
        <v>2.14269466980059</v>
      </c>
      <c r="R7" s="4"/>
      <c r="T7">
        <v>9.449</v>
      </c>
      <c r="U7" s="7">
        <v>1.09180442374854</v>
      </c>
      <c r="V7">
        <v>8.95537948290242</v>
      </c>
      <c r="Y7">
        <v>0.00770427</v>
      </c>
      <c r="Z7" s="8">
        <v>1.33905743178783</v>
      </c>
      <c r="AA7">
        <v>7.30179505648647</v>
      </c>
      <c r="AD7" s="9">
        <v>1.610796</v>
      </c>
      <c r="AE7">
        <v>6.0699945466588</v>
      </c>
      <c r="AH7">
        <v>2.5616</v>
      </c>
      <c r="AI7" s="10">
        <v>4.02735009369144</v>
      </c>
      <c r="AJ7">
        <v>2.42778072636288</v>
      </c>
    </row>
    <row r="8" customFormat="1" spans="1:37">
      <c r="A8" s="1" t="s">
        <v>96</v>
      </c>
      <c r="B8" s="1">
        <v>3645632</v>
      </c>
      <c r="C8" s="2">
        <v>0</v>
      </c>
      <c r="E8">
        <v>3.949763</v>
      </c>
      <c r="F8">
        <v>923.000093</v>
      </c>
      <c r="G8" s="3">
        <v>0.923000093</v>
      </c>
      <c r="H8" s="4"/>
      <c r="I8" t="s">
        <v>96</v>
      </c>
      <c r="J8">
        <v>1.44591</v>
      </c>
      <c r="K8" s="5">
        <v>2.52134088567062</v>
      </c>
      <c r="L8">
        <v>2.73167999092565</v>
      </c>
      <c r="O8">
        <v>0.0020416</v>
      </c>
      <c r="P8" s="6">
        <v>1.78567398119122</v>
      </c>
      <c r="Q8" s="4">
        <v>1.41198276517902</v>
      </c>
      <c r="R8" s="4"/>
      <c r="T8">
        <v>6.82</v>
      </c>
      <c r="U8" s="7">
        <v>0.534550146627566</v>
      </c>
      <c r="V8">
        <v>4.71675277161096</v>
      </c>
      <c r="Y8">
        <v>0.00378095</v>
      </c>
      <c r="Z8" s="8">
        <v>0.964210581996588</v>
      </c>
      <c r="AA8">
        <v>2.61492762343438</v>
      </c>
      <c r="AD8" s="9">
        <v>1.162749</v>
      </c>
      <c r="AE8">
        <v>2.16843092160958</v>
      </c>
      <c r="AH8">
        <v>1.9899</v>
      </c>
      <c r="AI8" s="10">
        <v>1.83206794311272</v>
      </c>
      <c r="AJ8">
        <v>1.37622673610391</v>
      </c>
    </row>
    <row r="9" customFormat="1" spans="1:37">
      <c r="A9" s="1" t="s">
        <v>63</v>
      </c>
      <c r="B9" s="1">
        <v>2245280</v>
      </c>
      <c r="C9" s="2">
        <v>0</v>
      </c>
      <c r="E9">
        <v>1.071451</v>
      </c>
      <c r="F9">
        <v>2095.550711</v>
      </c>
      <c r="G9" s="3">
        <v>2.095550711</v>
      </c>
      <c r="H9" s="4"/>
      <c r="I9" t="s">
        <v>63</v>
      </c>
      <c r="J9">
        <v>0.511085</v>
      </c>
      <c r="K9" s="5">
        <v>4.39316356379076</v>
      </c>
      <c r="L9">
        <v>2.09642436268905</v>
      </c>
      <c r="O9">
        <v>0.0009696</v>
      </c>
      <c r="P9" s="6">
        <v>2.31567656765677</v>
      </c>
      <c r="Q9" s="4">
        <v>1.89714039738987</v>
      </c>
      <c r="R9" s="4"/>
      <c r="T9">
        <v>3.809</v>
      </c>
      <c r="U9" s="7">
        <v>0.589467051719611</v>
      </c>
      <c r="V9">
        <v>7.45277204378919</v>
      </c>
      <c r="Y9">
        <v>0.00330463</v>
      </c>
      <c r="Z9" s="8">
        <v>0.679434611439102</v>
      </c>
      <c r="AA9">
        <v>6.4659107584844</v>
      </c>
      <c r="AD9" s="9">
        <v>1.375371</v>
      </c>
      <c r="AE9">
        <v>3.19416620227616</v>
      </c>
      <c r="AH9">
        <v>1.2599</v>
      </c>
      <c r="AI9" s="10">
        <v>1.78210969124534</v>
      </c>
      <c r="AJ9">
        <v>2.46514767602258</v>
      </c>
    </row>
    <row r="10" customFormat="1" spans="1:37">
      <c r="A10" s="1" t="s">
        <v>91</v>
      </c>
      <c r="B10" s="1">
        <v>3272244</v>
      </c>
      <c r="C10" s="2">
        <v>0</v>
      </c>
      <c r="E10">
        <v>2.109578</v>
      </c>
      <c r="F10">
        <v>1551.136873</v>
      </c>
      <c r="G10" s="3">
        <v>1.551136873</v>
      </c>
      <c r="H10" s="4"/>
      <c r="I10" t="s">
        <v>91</v>
      </c>
      <c r="J10">
        <v>1.30275</v>
      </c>
      <c r="K10" s="5">
        <v>2.5117973517559</v>
      </c>
      <c r="L10">
        <v>1.61932669868</v>
      </c>
      <c r="O10">
        <v>0.0009376</v>
      </c>
      <c r="P10" s="6">
        <v>3.49002133105802</v>
      </c>
      <c r="Q10" s="4">
        <v>0.719708309345615</v>
      </c>
      <c r="R10" s="4"/>
      <c r="T10">
        <v>4.32</v>
      </c>
      <c r="U10" s="7">
        <v>0.757463888888889</v>
      </c>
      <c r="V10">
        <v>3.3160621761658</v>
      </c>
      <c r="Y10">
        <v>0.00183527</v>
      </c>
      <c r="Z10" s="8">
        <v>1.78297689168351</v>
      </c>
      <c r="AA10">
        <v>1.40876607177125</v>
      </c>
      <c r="AD10" s="9">
        <v>2.06481</v>
      </c>
      <c r="AE10">
        <v>1.21647868411907</v>
      </c>
      <c r="AH10">
        <v>1.3252</v>
      </c>
      <c r="AI10" s="10">
        <v>2.46924539692122</v>
      </c>
      <c r="AJ10">
        <v>1.01723277681827</v>
      </c>
    </row>
    <row r="11" customFormat="1" spans="1:37">
      <c r="A11" s="1" t="s">
        <v>90</v>
      </c>
      <c r="B11" s="1">
        <v>3272244</v>
      </c>
      <c r="C11" s="2">
        <v>0</v>
      </c>
      <c r="E11">
        <v>2.08886</v>
      </c>
      <c r="F11">
        <v>1566.521624</v>
      </c>
      <c r="G11" s="3">
        <v>1.566521624</v>
      </c>
      <c r="H11" s="4"/>
      <c r="I11" t="s">
        <v>90</v>
      </c>
      <c r="J11">
        <v>1.30366</v>
      </c>
      <c r="K11" s="5">
        <v>2.51004402988509</v>
      </c>
      <c r="L11">
        <v>1.60230410575238</v>
      </c>
      <c r="O11">
        <v>0.0009472</v>
      </c>
      <c r="P11" s="6">
        <v>3.45464949324324</v>
      </c>
      <c r="Q11" s="4">
        <v>0.726569811147078</v>
      </c>
      <c r="R11" s="4"/>
      <c r="T11">
        <v>4.243</v>
      </c>
      <c r="U11" s="7">
        <v>0.771209992929531</v>
      </c>
      <c r="V11">
        <v>3.25468296948591</v>
      </c>
      <c r="Y11">
        <v>0.00177738</v>
      </c>
      <c r="Z11" s="8">
        <v>1.84104918475509</v>
      </c>
      <c r="AA11">
        <v>1.3633769541138</v>
      </c>
      <c r="AD11" s="9">
        <v>2.015358</v>
      </c>
      <c r="AE11">
        <v>1.24545814187112</v>
      </c>
      <c r="AH11">
        <v>1.4712</v>
      </c>
      <c r="AI11" s="10">
        <v>2.22420065252855</v>
      </c>
      <c r="AJ11">
        <v>1.12851510363131</v>
      </c>
    </row>
    <row r="12" customFormat="1" spans="1:37">
      <c r="A12" s="1" t="s">
        <v>105</v>
      </c>
      <c r="B12" s="1">
        <v>4190266</v>
      </c>
      <c r="C12" s="2">
        <v>0</v>
      </c>
      <c r="E12">
        <v>0.991391</v>
      </c>
      <c r="F12">
        <v>4226.653181</v>
      </c>
      <c r="G12" s="3">
        <v>4.226653181</v>
      </c>
      <c r="H12" s="4"/>
      <c r="I12" t="s">
        <v>105</v>
      </c>
      <c r="J12">
        <v>0.613412</v>
      </c>
      <c r="K12" s="5">
        <v>6.83107927461478</v>
      </c>
      <c r="L12">
        <v>1.61619110489652</v>
      </c>
      <c r="O12">
        <v>0.0011488</v>
      </c>
      <c r="P12" s="6">
        <v>3.64751566852368</v>
      </c>
      <c r="Q12" s="4">
        <v>1.87280327088482</v>
      </c>
      <c r="R12" s="4"/>
      <c r="T12">
        <v>4.833</v>
      </c>
      <c r="U12" s="7">
        <v>0.867011380095179</v>
      </c>
      <c r="V12">
        <v>7.87888075225134</v>
      </c>
      <c r="Y12">
        <v>0.0019898</v>
      </c>
      <c r="Z12" s="8">
        <v>2.10587295205548</v>
      </c>
      <c r="AA12">
        <v>3.24382307486648</v>
      </c>
      <c r="AD12" s="9">
        <v>1.917198</v>
      </c>
      <c r="AE12">
        <v>3.5630536202389</v>
      </c>
      <c r="AH12">
        <v>2.6709</v>
      </c>
      <c r="AI12" s="10">
        <v>1.56885918604216</v>
      </c>
      <c r="AJ12">
        <v>4.3541697912659</v>
      </c>
    </row>
    <row r="13" customFormat="1" spans="1:37">
      <c r="A13" s="1" t="s">
        <v>113</v>
      </c>
      <c r="B13" s="1">
        <v>4595084</v>
      </c>
      <c r="C13" s="2">
        <v>0</v>
      </c>
      <c r="E13">
        <v>2.991633</v>
      </c>
      <c r="F13">
        <v>1535.978582</v>
      </c>
      <c r="G13" s="3">
        <v>1.535978582</v>
      </c>
      <c r="H13" s="4"/>
      <c r="I13" t="s">
        <v>113</v>
      </c>
      <c r="J13">
        <v>2.68775</v>
      </c>
      <c r="K13" s="5">
        <v>1.70963966142684</v>
      </c>
      <c r="L13">
        <v>1.11306217512533</v>
      </c>
      <c r="O13">
        <v>0.0027888</v>
      </c>
      <c r="P13" s="6">
        <v>1.64769219736087</v>
      </c>
      <c r="Q13" s="4">
        <v>1.03759650265092</v>
      </c>
      <c r="R13" s="4"/>
      <c r="T13">
        <v>9.046</v>
      </c>
      <c r="U13" s="7">
        <v>0.507968604908247</v>
      </c>
      <c r="V13">
        <v>3.36564040554367</v>
      </c>
      <c r="Y13">
        <v>0.00398953</v>
      </c>
      <c r="Z13" s="8">
        <v>1.15178579932975</v>
      </c>
      <c r="AA13">
        <v>1.48433820109757</v>
      </c>
      <c r="AD13" s="9">
        <v>0.935652</v>
      </c>
      <c r="AE13">
        <v>1.82721744989253</v>
      </c>
      <c r="AH13">
        <v>3.4979</v>
      </c>
      <c r="AI13" s="10">
        <v>1.31366934446382</v>
      </c>
      <c r="AJ13">
        <v>1.30142312343038</v>
      </c>
    </row>
    <row r="14" customFormat="1" spans="1:37">
      <c r="A14" s="1" t="s">
        <v>23</v>
      </c>
      <c r="B14" s="1">
        <v>884736</v>
      </c>
      <c r="C14" s="2">
        <v>0</v>
      </c>
      <c r="E14">
        <v>1.834011</v>
      </c>
      <c r="F14">
        <v>482.404864</v>
      </c>
      <c r="G14" s="3">
        <v>0.482404864</v>
      </c>
      <c r="H14" s="4"/>
      <c r="I14" t="s">
        <v>23</v>
      </c>
      <c r="J14">
        <v>0.768428</v>
      </c>
      <c r="K14" s="5">
        <v>1.15135835758197</v>
      </c>
      <c r="L14">
        <v>2.38670553201962</v>
      </c>
      <c r="O14">
        <v>0.0006496</v>
      </c>
      <c r="P14" s="6">
        <v>1.36197044334975</v>
      </c>
      <c r="Q14" s="4">
        <v>0.845362220012805</v>
      </c>
      <c r="R14" s="4"/>
      <c r="T14">
        <v>1.219</v>
      </c>
      <c r="U14" s="7">
        <v>0.725788351107465</v>
      </c>
      <c r="V14">
        <v>1.58635552062132</v>
      </c>
      <c r="Y14">
        <v>0.00171079</v>
      </c>
      <c r="Z14" s="8">
        <v>0.517150556175802</v>
      </c>
      <c r="AA14">
        <v>2.22635041929758</v>
      </c>
      <c r="AD14" s="9">
        <v>0.853263</v>
      </c>
      <c r="AE14">
        <v>1.34935929201427</v>
      </c>
      <c r="AH14">
        <v>1.5689</v>
      </c>
      <c r="AI14" s="10">
        <v>0.563921218688253</v>
      </c>
      <c r="AJ14">
        <v>2.04170071887021</v>
      </c>
    </row>
    <row r="15" customFormat="1" spans="1:37">
      <c r="A15" s="1" t="s">
        <v>108</v>
      </c>
      <c r="B15" s="1">
        <v>4347284</v>
      </c>
      <c r="C15" s="2">
        <v>0</v>
      </c>
      <c r="E15">
        <v>2.731984</v>
      </c>
      <c r="F15">
        <v>1591.255297</v>
      </c>
      <c r="G15" s="3">
        <v>1.591255297</v>
      </c>
      <c r="H15" s="4"/>
      <c r="I15" t="s">
        <v>108</v>
      </c>
      <c r="J15">
        <v>1.50544</v>
      </c>
      <c r="K15" s="5">
        <v>2.88771654798597</v>
      </c>
      <c r="L15">
        <v>1.8147412005039</v>
      </c>
      <c r="O15">
        <v>0.0023568</v>
      </c>
      <c r="P15" s="6">
        <v>1.8445706042091</v>
      </c>
      <c r="Q15" s="4">
        <v>1.56552237219683</v>
      </c>
      <c r="R15" s="4"/>
      <c r="T15">
        <v>6.961</v>
      </c>
      <c r="U15" s="7">
        <v>0.624520040224106</v>
      </c>
      <c r="V15">
        <v>4.62389733234138</v>
      </c>
      <c r="Y15">
        <v>0.00386736</v>
      </c>
      <c r="Z15" s="8">
        <v>1.12409602416119</v>
      </c>
      <c r="AA15">
        <v>2.5689233712403</v>
      </c>
      <c r="AD15" s="9">
        <v>1.028079</v>
      </c>
      <c r="AE15">
        <v>2.80884693490089</v>
      </c>
      <c r="AH15">
        <v>2.3697</v>
      </c>
      <c r="AI15" s="10">
        <v>1.83452926530784</v>
      </c>
      <c r="AJ15">
        <v>1.57409129556807</v>
      </c>
    </row>
    <row r="16" customFormat="1" spans="1:37">
      <c r="A16" s="1" t="s">
        <v>148</v>
      </c>
      <c r="B16" s="1">
        <v>6274168</v>
      </c>
      <c r="C16" s="2">
        <v>0</v>
      </c>
      <c r="E16">
        <v>3.340569</v>
      </c>
      <c r="F16">
        <v>1878.173253</v>
      </c>
      <c r="G16" s="3">
        <v>1.878173253</v>
      </c>
      <c r="H16" s="4"/>
      <c r="I16" t="s">
        <v>148</v>
      </c>
      <c r="J16">
        <v>3.15207</v>
      </c>
      <c r="K16" s="5">
        <v>1.99049132792102</v>
      </c>
      <c r="L16">
        <v>1.05980176468897</v>
      </c>
      <c r="O16">
        <v>0.0034496</v>
      </c>
      <c r="P16" s="6">
        <v>1.81881029684601</v>
      </c>
      <c r="Q16" s="4">
        <v>1.09439193926531</v>
      </c>
      <c r="R16" s="4"/>
      <c r="T16">
        <v>11.662</v>
      </c>
      <c r="U16" s="7">
        <v>0.538001028983022</v>
      </c>
      <c r="V16">
        <v>3.69979093103897</v>
      </c>
      <c r="Y16">
        <v>0.00435983</v>
      </c>
      <c r="Z16" s="8">
        <v>1.43908546892883</v>
      </c>
      <c r="AA16">
        <v>1.38316407947793</v>
      </c>
      <c r="AD16" s="9">
        <v>1.007589</v>
      </c>
      <c r="AE16">
        <v>1.97549926400647</v>
      </c>
      <c r="AH16">
        <v>3.7133</v>
      </c>
      <c r="AI16" s="10">
        <v>1.68964748337059</v>
      </c>
      <c r="AJ16">
        <v>1.17805124886186</v>
      </c>
    </row>
    <row r="17" customFormat="1" spans="1:36">
      <c r="A17" s="1" t="s">
        <v>43</v>
      </c>
      <c r="B17" s="1">
        <v>1644146</v>
      </c>
      <c r="C17" s="2">
        <v>0</v>
      </c>
      <c r="E17">
        <v>1.649659</v>
      </c>
      <c r="F17">
        <v>996.658063</v>
      </c>
      <c r="G17" s="3">
        <v>0.996658063</v>
      </c>
      <c r="H17" s="4"/>
      <c r="I17" t="s">
        <v>43</v>
      </c>
      <c r="J17">
        <v>1.03129</v>
      </c>
      <c r="K17" s="5">
        <v>1.59426155591541</v>
      </c>
      <c r="L17">
        <v>1.59960734288005</v>
      </c>
      <c r="O17">
        <v>0.0007184</v>
      </c>
      <c r="P17" s="6">
        <v>2.2886219376392</v>
      </c>
      <c r="Q17" s="4">
        <v>0.696603283266589</v>
      </c>
      <c r="R17" s="4"/>
      <c r="T17">
        <v>1.868</v>
      </c>
      <c r="U17" s="7">
        <v>0.880163811563169</v>
      </c>
      <c r="V17">
        <v>1.81132368199052</v>
      </c>
      <c r="Y17">
        <v>0.00260895</v>
      </c>
      <c r="Z17" s="8">
        <v>0.630194522700703</v>
      </c>
      <c r="AA17">
        <v>2.52979278379505</v>
      </c>
      <c r="AD17" s="9">
        <v>1.213317</v>
      </c>
      <c r="AE17">
        <v>1.31396951984964</v>
      </c>
      <c r="AH17">
        <v>1.5285</v>
      </c>
      <c r="AI17" s="10">
        <v>1.07565979718678</v>
      </c>
      <c r="AJ17">
        <v>1.48212432972297</v>
      </c>
    </row>
    <row r="18" customFormat="1" spans="1:36">
      <c r="A18" s="1" t="s">
        <v>42</v>
      </c>
      <c r="B18" s="1">
        <v>1644146</v>
      </c>
      <c r="C18" s="2">
        <v>0</v>
      </c>
      <c r="E18">
        <v>1.623675</v>
      </c>
      <c r="F18">
        <v>1012.60788</v>
      </c>
      <c r="G18" s="3">
        <v>1.01260788</v>
      </c>
      <c r="H18" s="4"/>
      <c r="I18" t="s">
        <v>42</v>
      </c>
      <c r="J18">
        <v>0.981571</v>
      </c>
      <c r="K18" s="5">
        <v>1.67501484864569</v>
      </c>
      <c r="L18">
        <v>1.65415940536202</v>
      </c>
      <c r="O18">
        <v>0.0007168</v>
      </c>
      <c r="P18" s="6">
        <v>2.29373046875</v>
      </c>
      <c r="Q18" s="4">
        <v>0.730257923267904</v>
      </c>
      <c r="R18" s="4"/>
      <c r="T18">
        <v>1.84</v>
      </c>
      <c r="U18" s="7">
        <v>0.893557608695652</v>
      </c>
      <c r="V18">
        <v>1.87454600838859</v>
      </c>
      <c r="Y18">
        <v>0.00264488</v>
      </c>
      <c r="Z18" s="8">
        <v>0.621633495659538</v>
      </c>
      <c r="AA18">
        <v>2.69453763405806</v>
      </c>
      <c r="AD18" s="9">
        <v>1.173375</v>
      </c>
      <c r="AE18">
        <v>1.42751878013908</v>
      </c>
      <c r="AH18">
        <v>1.5886</v>
      </c>
      <c r="AI18" s="10">
        <v>1.03496537832053</v>
      </c>
      <c r="AJ18">
        <v>1.61842597224246</v>
      </c>
    </row>
    <row r="19" customFormat="1" spans="1:36">
      <c r="A19" s="1" t="s">
        <v>71</v>
      </c>
      <c r="B19" s="1">
        <v>2418468</v>
      </c>
      <c r="C19" s="2">
        <v>0</v>
      </c>
      <c r="E19">
        <v>1.933771</v>
      </c>
      <c r="F19">
        <v>1250.648558</v>
      </c>
      <c r="G19" s="3">
        <v>1.250648558</v>
      </c>
      <c r="H19" s="4"/>
      <c r="I19" t="s">
        <v>71</v>
      </c>
      <c r="J19">
        <v>1.05418</v>
      </c>
      <c r="K19" s="5">
        <v>2.29416987611224</v>
      </c>
      <c r="L19">
        <v>1.83438413728394</v>
      </c>
      <c r="O19">
        <v>0.0007648</v>
      </c>
      <c r="P19" s="6">
        <v>3.16222280334728</v>
      </c>
      <c r="Q19" s="4">
        <v>0.725492800091066</v>
      </c>
      <c r="R19" s="4"/>
      <c r="T19">
        <v>1.921</v>
      </c>
      <c r="U19" s="7">
        <v>1.25896304008329</v>
      </c>
      <c r="V19">
        <v>1.82226944165133</v>
      </c>
      <c r="Y19">
        <v>0.00435098</v>
      </c>
      <c r="Z19" s="8">
        <v>0.555844430450151</v>
      </c>
      <c r="AA19">
        <v>4.12735965394904</v>
      </c>
      <c r="AD19" s="9">
        <v>1.583352</v>
      </c>
      <c r="AE19">
        <v>1.44893231328993</v>
      </c>
      <c r="AH19">
        <v>2.204</v>
      </c>
      <c r="AI19" s="10">
        <v>1.09730852994555</v>
      </c>
      <c r="AJ19">
        <v>2.09072454419549</v>
      </c>
    </row>
    <row r="20" customFormat="1" spans="1:36">
      <c r="A20" s="1" t="s">
        <v>72</v>
      </c>
      <c r="B20" s="1">
        <v>2418880</v>
      </c>
      <c r="C20" s="2">
        <v>0</v>
      </c>
      <c r="E20">
        <v>1.823616</v>
      </c>
      <c r="F20">
        <v>1326.419949</v>
      </c>
      <c r="G20" s="3">
        <v>1.326419949</v>
      </c>
      <c r="H20" s="4"/>
      <c r="I20" t="s">
        <v>72</v>
      </c>
      <c r="J20">
        <v>1.02235</v>
      </c>
      <c r="K20" s="5">
        <v>2.36599990218614</v>
      </c>
      <c r="L20">
        <v>1.78374873204364</v>
      </c>
      <c r="O20">
        <v>0.0007776</v>
      </c>
      <c r="P20" s="6">
        <v>3.11069958847737</v>
      </c>
      <c r="Q20" s="4">
        <v>0.760600577101775</v>
      </c>
      <c r="R20" s="4"/>
      <c r="T20">
        <v>2.086</v>
      </c>
      <c r="U20" s="7">
        <v>1.15957813998082</v>
      </c>
      <c r="V20">
        <v>2.04039712427251</v>
      </c>
      <c r="Y20">
        <v>0.00243927</v>
      </c>
      <c r="Z20" s="8">
        <v>0.991640941757165</v>
      </c>
      <c r="AA20">
        <v>2.38594414828581</v>
      </c>
      <c r="AD20" s="9">
        <v>1.555284</v>
      </c>
      <c r="AE20">
        <v>1.52126550661239</v>
      </c>
      <c r="AH20">
        <v>2.4907</v>
      </c>
      <c r="AI20" s="10">
        <v>0.971164732806038</v>
      </c>
      <c r="AJ20">
        <v>2.43624981659901</v>
      </c>
    </row>
    <row r="21" customFormat="1" spans="1:36">
      <c r="A21" s="1" t="s">
        <v>95</v>
      </c>
      <c r="B21" s="1">
        <v>3608342</v>
      </c>
      <c r="C21" s="2">
        <v>0</v>
      </c>
      <c r="E21">
        <v>2.457071</v>
      </c>
      <c r="F21">
        <v>1468.554015</v>
      </c>
      <c r="G21" s="3">
        <v>1.468554015</v>
      </c>
      <c r="H21" s="4"/>
      <c r="I21" t="s">
        <v>95</v>
      </c>
      <c r="J21">
        <v>1.93687</v>
      </c>
      <c r="K21" s="5">
        <v>1.86297583214155</v>
      </c>
      <c r="L21">
        <v>1.26857835197948</v>
      </c>
      <c r="O21">
        <v>0.0020912</v>
      </c>
      <c r="P21" s="6">
        <v>1.72548871461362</v>
      </c>
      <c r="Q21" s="4">
        <v>1.07968010243331</v>
      </c>
      <c r="R21" s="4"/>
      <c r="T21">
        <v>7.151</v>
      </c>
      <c r="U21" s="7">
        <v>0.504592644385401</v>
      </c>
      <c r="V21">
        <v>3.69203921791344</v>
      </c>
      <c r="Y21">
        <v>0.00518462</v>
      </c>
      <c r="Z21" s="8">
        <v>0.695970389343867</v>
      </c>
      <c r="AA21">
        <v>2.67680329603949</v>
      </c>
      <c r="AD21" s="9">
        <v>0.871989</v>
      </c>
      <c r="AE21">
        <v>2.13646712532102</v>
      </c>
      <c r="AH21">
        <v>2.7286</v>
      </c>
      <c r="AI21" s="10">
        <v>1.32241515795646</v>
      </c>
      <c r="AJ21">
        <v>1.40876775416006</v>
      </c>
    </row>
    <row r="22" customFormat="1" spans="1:36">
      <c r="A22" s="1" t="s">
        <v>38</v>
      </c>
      <c r="B22" s="1">
        <v>1572864</v>
      </c>
      <c r="C22" s="2">
        <v>0</v>
      </c>
      <c r="E22">
        <v>1.965979</v>
      </c>
      <c r="F22">
        <v>800.040929</v>
      </c>
      <c r="G22" s="3">
        <v>0.800040929</v>
      </c>
      <c r="H22" s="4"/>
      <c r="I22" t="s">
        <v>38</v>
      </c>
      <c r="J22">
        <v>1.26648</v>
      </c>
      <c r="K22" s="5">
        <v>1.24191775630093</v>
      </c>
      <c r="L22">
        <v>1.5523177768583</v>
      </c>
      <c r="O22">
        <v>0.000976</v>
      </c>
      <c r="P22" s="6">
        <v>1.61154098360656</v>
      </c>
      <c r="Q22" s="4">
        <v>0.770639883772345</v>
      </c>
      <c r="R22" s="4"/>
      <c r="T22">
        <v>2.124</v>
      </c>
      <c r="U22" s="7">
        <v>0.740519774011299</v>
      </c>
      <c r="V22">
        <v>1.67708925525867</v>
      </c>
      <c r="Y22">
        <v>0.00257306</v>
      </c>
      <c r="Z22" s="8">
        <v>0.611281509175845</v>
      </c>
      <c r="AA22">
        <v>2.03166256079843</v>
      </c>
      <c r="AD22" s="9">
        <v>0.873687</v>
      </c>
      <c r="AE22">
        <v>1.42146759228526</v>
      </c>
      <c r="AH22">
        <v>1.6696</v>
      </c>
      <c r="AI22" s="10">
        <v>0.942060373742214</v>
      </c>
      <c r="AJ22">
        <v>1.31829953887941</v>
      </c>
    </row>
    <row r="23" customFormat="1" spans="1:36">
      <c r="A23" s="1" t="s">
        <v>56</v>
      </c>
      <c r="B23" s="1">
        <v>1985616</v>
      </c>
      <c r="C23" s="2">
        <v>0</v>
      </c>
      <c r="E23">
        <v>1.02186</v>
      </c>
      <c r="F23">
        <v>1943.13977</v>
      </c>
      <c r="G23" s="3">
        <v>1.94313977</v>
      </c>
      <c r="H23" s="4"/>
      <c r="I23" t="s">
        <v>56</v>
      </c>
      <c r="J23">
        <v>0.663746</v>
      </c>
      <c r="K23" s="5">
        <v>2.99152989245886</v>
      </c>
      <c r="L23">
        <v>1.53953407708745</v>
      </c>
      <c r="O23">
        <v>0.0007408</v>
      </c>
      <c r="P23" s="6">
        <v>2.68036717062635</v>
      </c>
      <c r="Q23" s="4">
        <v>1.11608958848716</v>
      </c>
      <c r="R23" s="4"/>
      <c r="T23">
        <v>1.699</v>
      </c>
      <c r="U23" s="7">
        <v>1.16869688051795</v>
      </c>
      <c r="V23">
        <v>2.55971410750498</v>
      </c>
      <c r="Y23">
        <v>0.00216725</v>
      </c>
      <c r="Z23" s="8">
        <v>0.916191486907371</v>
      </c>
      <c r="AA23">
        <v>3.26517975249568</v>
      </c>
      <c r="AD23" s="9">
        <v>1.406067</v>
      </c>
      <c r="AE23">
        <v>2.12758701573884</v>
      </c>
      <c r="AH23">
        <v>1.8726</v>
      </c>
      <c r="AI23" s="10">
        <v>1.06035245113746</v>
      </c>
      <c r="AJ23">
        <v>2.82125993979625</v>
      </c>
    </row>
    <row r="24" customFormat="1" spans="1:36">
      <c r="A24" s="1" t="s">
        <v>156</v>
      </c>
      <c r="B24" s="1">
        <v>6493570</v>
      </c>
      <c r="C24" s="2">
        <v>0</v>
      </c>
      <c r="E24">
        <v>1.81562</v>
      </c>
      <c r="F24">
        <v>3576.503215</v>
      </c>
      <c r="G24" s="3">
        <v>3.576503215</v>
      </c>
      <c r="H24" s="4"/>
      <c r="I24" t="s">
        <v>156</v>
      </c>
      <c r="J24">
        <v>0.715624</v>
      </c>
      <c r="K24" s="5">
        <v>9.07399695929706</v>
      </c>
      <c r="L24">
        <v>2.53711416258214</v>
      </c>
      <c r="O24">
        <v>0.0007344</v>
      </c>
      <c r="P24" s="6">
        <v>8.84200708061002</v>
      </c>
      <c r="Q24" s="4">
        <v>1.02623724190357</v>
      </c>
      <c r="R24" s="4"/>
      <c r="T24">
        <v>1.704</v>
      </c>
      <c r="U24" s="7">
        <v>3.81078051643192</v>
      </c>
      <c r="V24">
        <v>2.38113869853443</v>
      </c>
      <c r="Y24">
        <v>0.00258198</v>
      </c>
      <c r="Z24" s="8">
        <v>2.51495751322628</v>
      </c>
      <c r="AA24">
        <v>3.6080120286631</v>
      </c>
      <c r="AD24" s="9">
        <v>1.411473</v>
      </c>
      <c r="AE24">
        <v>6.42874285182718</v>
      </c>
      <c r="AH24">
        <v>1.7674</v>
      </c>
      <c r="AI24" s="10">
        <v>3.6740805703293</v>
      </c>
      <c r="AJ24">
        <v>2.4697327087968</v>
      </c>
    </row>
    <row r="25" customFormat="1" spans="1:36">
      <c r="A25" s="1" t="s">
        <v>79</v>
      </c>
      <c r="B25" s="1">
        <v>2662888</v>
      </c>
      <c r="C25" s="2">
        <v>0</v>
      </c>
      <c r="E25">
        <v>3.8407</v>
      </c>
      <c r="F25">
        <v>693.334069</v>
      </c>
      <c r="G25" s="3">
        <v>0.693334069</v>
      </c>
      <c r="H25" s="4"/>
      <c r="I25" t="s">
        <v>79</v>
      </c>
      <c r="J25">
        <v>3.0434</v>
      </c>
      <c r="K25" s="5">
        <v>0.874971413550634</v>
      </c>
      <c r="L25">
        <v>1.26197666128337</v>
      </c>
      <c r="O25">
        <v>0.0022864</v>
      </c>
      <c r="P25" s="6">
        <v>1.16466410076977</v>
      </c>
      <c r="Q25" s="4">
        <v>0.751265032529408</v>
      </c>
      <c r="R25" s="4"/>
      <c r="T25">
        <v>5.039</v>
      </c>
      <c r="U25" s="7">
        <v>0.5284556459615</v>
      </c>
      <c r="V25">
        <v>1.65571400407439</v>
      </c>
      <c r="Y25">
        <v>0.00358266</v>
      </c>
      <c r="Z25" s="8">
        <v>0.743271200727951</v>
      </c>
      <c r="AA25">
        <v>1.17718998488533</v>
      </c>
      <c r="AD25" s="9">
        <v>0.617076</v>
      </c>
      <c r="AE25">
        <v>1.41793136266948</v>
      </c>
      <c r="AH25">
        <v>2.5009</v>
      </c>
      <c r="AI25" s="10">
        <v>1.06477188212244</v>
      </c>
      <c r="AJ25">
        <v>0.821745416310705</v>
      </c>
    </row>
    <row r="26" customFormat="1" spans="1:36">
      <c r="A26" s="1" t="s">
        <v>75</v>
      </c>
      <c r="B26" s="1">
        <v>2511780</v>
      </c>
      <c r="C26" s="2">
        <v>0</v>
      </c>
      <c r="E26">
        <v>1.707096</v>
      </c>
      <c r="F26">
        <v>1471.375829</v>
      </c>
      <c r="G26" s="3">
        <v>1.471375829</v>
      </c>
      <c r="H26" s="4"/>
      <c r="I26" t="s">
        <v>75</v>
      </c>
      <c r="J26">
        <v>1.05939</v>
      </c>
      <c r="K26" s="5">
        <v>2.37096819868037</v>
      </c>
      <c r="L26">
        <v>1.6113953702038</v>
      </c>
      <c r="O26">
        <v>0.0012848</v>
      </c>
      <c r="P26" s="6">
        <v>1.95499688667497</v>
      </c>
      <c r="Q26" s="4">
        <v>1.2127733884594</v>
      </c>
      <c r="R26" s="4"/>
      <c r="T26">
        <v>3.527</v>
      </c>
      <c r="U26" s="7">
        <v>0.712157641054721</v>
      </c>
      <c r="V26">
        <v>3.3292743937549</v>
      </c>
      <c r="Y26">
        <v>0.00328756</v>
      </c>
      <c r="Z26" s="8">
        <v>0.764025599532784</v>
      </c>
      <c r="AA26">
        <v>3.10325753499655</v>
      </c>
      <c r="AD26" s="9">
        <v>0.990741</v>
      </c>
      <c r="AE26">
        <v>2.39312615373783</v>
      </c>
      <c r="AH26">
        <v>2.5093</v>
      </c>
      <c r="AI26" s="10">
        <v>1.00098832343682</v>
      </c>
      <c r="AJ26">
        <v>2.368627228877</v>
      </c>
    </row>
    <row r="27" customFormat="1" spans="1:36">
      <c r="A27" s="1" t="s">
        <v>149</v>
      </c>
      <c r="B27" s="1">
        <v>6312052</v>
      </c>
      <c r="C27" s="2">
        <v>0</v>
      </c>
      <c r="E27">
        <v>3.034808</v>
      </c>
      <c r="F27">
        <v>2079.885073</v>
      </c>
      <c r="G27" s="3">
        <v>2.079885073</v>
      </c>
      <c r="H27" s="4"/>
      <c r="I27" t="s">
        <v>149</v>
      </c>
      <c r="J27">
        <v>1.66146</v>
      </c>
      <c r="K27" s="5">
        <v>3.79909958711013</v>
      </c>
      <c r="L27">
        <v>1.82659111141673</v>
      </c>
      <c r="O27">
        <v>0.001744</v>
      </c>
      <c r="P27" s="6">
        <v>3.61929587155963</v>
      </c>
      <c r="Q27" s="4">
        <v>1.04967919781397</v>
      </c>
      <c r="R27" s="4"/>
      <c r="T27">
        <v>7.617</v>
      </c>
      <c r="U27" s="7">
        <v>0.828679532624393</v>
      </c>
      <c r="V27">
        <v>4.58452204687444</v>
      </c>
      <c r="Y27">
        <v>0.00198551</v>
      </c>
      <c r="Z27" s="8">
        <v>3.17905827721845</v>
      </c>
      <c r="AA27">
        <v>1.19503930278189</v>
      </c>
      <c r="AD27" s="9">
        <v>1.924206</v>
      </c>
      <c r="AE27">
        <v>1.97437259166125</v>
      </c>
      <c r="AH27">
        <v>1.9762</v>
      </c>
      <c r="AI27" s="10">
        <v>3.19403501669871</v>
      </c>
      <c r="AJ27">
        <v>1.18943579743117</v>
      </c>
    </row>
    <row r="28" customFormat="1" spans="1:36">
      <c r="A28" s="1" t="s">
        <v>92</v>
      </c>
      <c r="B28" s="1">
        <v>3299664</v>
      </c>
      <c r="C28" s="2">
        <v>0</v>
      </c>
      <c r="E28">
        <v>2.391745</v>
      </c>
      <c r="F28">
        <v>1379.605221</v>
      </c>
      <c r="G28" s="3">
        <v>1.379605221</v>
      </c>
      <c r="H28" s="4"/>
      <c r="I28" t="s">
        <v>92</v>
      </c>
      <c r="J28">
        <v>2.65047</v>
      </c>
      <c r="K28" s="5">
        <v>1.24493542654699</v>
      </c>
      <c r="L28">
        <v>0.902385267609095</v>
      </c>
      <c r="O28">
        <v>0.0025888</v>
      </c>
      <c r="P28" s="6">
        <v>1.27459208899876</v>
      </c>
      <c r="Q28" s="4">
        <v>0.976732428588137</v>
      </c>
      <c r="R28" s="4"/>
      <c r="T28">
        <v>6.131</v>
      </c>
      <c r="U28" s="7">
        <v>0.538193443157723</v>
      </c>
      <c r="V28">
        <v>2.31317464449701</v>
      </c>
      <c r="Y28">
        <v>0.00334713</v>
      </c>
      <c r="Z28" s="8">
        <v>0.985818895591148</v>
      </c>
      <c r="AA28">
        <v>1.26284394843179</v>
      </c>
      <c r="AD28" s="9">
        <v>0.771558</v>
      </c>
      <c r="AE28">
        <v>1.61353446733362</v>
      </c>
      <c r="AH28">
        <v>3.0859</v>
      </c>
      <c r="AI28" s="10">
        <v>1.06927120127029</v>
      </c>
      <c r="AJ28">
        <v>1.16428407037242</v>
      </c>
    </row>
    <row r="29" customFormat="1" spans="1:36">
      <c r="A29" s="1" t="s">
        <v>277</v>
      </c>
      <c r="B29" s="1">
        <v>16297916</v>
      </c>
      <c r="C29" s="2">
        <v>0</v>
      </c>
      <c r="E29">
        <v>2.831475</v>
      </c>
      <c r="F29">
        <v>5755.981804</v>
      </c>
      <c r="G29" s="3">
        <v>5.755981804</v>
      </c>
      <c r="H29" s="4"/>
      <c r="I29" t="s">
        <v>277</v>
      </c>
      <c r="J29">
        <v>1.74879</v>
      </c>
      <c r="K29" s="5">
        <v>9.31953865243969</v>
      </c>
      <c r="L29">
        <v>1.61910495373062</v>
      </c>
      <c r="O29">
        <v>0.0035632</v>
      </c>
      <c r="P29" s="6">
        <v>4.57395487202515</v>
      </c>
      <c r="Q29" s="4">
        <v>2.03752308739185</v>
      </c>
      <c r="R29" s="4"/>
      <c r="T29">
        <v>17.365</v>
      </c>
      <c r="U29" s="7">
        <v>0.938549726461273</v>
      </c>
      <c r="V29">
        <v>9.92972283693297</v>
      </c>
      <c r="Y29">
        <v>0.00554504</v>
      </c>
      <c r="Z29" s="8">
        <v>2.93918817537836</v>
      </c>
      <c r="AA29">
        <v>3.17078665820367</v>
      </c>
      <c r="AD29" s="9">
        <v>1.637457</v>
      </c>
      <c r="AE29">
        <v>5.69147076988262</v>
      </c>
      <c r="AH29">
        <v>3.4321</v>
      </c>
      <c r="AI29" s="10">
        <v>4.7486716587512</v>
      </c>
      <c r="AJ29">
        <v>1.9625569679607</v>
      </c>
    </row>
    <row r="30" customFormat="1" spans="1:36">
      <c r="A30" s="1" t="s">
        <v>52</v>
      </c>
      <c r="B30" s="1">
        <v>1914792</v>
      </c>
      <c r="C30" s="2">
        <v>0</v>
      </c>
      <c r="E30">
        <v>2.515258</v>
      </c>
      <c r="F30">
        <v>761.270701</v>
      </c>
      <c r="G30" s="3">
        <v>0.761270701</v>
      </c>
      <c r="H30" s="4"/>
      <c r="I30" t="s">
        <v>52</v>
      </c>
      <c r="J30">
        <v>2.75025</v>
      </c>
      <c r="K30" s="5">
        <v>0.696224706844832</v>
      </c>
      <c r="L30">
        <v>0.914556025774112</v>
      </c>
      <c r="O30">
        <v>0.0018848</v>
      </c>
      <c r="P30" s="6">
        <v>1.01591256366723</v>
      </c>
      <c r="Q30" s="4">
        <v>0.685319516407599</v>
      </c>
      <c r="R30" s="4"/>
      <c r="T30">
        <v>3.309</v>
      </c>
      <c r="U30" s="7">
        <v>0.578661831368994</v>
      </c>
      <c r="V30">
        <v>1.20316334878647</v>
      </c>
      <c r="Y30">
        <v>0.00365186</v>
      </c>
      <c r="Z30" s="8">
        <v>0.524333353414424</v>
      </c>
      <c r="AA30">
        <v>1.32782837923825</v>
      </c>
      <c r="AD30" s="9">
        <v>0.503097</v>
      </c>
      <c r="AE30">
        <v>1.38387767536843</v>
      </c>
      <c r="AH30">
        <v>2.6843</v>
      </c>
      <c r="AI30" s="10">
        <v>0.713330104682785</v>
      </c>
      <c r="AJ30">
        <v>0.976020361785292</v>
      </c>
    </row>
    <row r="31" customFormat="1" spans="1:36">
      <c r="A31" s="1" t="s">
        <v>186</v>
      </c>
      <c r="B31" s="1">
        <v>9014258</v>
      </c>
      <c r="C31" s="2">
        <v>0</v>
      </c>
      <c r="E31">
        <v>2.951188</v>
      </c>
      <c r="F31">
        <v>3054.450842</v>
      </c>
      <c r="G31" s="3">
        <v>3.054450842</v>
      </c>
      <c r="H31" s="4"/>
      <c r="I31" t="s">
        <v>186</v>
      </c>
      <c r="J31">
        <v>1.71811</v>
      </c>
      <c r="K31" s="5">
        <v>5.24661284783861</v>
      </c>
      <c r="L31">
        <v>1.71769431535628</v>
      </c>
      <c r="O31">
        <v>0.00236</v>
      </c>
      <c r="P31" s="6">
        <v>3.81960084745763</v>
      </c>
      <c r="Q31" s="4">
        <v>1.37360238867127</v>
      </c>
      <c r="R31" s="4"/>
      <c r="T31">
        <v>16.452</v>
      </c>
      <c r="U31" s="7">
        <v>0.547912594213469</v>
      </c>
      <c r="V31">
        <v>9.57563834678804</v>
      </c>
      <c r="Y31">
        <v>0.00325923</v>
      </c>
      <c r="Z31" s="8">
        <v>2.76576307900946</v>
      </c>
      <c r="AA31">
        <v>1.89698564119876</v>
      </c>
      <c r="AD31" s="9">
        <v>1.764024</v>
      </c>
      <c r="AE31">
        <v>2.97422985619165</v>
      </c>
      <c r="AH31">
        <v>2.478</v>
      </c>
      <c r="AI31" s="10">
        <v>3.63771509281679</v>
      </c>
      <c r="AJ31">
        <v>1.44228250810484</v>
      </c>
    </row>
    <row r="32" customFormat="1" spans="1:36">
      <c r="A32" s="1" t="s">
        <v>169</v>
      </c>
      <c r="B32" s="1">
        <v>7365360</v>
      </c>
      <c r="C32" s="2">
        <v>0</v>
      </c>
      <c r="E32">
        <v>3.406846</v>
      </c>
      <c r="F32">
        <v>2161.928987</v>
      </c>
      <c r="G32" s="3">
        <v>2.161928987</v>
      </c>
      <c r="H32" s="4"/>
      <c r="I32" t="s">
        <v>169</v>
      </c>
      <c r="J32">
        <v>5.92991</v>
      </c>
      <c r="K32" s="5">
        <v>1.24206944118882</v>
      </c>
      <c r="L32">
        <v>0.574519074704844</v>
      </c>
      <c r="O32">
        <v>0.0030448</v>
      </c>
      <c r="P32" s="6">
        <v>2.41899632159748</v>
      </c>
      <c r="Q32" s="4">
        <v>0.513464791202565</v>
      </c>
      <c r="R32" s="4"/>
      <c r="T32">
        <v>11.05</v>
      </c>
      <c r="U32" s="7">
        <v>0.666548416289593</v>
      </c>
      <c r="V32">
        <v>1.86343468956527</v>
      </c>
      <c r="Y32">
        <v>0.00677302</v>
      </c>
      <c r="Z32" s="8">
        <v>1.08745581734588</v>
      </c>
      <c r="AA32">
        <v>1.14217922363071</v>
      </c>
      <c r="AD32" s="9">
        <v>1.311885</v>
      </c>
      <c r="AE32">
        <v>0.946782256972845</v>
      </c>
      <c r="AH32">
        <v>2.8451</v>
      </c>
      <c r="AI32" s="10">
        <v>2.58878774032547</v>
      </c>
      <c r="AJ32">
        <v>0.479788057491598</v>
      </c>
    </row>
    <row r="33" customFormat="1" spans="1:36">
      <c r="A33" s="1" t="s">
        <v>179</v>
      </c>
      <c r="B33" s="1">
        <v>8163436</v>
      </c>
      <c r="C33" s="2">
        <v>0</v>
      </c>
      <c r="E33">
        <v>3.587172</v>
      </c>
      <c r="F33">
        <v>2275.730345</v>
      </c>
      <c r="G33" s="3">
        <v>2.275730345</v>
      </c>
      <c r="H33" s="4"/>
      <c r="I33" t="s">
        <v>179</v>
      </c>
      <c r="J33">
        <v>2.4448</v>
      </c>
      <c r="K33" s="5">
        <v>3.33910176701571</v>
      </c>
      <c r="L33">
        <v>1.46726600291288</v>
      </c>
      <c r="O33">
        <v>0.0035328</v>
      </c>
      <c r="P33" s="6">
        <v>2.31075520833333</v>
      </c>
      <c r="Q33" s="4">
        <v>1.44502617801047</v>
      </c>
      <c r="R33" s="4"/>
      <c r="T33">
        <v>12.036</v>
      </c>
      <c r="U33" s="7">
        <v>0.678251578597541</v>
      </c>
      <c r="V33">
        <v>4.92310209424084</v>
      </c>
      <c r="Y33">
        <v>0.00587612</v>
      </c>
      <c r="Z33" s="8">
        <v>1.38925617584392</v>
      </c>
      <c r="AA33">
        <v>2.40351767015707</v>
      </c>
      <c r="AD33" s="9">
        <v>1.271394</v>
      </c>
      <c r="AE33">
        <v>2.62633122935589</v>
      </c>
      <c r="AH33">
        <v>3.5638</v>
      </c>
      <c r="AI33" s="10">
        <v>2.29065491890678</v>
      </c>
      <c r="AJ33">
        <v>1.45770615183246</v>
      </c>
    </row>
    <row r="34" customFormat="1" spans="1:36">
      <c r="A34" s="1" t="s">
        <v>180</v>
      </c>
      <c r="B34" s="1">
        <v>8163436</v>
      </c>
      <c r="C34" s="2">
        <v>0</v>
      </c>
      <c r="E34">
        <v>3.59286</v>
      </c>
      <c r="F34">
        <v>2272.127203</v>
      </c>
      <c r="G34" s="3">
        <v>2.272127203</v>
      </c>
      <c r="H34" s="4"/>
      <c r="I34" t="s">
        <v>180</v>
      </c>
      <c r="J34">
        <v>2.34807</v>
      </c>
      <c r="K34" s="5">
        <v>3.47665785091586</v>
      </c>
      <c r="L34">
        <v>1.53013345658001</v>
      </c>
      <c r="O34">
        <v>0.0035344</v>
      </c>
      <c r="P34" s="6">
        <v>2.30970914440923</v>
      </c>
      <c r="Q34" s="4">
        <v>1.50523621527467</v>
      </c>
      <c r="R34" s="4"/>
      <c r="T34">
        <v>11.919</v>
      </c>
      <c r="U34" s="7">
        <v>0.684909472271164</v>
      </c>
      <c r="V34">
        <v>5.07608376240913</v>
      </c>
      <c r="Y34">
        <v>0.00588756</v>
      </c>
      <c r="Z34" s="8">
        <v>1.38655673997378</v>
      </c>
      <c r="AA34">
        <v>2.50740395303377</v>
      </c>
      <c r="AD34" s="9">
        <v>1.268076</v>
      </c>
      <c r="AE34">
        <v>2.74167940321862</v>
      </c>
      <c r="AH34">
        <v>3.5598</v>
      </c>
      <c r="AI34" s="10">
        <v>2.29322883308051</v>
      </c>
      <c r="AJ34">
        <v>1.51605360998607</v>
      </c>
    </row>
    <row r="35" customFormat="1" spans="1:36">
      <c r="A35" s="1" t="s">
        <v>81</v>
      </c>
      <c r="B35" s="1">
        <v>2999964</v>
      </c>
      <c r="C35" s="2">
        <v>0</v>
      </c>
      <c r="E35">
        <v>1.783511</v>
      </c>
      <c r="F35">
        <v>1682.054857</v>
      </c>
      <c r="G35" s="3">
        <v>1.682054857</v>
      </c>
      <c r="H35" s="4"/>
      <c r="I35" t="s">
        <v>81</v>
      </c>
      <c r="J35">
        <v>0.658041</v>
      </c>
      <c r="K35" s="5">
        <v>4.55893173829594</v>
      </c>
      <c r="L35">
        <v>2.71033475473383</v>
      </c>
      <c r="O35">
        <v>0.001184</v>
      </c>
      <c r="P35" s="6">
        <v>2.53375337837838</v>
      </c>
      <c r="Q35" s="4">
        <v>1.79927998407394</v>
      </c>
      <c r="R35" s="4"/>
      <c r="T35">
        <v>2.713</v>
      </c>
      <c r="U35" s="7">
        <v>1.10577368227055</v>
      </c>
      <c r="V35">
        <v>4.12284340945321</v>
      </c>
      <c r="Y35">
        <v>0.00210212</v>
      </c>
      <c r="Z35" s="8">
        <v>1.4271135805758</v>
      </c>
      <c r="AA35">
        <v>3.19451219604857</v>
      </c>
      <c r="AD35" s="9">
        <v>1.45335</v>
      </c>
      <c r="AE35">
        <v>3.13684366346437</v>
      </c>
      <c r="AH35">
        <v>2.4661</v>
      </c>
      <c r="AI35" s="10">
        <v>1.21648108349215</v>
      </c>
      <c r="AJ35">
        <v>3.74763882493644</v>
      </c>
    </row>
    <row r="36" customFormat="1" spans="1:36">
      <c r="A36" s="1" t="s">
        <v>270</v>
      </c>
      <c r="B36" s="1">
        <v>15615390</v>
      </c>
      <c r="C36" s="2">
        <v>0</v>
      </c>
      <c r="E36">
        <v>2.601664</v>
      </c>
      <c r="F36">
        <v>6002.077683</v>
      </c>
      <c r="G36" s="3">
        <v>6.002077683</v>
      </c>
      <c r="H36" s="4"/>
      <c r="I36" t="s">
        <v>270</v>
      </c>
      <c r="J36">
        <v>2.03295</v>
      </c>
      <c r="K36" s="5">
        <v>7.68114808529477</v>
      </c>
      <c r="L36">
        <v>1.27974819570405</v>
      </c>
      <c r="O36">
        <v>0.0027712</v>
      </c>
      <c r="P36" s="6">
        <v>5.63488380484988</v>
      </c>
      <c r="Q36" s="4">
        <v>1.36314223173221</v>
      </c>
      <c r="R36" s="4"/>
      <c r="T36">
        <v>11.535</v>
      </c>
      <c r="U36" s="7">
        <v>1.35373992197659</v>
      </c>
      <c r="V36">
        <v>5.67402051206375</v>
      </c>
      <c r="Y36">
        <v>0.0025125</v>
      </c>
      <c r="Z36" s="8">
        <v>6.21508059701492</v>
      </c>
      <c r="AA36">
        <v>1.23588873312182</v>
      </c>
      <c r="AD36" s="9">
        <v>2.564943</v>
      </c>
      <c r="AE36">
        <v>2.99466619152736</v>
      </c>
      <c r="AH36">
        <v>2.5832</v>
      </c>
      <c r="AI36" s="10">
        <v>6.04497909569526</v>
      </c>
      <c r="AJ36">
        <v>1.27066578125384</v>
      </c>
    </row>
    <row r="37" customFormat="1" spans="1:36">
      <c r="A37" s="1" t="s">
        <v>313</v>
      </c>
      <c r="B37" s="1">
        <v>21349920</v>
      </c>
      <c r="C37" s="2">
        <v>0</v>
      </c>
      <c r="E37">
        <v>17.108105</v>
      </c>
      <c r="F37">
        <v>1247.941804</v>
      </c>
      <c r="G37" s="3">
        <v>1.247941804</v>
      </c>
      <c r="H37" s="4"/>
      <c r="I37" t="s">
        <v>313</v>
      </c>
      <c r="J37">
        <v>20.266</v>
      </c>
      <c r="K37" s="5">
        <v>1.05348465410046</v>
      </c>
      <c r="L37">
        <v>0.844177709828898</v>
      </c>
      <c r="O37">
        <v>0.0136352</v>
      </c>
      <c r="P37" s="6">
        <v>1.5657944144567</v>
      </c>
      <c r="Q37" s="4">
        <v>0.672811605644922</v>
      </c>
      <c r="R37" s="4"/>
      <c r="T37">
        <v>117.584</v>
      </c>
      <c r="U37" s="7">
        <v>0.181571642400327</v>
      </c>
      <c r="V37">
        <v>5.80203296161058</v>
      </c>
      <c r="Y37">
        <v>0.0300534</v>
      </c>
      <c r="Z37" s="8">
        <v>0.710399488909741</v>
      </c>
      <c r="AA37">
        <v>1.48294680746077</v>
      </c>
      <c r="AD37" s="9">
        <v>0.866244</v>
      </c>
      <c r="AE37">
        <v>1.21615232440336</v>
      </c>
      <c r="AH37">
        <v>24.5425</v>
      </c>
      <c r="AI37" s="10">
        <v>0.86991626769889</v>
      </c>
      <c r="AJ37">
        <v>1.21101845455443</v>
      </c>
    </row>
    <row r="38" customFormat="1" spans="1:36">
      <c r="A38" s="1" t="s">
        <v>110</v>
      </c>
      <c r="B38" s="1">
        <v>4489996</v>
      </c>
      <c r="C38" s="2">
        <v>0</v>
      </c>
      <c r="E38">
        <v>3.269788</v>
      </c>
      <c r="F38">
        <v>1373.176499</v>
      </c>
      <c r="G38" s="3">
        <v>1.373176499</v>
      </c>
      <c r="H38" s="4"/>
      <c r="I38" t="s">
        <v>110</v>
      </c>
      <c r="J38">
        <v>2.78605</v>
      </c>
      <c r="K38" s="5">
        <v>1.6115992175302</v>
      </c>
      <c r="L38">
        <v>1.17362860397321</v>
      </c>
      <c r="O38">
        <v>0.00608</v>
      </c>
      <c r="P38" s="6">
        <v>0.738486184210526</v>
      </c>
      <c r="Q38" s="4">
        <v>2.18230110730245</v>
      </c>
      <c r="R38" s="4"/>
      <c r="T38">
        <v>8.615</v>
      </c>
      <c r="U38" s="7">
        <v>0.5211835171213</v>
      </c>
      <c r="V38">
        <v>3.09219145385043</v>
      </c>
      <c r="Y38">
        <v>0.00351682</v>
      </c>
      <c r="Z38" s="8">
        <v>1.27672044631229</v>
      </c>
      <c r="AA38">
        <v>1.26229608226701</v>
      </c>
      <c r="AD38" s="9">
        <v>0.710346</v>
      </c>
      <c r="AE38">
        <v>2.26875243547538</v>
      </c>
      <c r="AH38">
        <v>4.7241</v>
      </c>
      <c r="AI38" s="10">
        <v>0.950444740797189</v>
      </c>
      <c r="AJ38">
        <v>1.69562642450782</v>
      </c>
    </row>
    <row r="39" customFormat="1" spans="1:36">
      <c r="A39" s="1" t="s">
        <v>132</v>
      </c>
      <c r="B39" s="1">
        <v>5299092</v>
      </c>
      <c r="C39" s="2">
        <v>0</v>
      </c>
      <c r="E39">
        <v>3.371378</v>
      </c>
      <c r="F39">
        <v>1571.788072</v>
      </c>
      <c r="G39" s="3">
        <v>1.571788072</v>
      </c>
      <c r="H39" s="4"/>
      <c r="I39" t="s">
        <v>132</v>
      </c>
      <c r="J39">
        <v>2.3118</v>
      </c>
      <c r="K39" s="5">
        <v>2.29219309628861</v>
      </c>
      <c r="L39">
        <v>1.45833470626351</v>
      </c>
      <c r="O39">
        <v>0.0022816</v>
      </c>
      <c r="P39" s="6">
        <v>2.32253330995792</v>
      </c>
      <c r="Q39" s="4">
        <v>0.98693658620988</v>
      </c>
      <c r="R39" s="4"/>
      <c r="T39">
        <v>7.342</v>
      </c>
      <c r="U39" s="7">
        <v>0.721750476709343</v>
      </c>
      <c r="V39">
        <v>3.17588026645904</v>
      </c>
      <c r="Y39">
        <v>0.00315332</v>
      </c>
      <c r="Z39" s="8">
        <v>1.68048025573047</v>
      </c>
      <c r="AA39">
        <v>1.36401072757159</v>
      </c>
      <c r="AD39" s="9">
        <v>1.041966</v>
      </c>
      <c r="AE39">
        <v>2.19987321686946</v>
      </c>
      <c r="AH39">
        <v>3.593</v>
      </c>
      <c r="AI39" s="10">
        <v>1.4748377400501</v>
      </c>
      <c r="AJ39">
        <v>1.55420019032788</v>
      </c>
    </row>
    <row r="40" customFormat="1" spans="1:36">
      <c r="A40" s="1" t="s">
        <v>133</v>
      </c>
      <c r="B40" s="1">
        <v>5299092</v>
      </c>
      <c r="C40" s="2">
        <v>0</v>
      </c>
      <c r="E40">
        <v>4.539055</v>
      </c>
      <c r="F40">
        <v>1167.443991</v>
      </c>
      <c r="G40" s="3">
        <v>1.167443991</v>
      </c>
      <c r="H40" s="4"/>
      <c r="I40" t="s">
        <v>133</v>
      </c>
      <c r="J40">
        <v>2.27884</v>
      </c>
      <c r="K40" s="5">
        <v>2.32534622878306</v>
      </c>
      <c r="L40">
        <v>1.99182680000883</v>
      </c>
      <c r="O40">
        <v>0.0028096</v>
      </c>
      <c r="P40" s="6">
        <v>1.88606634396355</v>
      </c>
      <c r="Q40" s="4">
        <v>1.23290797072195</v>
      </c>
      <c r="R40" s="4"/>
      <c r="T40">
        <v>7.364</v>
      </c>
      <c r="U40" s="7">
        <v>0.719594242259641</v>
      </c>
      <c r="V40">
        <v>3.23146864194064</v>
      </c>
      <c r="Y40">
        <v>0.00307582</v>
      </c>
      <c r="Z40" s="8">
        <v>1.72282253187768</v>
      </c>
      <c r="AA40">
        <v>1.34973056467325</v>
      </c>
      <c r="AD40" s="9">
        <v>1.041225</v>
      </c>
      <c r="AE40">
        <v>2.23327929005072</v>
      </c>
      <c r="AH40">
        <v>5.808</v>
      </c>
      <c r="AI40" s="10">
        <v>0.912378099173554</v>
      </c>
      <c r="AJ40">
        <v>2.54866511031929</v>
      </c>
    </row>
    <row r="41" customFormat="1" spans="1:36">
      <c r="A41" s="1" t="s">
        <v>328</v>
      </c>
      <c r="B41" s="1">
        <v>23537356</v>
      </c>
      <c r="C41" s="2">
        <v>0</v>
      </c>
      <c r="E41">
        <v>6.328479</v>
      </c>
      <c r="F41">
        <v>3719.275131</v>
      </c>
      <c r="G41" s="3">
        <v>3.719275131</v>
      </c>
      <c r="H41" s="4"/>
      <c r="I41" t="s">
        <v>328</v>
      </c>
      <c r="J41">
        <v>5.26277</v>
      </c>
      <c r="K41" s="5">
        <v>4.47242725788891</v>
      </c>
      <c r="L41">
        <v>1.20249970770149</v>
      </c>
      <c r="O41">
        <v>0.0074864</v>
      </c>
      <c r="P41" s="6">
        <v>3.14401528104296</v>
      </c>
      <c r="Q41" s="4">
        <v>1.42252083978589</v>
      </c>
      <c r="R41" s="4"/>
      <c r="T41">
        <v>33.627</v>
      </c>
      <c r="U41" s="7">
        <v>0.699954084515419</v>
      </c>
      <c r="V41">
        <v>6.38960091358733</v>
      </c>
      <c r="Y41">
        <v>0.0119203</v>
      </c>
      <c r="Z41" s="8">
        <v>1.97456070736475</v>
      </c>
      <c r="AA41">
        <v>2.26502393226381</v>
      </c>
      <c r="AD41" s="9">
        <v>1.347399</v>
      </c>
      <c r="AE41">
        <v>3.31930427281667</v>
      </c>
      <c r="AH41">
        <v>14.4064</v>
      </c>
      <c r="AI41" s="10">
        <v>1.63381247223456</v>
      </c>
      <c r="AJ41">
        <v>2.737417747688</v>
      </c>
    </row>
    <row r="42" customFormat="1" spans="1:36">
      <c r="A42" s="1" t="s">
        <v>336</v>
      </c>
      <c r="B42" s="1">
        <v>25713990</v>
      </c>
      <c r="C42" s="2">
        <v>0</v>
      </c>
      <c r="E42">
        <v>4.153139</v>
      </c>
      <c r="F42">
        <v>6191.458824</v>
      </c>
      <c r="G42" s="3">
        <v>6.191458824</v>
      </c>
      <c r="H42" s="4"/>
      <c r="I42" t="s">
        <v>336</v>
      </c>
      <c r="J42">
        <v>2.12873</v>
      </c>
      <c r="K42" s="5">
        <v>12.0794981045036</v>
      </c>
      <c r="L42">
        <v>1.95099385264096</v>
      </c>
      <c r="O42">
        <v>0.0035568</v>
      </c>
      <c r="P42" s="6">
        <v>7.22952935222672</v>
      </c>
      <c r="Q42" s="4">
        <v>1.67085539265196</v>
      </c>
      <c r="R42" s="4"/>
      <c r="T42">
        <v>22.37</v>
      </c>
      <c r="U42" s="7">
        <v>1.14948547161377</v>
      </c>
      <c r="V42">
        <v>10.508613116741</v>
      </c>
      <c r="Y42">
        <v>0.0041419</v>
      </c>
      <c r="Z42" s="8">
        <v>6.20825949443492</v>
      </c>
      <c r="AA42">
        <v>1.94571411123064</v>
      </c>
      <c r="AD42" s="9">
        <v>2.791272</v>
      </c>
      <c r="AE42">
        <v>4.3275962014822</v>
      </c>
      <c r="AH42">
        <v>3.4946</v>
      </c>
      <c r="AI42" s="10">
        <v>7.35820694786242</v>
      </c>
      <c r="AJ42">
        <v>1.64163609288167</v>
      </c>
    </row>
    <row r="43" customFormat="1" spans="1:36">
      <c r="A43" s="1" t="s">
        <v>315</v>
      </c>
      <c r="B43" s="1">
        <v>21373886</v>
      </c>
      <c r="C43" s="2">
        <v>0</v>
      </c>
      <c r="E43">
        <v>6.704112</v>
      </c>
      <c r="F43">
        <v>3188.175643</v>
      </c>
      <c r="G43" s="3">
        <v>3.188175643</v>
      </c>
      <c r="H43" s="4"/>
      <c r="I43" t="s">
        <v>315</v>
      </c>
      <c r="J43">
        <v>7.20988</v>
      </c>
      <c r="K43" s="5">
        <v>2.96452728755541</v>
      </c>
      <c r="L43">
        <v>0.929850679357759</v>
      </c>
      <c r="O43">
        <v>0.0123104</v>
      </c>
      <c r="P43" s="6">
        <v>1.73624626332207</v>
      </c>
      <c r="Q43" s="4">
        <v>1.70743479780523</v>
      </c>
      <c r="R43" s="4"/>
      <c r="T43">
        <v>54.773</v>
      </c>
      <c r="U43" s="7">
        <v>0.390226681028974</v>
      </c>
      <c r="V43">
        <v>7.59693642612637</v>
      </c>
      <c r="Y43">
        <v>0.0172561</v>
      </c>
      <c r="Z43" s="8">
        <v>1.23862784754377</v>
      </c>
      <c r="AA43">
        <v>2.39339628398808</v>
      </c>
      <c r="AD43" s="9">
        <v>1.559418</v>
      </c>
      <c r="AE43">
        <v>1.90104724169877</v>
      </c>
      <c r="AH43">
        <v>21.5755</v>
      </c>
      <c r="AI43" s="10">
        <v>0.990655419341382</v>
      </c>
      <c r="AJ43">
        <v>2.99249085976466</v>
      </c>
    </row>
    <row r="44" customFormat="1" spans="1:36">
      <c r="A44" s="1" t="s">
        <v>382</v>
      </c>
      <c r="B44" s="1">
        <v>36031146</v>
      </c>
      <c r="C44" s="2">
        <v>0</v>
      </c>
      <c r="E44">
        <v>6.324377</v>
      </c>
      <c r="F44">
        <v>5697.184989</v>
      </c>
      <c r="G44" s="3">
        <v>5.697184989</v>
      </c>
      <c r="H44" s="4"/>
      <c r="I44" t="s">
        <v>382</v>
      </c>
      <c r="J44">
        <v>5.84696</v>
      </c>
      <c r="K44" s="5">
        <v>6.16237258335956</v>
      </c>
      <c r="L44">
        <v>1.08165218353586</v>
      </c>
      <c r="O44">
        <v>0.003304</v>
      </c>
      <c r="P44" s="6">
        <v>10.9053105326877</v>
      </c>
      <c r="Q44" s="4">
        <v>0.565079973182645</v>
      </c>
      <c r="R44" s="4"/>
      <c r="T44">
        <v>75.881</v>
      </c>
      <c r="U44" s="7">
        <v>0.474837521909305</v>
      </c>
      <c r="V44">
        <v>12.9778551589202</v>
      </c>
      <c r="Y44">
        <v>0.00587365</v>
      </c>
      <c r="Z44" s="8">
        <v>6.13437062133426</v>
      </c>
      <c r="AA44">
        <v>1.00456476527974</v>
      </c>
      <c r="AD44" s="9">
        <v>3.08352</v>
      </c>
      <c r="AE44">
        <v>1.99848633488985</v>
      </c>
      <c r="AH44">
        <v>4.0621</v>
      </c>
      <c r="AI44" s="10">
        <v>8.87007853080919</v>
      </c>
      <c r="AJ44">
        <v>0.69473709414807</v>
      </c>
    </row>
    <row r="45" customFormat="1" spans="1:36">
      <c r="A45" s="1" t="s">
        <v>383</v>
      </c>
      <c r="B45" s="1">
        <v>36031146</v>
      </c>
      <c r="C45" s="2">
        <v>0</v>
      </c>
      <c r="E45">
        <v>6.308577</v>
      </c>
      <c r="F45">
        <v>5711.453808</v>
      </c>
      <c r="G45" s="3">
        <v>5.711453808</v>
      </c>
      <c r="H45" s="4"/>
      <c r="I45" t="s">
        <v>383</v>
      </c>
      <c r="J45">
        <v>5.95237</v>
      </c>
      <c r="K45" s="5">
        <v>6.05324366596835</v>
      </c>
      <c r="L45">
        <v>1.0598428822955</v>
      </c>
      <c r="O45">
        <v>0.003328</v>
      </c>
      <c r="P45" s="6">
        <v>10.8266664663462</v>
      </c>
      <c r="Q45" s="4">
        <v>0.559105028753253</v>
      </c>
      <c r="R45" s="4"/>
      <c r="T45">
        <v>75.847</v>
      </c>
      <c r="U45" s="7">
        <v>0.475050377734123</v>
      </c>
      <c r="V45">
        <v>12.7423194458678</v>
      </c>
      <c r="Y45">
        <v>0.00592591</v>
      </c>
      <c r="Z45" s="8">
        <v>6.08027222823161</v>
      </c>
      <c r="AA45">
        <v>0.99555471182067</v>
      </c>
      <c r="AD45" s="9">
        <v>3.1332</v>
      </c>
      <c r="AE45">
        <v>1.93196848779789</v>
      </c>
      <c r="AH45">
        <v>4.5766</v>
      </c>
      <c r="AI45" s="10">
        <v>7.8729069614998</v>
      </c>
      <c r="AJ45">
        <v>0.768870214721195</v>
      </c>
    </row>
    <row r="46" customFormat="1" spans="1:36">
      <c r="A46" s="1" t="s">
        <v>158</v>
      </c>
      <c r="B46" s="1">
        <v>6803752</v>
      </c>
      <c r="C46" s="2">
        <v>0</v>
      </c>
      <c r="E46">
        <v>5.215604</v>
      </c>
      <c r="F46">
        <v>1304.499223</v>
      </c>
      <c r="G46" s="3">
        <v>1.304499223</v>
      </c>
      <c r="H46" s="4"/>
      <c r="I46" t="s">
        <v>158</v>
      </c>
      <c r="J46">
        <v>14.3127</v>
      </c>
      <c r="K46" s="5">
        <v>0.475364676126797</v>
      </c>
      <c r="L46">
        <v>0.364403954977899</v>
      </c>
      <c r="O46">
        <v>0.0036576</v>
      </c>
      <c r="P46" s="6">
        <v>1.86016841644794</v>
      </c>
      <c r="Q46" s="4">
        <v>0.255549267433818</v>
      </c>
      <c r="R46" s="4"/>
      <c r="T46">
        <v>11.684</v>
      </c>
      <c r="U46" s="7">
        <v>0.582313591235878</v>
      </c>
      <c r="V46">
        <v>0.816337937635806</v>
      </c>
      <c r="Y46">
        <v>0.00360155</v>
      </c>
      <c r="Z46" s="8">
        <v>1.88911774097264</v>
      </c>
      <c r="AA46">
        <v>0.251633164951407</v>
      </c>
      <c r="AD46" s="9">
        <v>0.93375</v>
      </c>
      <c r="AE46">
        <v>0.509092022625753</v>
      </c>
      <c r="AH46">
        <v>5.2386</v>
      </c>
      <c r="AI46" s="10">
        <v>1.29877295460619</v>
      </c>
      <c r="AJ46">
        <v>0.366010605965332</v>
      </c>
    </row>
    <row r="47" customFormat="1" spans="1:36">
      <c r="A47" s="1" t="s">
        <v>240</v>
      </c>
      <c r="B47" s="1">
        <v>13122998</v>
      </c>
      <c r="C47" s="2">
        <v>0</v>
      </c>
      <c r="E47">
        <v>3.443655</v>
      </c>
      <c r="F47">
        <v>3810.77618</v>
      </c>
      <c r="G47" s="3">
        <v>3.81077618</v>
      </c>
      <c r="H47" s="4"/>
      <c r="I47" t="s">
        <v>240</v>
      </c>
      <c r="J47">
        <v>2.44555</v>
      </c>
      <c r="K47" s="5">
        <v>5.36607225368526</v>
      </c>
      <c r="L47">
        <v>1.40813104738292</v>
      </c>
      <c r="O47">
        <v>0.0030352</v>
      </c>
      <c r="P47" s="6">
        <v>4.32360239852398</v>
      </c>
      <c r="Q47" s="4">
        <v>1.24111140643209</v>
      </c>
      <c r="R47" s="4"/>
      <c r="T47">
        <v>14.532</v>
      </c>
      <c r="U47" s="7">
        <v>0.903041425818882</v>
      </c>
      <c r="V47">
        <v>5.94222158614627</v>
      </c>
      <c r="Y47">
        <v>0.00272265</v>
      </c>
      <c r="Z47" s="8">
        <v>4.81993572438617</v>
      </c>
      <c r="AA47">
        <v>1.11330784486107</v>
      </c>
      <c r="AD47" s="9">
        <v>1.892676</v>
      </c>
      <c r="AE47">
        <v>2.83517741741601</v>
      </c>
      <c r="AH47">
        <v>3.5829</v>
      </c>
      <c r="AI47" s="10">
        <v>3.66267492813084</v>
      </c>
      <c r="AJ47">
        <v>1.46506920733577</v>
      </c>
    </row>
    <row r="48" customFormat="1" spans="1:36">
      <c r="A48" s="1" t="s">
        <v>249</v>
      </c>
      <c r="B48" s="1">
        <v>13887484</v>
      </c>
      <c r="C48" s="2">
        <v>0</v>
      </c>
      <c r="E48">
        <v>6.439533</v>
      </c>
      <c r="F48">
        <v>2156.597973</v>
      </c>
      <c r="G48" s="3">
        <v>2.156597973</v>
      </c>
      <c r="H48" s="4"/>
      <c r="I48" t="s">
        <v>249</v>
      </c>
      <c r="J48">
        <v>5.91549</v>
      </c>
      <c r="K48" s="5">
        <v>2.34764727858554</v>
      </c>
      <c r="L48">
        <v>1.08858828023462</v>
      </c>
      <c r="O48">
        <v>0.005936</v>
      </c>
      <c r="P48" s="6">
        <v>2.33953571428571</v>
      </c>
      <c r="Q48" s="4">
        <v>1.00346716840025</v>
      </c>
      <c r="R48" s="4"/>
      <c r="T48">
        <v>24.592</v>
      </c>
      <c r="U48" s="7">
        <v>0.564715517241379</v>
      </c>
      <c r="V48">
        <v>4.15722112622961</v>
      </c>
      <c r="Y48">
        <v>0.00416178</v>
      </c>
      <c r="Z48" s="8">
        <v>3.33690968768171</v>
      </c>
      <c r="AA48">
        <v>0.703539351769676</v>
      </c>
      <c r="AD48" s="9">
        <v>0.978687</v>
      </c>
      <c r="AE48">
        <v>2.39877231289017</v>
      </c>
      <c r="AH48">
        <v>7.5242</v>
      </c>
      <c r="AI48" s="10">
        <v>1.84570904547992</v>
      </c>
      <c r="AJ48">
        <v>1.27194873121246</v>
      </c>
    </row>
    <row r="49" customFormat="1" spans="1:36">
      <c r="A49" s="1" t="s">
        <v>119</v>
      </c>
      <c r="B49" s="1">
        <v>4844058</v>
      </c>
      <c r="C49" s="2">
        <v>0</v>
      </c>
      <c r="E49">
        <v>3.374875</v>
      </c>
      <c r="F49">
        <v>1435.329561</v>
      </c>
      <c r="G49" s="3">
        <v>1.435329561</v>
      </c>
      <c r="H49" s="4"/>
      <c r="I49" t="s">
        <v>119</v>
      </c>
      <c r="J49">
        <v>2.87893</v>
      </c>
      <c r="K49" s="5">
        <v>1.68258971215</v>
      </c>
      <c r="L49">
        <v>1.17226716279551</v>
      </c>
      <c r="O49">
        <v>0.002072</v>
      </c>
      <c r="P49" s="6">
        <v>2.33786583011583</v>
      </c>
      <c r="Q49" s="4">
        <v>0.719711837384028</v>
      </c>
      <c r="R49" s="4"/>
      <c r="T49">
        <v>4.475</v>
      </c>
      <c r="U49" s="7">
        <v>1.08247106145251</v>
      </c>
      <c r="V49">
        <v>1.55439694608761</v>
      </c>
      <c r="Y49">
        <v>0.00228279</v>
      </c>
      <c r="Z49" s="8">
        <v>2.12199019620727</v>
      </c>
      <c r="AA49">
        <v>0.79293001219203</v>
      </c>
      <c r="AD49" s="9">
        <v>1.336065</v>
      </c>
      <c r="AE49">
        <v>1.25936216587516</v>
      </c>
      <c r="AH49">
        <v>4.0915</v>
      </c>
      <c r="AI49" s="10">
        <v>1.18393205425883</v>
      </c>
      <c r="AJ49">
        <v>1.42118773294245</v>
      </c>
    </row>
    <row r="50" customFormat="1" spans="1:36">
      <c r="A50" s="1" t="s">
        <v>124</v>
      </c>
      <c r="B50" s="1">
        <v>4960296</v>
      </c>
      <c r="C50" s="2">
        <v>0</v>
      </c>
      <c r="E50">
        <v>2.219891</v>
      </c>
      <c r="F50">
        <v>2234.47757</v>
      </c>
      <c r="G50" s="3">
        <v>2.23447757</v>
      </c>
      <c r="H50" s="4"/>
      <c r="I50" t="s">
        <v>124</v>
      </c>
      <c r="J50">
        <v>1.76</v>
      </c>
      <c r="K50" s="5">
        <v>2.81835</v>
      </c>
      <c r="L50">
        <v>1.26130153993893</v>
      </c>
      <c r="O50">
        <v>0.0021536</v>
      </c>
      <c r="P50" s="6">
        <v>2.30325780089153</v>
      </c>
      <c r="Q50" s="4">
        <v>1.22363636363636</v>
      </c>
      <c r="R50" s="4"/>
      <c r="T50">
        <v>4.505</v>
      </c>
      <c r="U50" s="7">
        <v>1.10106459489456</v>
      </c>
      <c r="V50">
        <v>2.55965909090909</v>
      </c>
      <c r="Y50">
        <v>0.00352427</v>
      </c>
      <c r="Z50" s="8">
        <v>1.40746764578196</v>
      </c>
      <c r="AA50">
        <v>2.00242613636364</v>
      </c>
      <c r="AD50" s="9">
        <v>1.375668</v>
      </c>
      <c r="AE50">
        <v>2.0487137885013</v>
      </c>
      <c r="AH50">
        <v>2.7722</v>
      </c>
      <c r="AI50" s="10">
        <v>1.78929947334247</v>
      </c>
      <c r="AJ50">
        <v>1.57511363636364</v>
      </c>
    </row>
    <row r="51" customFormat="1" spans="1:36">
      <c r="A51" s="1" t="s">
        <v>268</v>
      </c>
      <c r="B51" s="1">
        <v>15522442</v>
      </c>
      <c r="C51" s="2">
        <v>0</v>
      </c>
      <c r="E51">
        <v>4.053293</v>
      </c>
      <c r="F51">
        <v>3829.588245</v>
      </c>
      <c r="G51" s="3">
        <v>3.829588245</v>
      </c>
      <c r="H51" s="4"/>
      <c r="I51" t="s">
        <v>268</v>
      </c>
      <c r="J51">
        <v>1.86466</v>
      </c>
      <c r="K51" s="5">
        <v>8.32454281209443</v>
      </c>
      <c r="L51">
        <v>2.17374356706968</v>
      </c>
      <c r="O51">
        <v>0.0026112</v>
      </c>
      <c r="P51" s="6">
        <v>5.94456265318627</v>
      </c>
      <c r="Q51" s="4">
        <v>1.40036253257967</v>
      </c>
      <c r="R51" s="4"/>
      <c r="T51">
        <v>15.234</v>
      </c>
      <c r="U51" s="7">
        <v>1.01893409478797</v>
      </c>
      <c r="V51">
        <v>8.1698540216447</v>
      </c>
      <c r="Y51">
        <v>0.00230118</v>
      </c>
      <c r="Z51" s="8">
        <v>6.7454271286905</v>
      </c>
      <c r="AA51">
        <v>1.23410165928373</v>
      </c>
      <c r="AD51" s="9">
        <v>2.504898</v>
      </c>
      <c r="AE51">
        <v>3.32330610351976</v>
      </c>
      <c r="AH51">
        <v>3.0511</v>
      </c>
      <c r="AI51" s="10">
        <v>5.08749041329357</v>
      </c>
      <c r="AJ51">
        <v>1.63627685476173</v>
      </c>
    </row>
    <row r="52" customFormat="1" spans="1:36">
      <c r="A52" s="1" t="s">
        <v>185</v>
      </c>
      <c r="B52" s="1">
        <v>8488384</v>
      </c>
      <c r="C52" s="2">
        <v>0</v>
      </c>
      <c r="E52">
        <v>7.310482</v>
      </c>
      <c r="F52">
        <v>1161.125036</v>
      </c>
      <c r="G52" s="3">
        <v>1.161125036</v>
      </c>
      <c r="H52" s="4"/>
      <c r="I52" t="s">
        <v>185</v>
      </c>
      <c r="J52">
        <v>7.6234</v>
      </c>
      <c r="K52" s="5">
        <v>1.11346433349949</v>
      </c>
      <c r="L52">
        <v>0.958952997288992</v>
      </c>
      <c r="O52">
        <v>0.00684</v>
      </c>
      <c r="P52" s="6">
        <v>1.2409918128655</v>
      </c>
      <c r="Q52" s="4">
        <v>0.897237453104914</v>
      </c>
      <c r="R52" s="4"/>
      <c r="T52">
        <v>15.026</v>
      </c>
      <c r="U52" s="7">
        <v>0.564913083987755</v>
      </c>
      <c r="V52">
        <v>1.97103654537346</v>
      </c>
      <c r="Y52">
        <v>0.00370373</v>
      </c>
      <c r="Z52" s="8">
        <v>2.2918474078834</v>
      </c>
      <c r="AA52">
        <v>0.485837028097699</v>
      </c>
      <c r="AD52" s="9">
        <v>0.874389</v>
      </c>
      <c r="AE52">
        <v>1.27341987776549</v>
      </c>
      <c r="AH52">
        <v>8.2111</v>
      </c>
      <c r="AI52" s="10">
        <v>1.0337694097015</v>
      </c>
      <c r="AJ52">
        <v>1.07709158643125</v>
      </c>
    </row>
    <row r="53" customFormat="1" spans="1:36">
      <c r="A53" s="1" t="s">
        <v>344</v>
      </c>
      <c r="B53" s="1">
        <v>26165844</v>
      </c>
      <c r="C53" s="2">
        <v>0</v>
      </c>
      <c r="E53">
        <v>6.889901</v>
      </c>
      <c r="F53">
        <v>3797.70978</v>
      </c>
      <c r="G53" s="3">
        <v>3.79770978</v>
      </c>
      <c r="H53" s="4"/>
      <c r="I53" t="s">
        <v>344</v>
      </c>
      <c r="J53">
        <v>5.07027</v>
      </c>
      <c r="K53" s="5">
        <v>5.16064114928791</v>
      </c>
      <c r="L53">
        <v>1.35888244448419</v>
      </c>
      <c r="O53">
        <v>0.0047264</v>
      </c>
      <c r="P53" s="6">
        <v>5.53610443466486</v>
      </c>
      <c r="Q53" s="4">
        <v>0.932179154167333</v>
      </c>
      <c r="R53" s="4"/>
      <c r="T53">
        <v>28.544</v>
      </c>
      <c r="U53" s="7">
        <v>0.916684557174888</v>
      </c>
      <c r="V53">
        <v>5.62968047066527</v>
      </c>
      <c r="Y53">
        <v>0.00477578</v>
      </c>
      <c r="Z53" s="8">
        <v>5.47886292919691</v>
      </c>
      <c r="AA53">
        <v>0.941918280486049</v>
      </c>
      <c r="AD53" s="9">
        <v>2.299272</v>
      </c>
      <c r="AE53">
        <v>2.24446744416838</v>
      </c>
      <c r="AH53">
        <v>6.1277</v>
      </c>
      <c r="AI53" s="10">
        <v>4.27009220425282</v>
      </c>
      <c r="AJ53">
        <v>1.20855496847308</v>
      </c>
    </row>
    <row r="54" customFormat="1" spans="1:36">
      <c r="A54" s="1" t="s">
        <v>343</v>
      </c>
      <c r="B54" s="1">
        <v>26165844</v>
      </c>
      <c r="C54" s="2">
        <v>0</v>
      </c>
      <c r="E54">
        <v>6.889326</v>
      </c>
      <c r="F54">
        <v>3798.02654</v>
      </c>
      <c r="G54" s="3">
        <v>3.79802654</v>
      </c>
      <c r="H54" s="4"/>
      <c r="I54" t="s">
        <v>343</v>
      </c>
      <c r="J54">
        <v>4.96993</v>
      </c>
      <c r="K54" s="5">
        <v>5.26483149662068</v>
      </c>
      <c r="L54">
        <v>1.38620187120143</v>
      </c>
      <c r="O54">
        <v>0.0047136</v>
      </c>
      <c r="P54" s="6">
        <v>5.55113798370672</v>
      </c>
      <c r="Q54" s="4">
        <v>0.948423820858644</v>
      </c>
      <c r="R54" s="4"/>
      <c r="T54">
        <v>28.58</v>
      </c>
      <c r="U54" s="7">
        <v>0.915529881035689</v>
      </c>
      <c r="V54">
        <v>5.75058401224967</v>
      </c>
      <c r="Y54">
        <v>0.00776342</v>
      </c>
      <c r="Z54" s="8">
        <v>3.37040170440347</v>
      </c>
      <c r="AA54">
        <v>1.56207833913154</v>
      </c>
      <c r="AD54" s="9">
        <v>2.300661</v>
      </c>
      <c r="AE54">
        <v>2.28839950632478</v>
      </c>
      <c r="AH54">
        <v>6.1189</v>
      </c>
      <c r="AI54" s="10">
        <v>4.27623330990864</v>
      </c>
      <c r="AJ54">
        <v>1.23118434263662</v>
      </c>
    </row>
    <row r="55" customFormat="1" spans="1:36">
      <c r="A55" s="1" t="s">
        <v>231</v>
      </c>
      <c r="B55" s="1">
        <v>11242656</v>
      </c>
      <c r="C55" s="2">
        <v>0</v>
      </c>
      <c r="E55">
        <v>3.75024</v>
      </c>
      <c r="F55">
        <v>2997.850082</v>
      </c>
      <c r="G55" s="3">
        <v>2.997850082</v>
      </c>
      <c r="H55" s="4"/>
      <c r="I55" t="s">
        <v>231</v>
      </c>
      <c r="J55">
        <v>2.72466</v>
      </c>
      <c r="K55" s="5">
        <v>4.12626015723063</v>
      </c>
      <c r="L55">
        <v>1.37640643940334</v>
      </c>
      <c r="O55">
        <v>0.002928</v>
      </c>
      <c r="P55" s="6">
        <v>3.83970491803279</v>
      </c>
      <c r="Q55" s="4">
        <v>1.07462949505626</v>
      </c>
      <c r="R55" s="4"/>
      <c r="T55">
        <v>11.921</v>
      </c>
      <c r="U55" s="7">
        <v>0.943096720073819</v>
      </c>
      <c r="V55">
        <v>4.37522479869048</v>
      </c>
      <c r="Y55">
        <v>0.00246419</v>
      </c>
      <c r="Z55" s="8">
        <v>4.56241442421242</v>
      </c>
      <c r="AA55">
        <v>0.904402751168953</v>
      </c>
      <c r="AD55" s="9">
        <v>1.795272</v>
      </c>
      <c r="AE55">
        <v>2.29840389491432</v>
      </c>
      <c r="AH55">
        <v>3.2436</v>
      </c>
      <c r="AI55" s="10">
        <v>3.46610432852386</v>
      </c>
      <c r="AJ55">
        <v>1.19046046112175</v>
      </c>
    </row>
    <row r="56" customFormat="1" spans="1:36">
      <c r="A56" s="1" t="s">
        <v>168</v>
      </c>
      <c r="B56" s="1">
        <v>7312928</v>
      </c>
      <c r="C56" s="2">
        <v>0</v>
      </c>
      <c r="E56">
        <v>4.611555</v>
      </c>
      <c r="F56">
        <v>1585.783402</v>
      </c>
      <c r="G56" s="3">
        <v>1.585783402</v>
      </c>
      <c r="H56" s="4"/>
      <c r="I56" t="s">
        <v>168</v>
      </c>
      <c r="J56">
        <v>2.74876</v>
      </c>
      <c r="K56" s="5">
        <v>2.66044616481614</v>
      </c>
      <c r="L56">
        <v>1.67768571764641</v>
      </c>
      <c r="O56">
        <v>0.0028032</v>
      </c>
      <c r="P56" s="6">
        <v>2.60877853881278</v>
      </c>
      <c r="Q56" s="4">
        <v>1.01980529402349</v>
      </c>
      <c r="R56" s="4"/>
      <c r="T56">
        <v>5.35</v>
      </c>
      <c r="U56" s="7">
        <v>1.36690242990654</v>
      </c>
      <c r="V56">
        <v>1.94633216432137</v>
      </c>
      <c r="Y56">
        <v>0.00237388</v>
      </c>
      <c r="Z56" s="8">
        <v>3.08058031576996</v>
      </c>
      <c r="AA56">
        <v>0.863618504343777</v>
      </c>
      <c r="AD56" s="9">
        <v>1.4805</v>
      </c>
      <c r="AE56">
        <v>1.79699166823109</v>
      </c>
      <c r="AH56">
        <v>7.6537</v>
      </c>
      <c r="AI56" s="10">
        <v>0.955476174921933</v>
      </c>
      <c r="AJ56">
        <v>2.7844191562741</v>
      </c>
    </row>
    <row r="57" customFormat="1" spans="1:36">
      <c r="A57" s="1" t="s">
        <v>360</v>
      </c>
      <c r="B57" s="1">
        <v>30796486</v>
      </c>
      <c r="C57" s="2">
        <v>0</v>
      </c>
      <c r="E57">
        <v>28.691616</v>
      </c>
      <c r="F57">
        <v>1073.361838</v>
      </c>
      <c r="G57" s="3">
        <v>1.073361838</v>
      </c>
      <c r="H57" s="4"/>
      <c r="I57" t="s">
        <v>360</v>
      </c>
      <c r="J57">
        <v>17.4701</v>
      </c>
      <c r="K57" s="5">
        <v>1.76281108866005</v>
      </c>
      <c r="L57">
        <v>1.64232696398514</v>
      </c>
      <c r="O57">
        <v>0.0084448</v>
      </c>
      <c r="P57" s="6">
        <v>3.64679874005305</v>
      </c>
      <c r="Q57" s="4">
        <v>0.483385899336581</v>
      </c>
      <c r="R57" s="4"/>
      <c r="T57">
        <v>107.236</v>
      </c>
      <c r="U57" s="7">
        <v>0.287184210526316</v>
      </c>
      <c r="V57">
        <v>6.13825908266123</v>
      </c>
      <c r="Y57">
        <v>0.00446569</v>
      </c>
      <c r="Z57" s="8">
        <v>6.89624358161897</v>
      </c>
      <c r="AA57">
        <v>0.255619029083978</v>
      </c>
      <c r="AD57" s="9">
        <v>1.592145</v>
      </c>
      <c r="AE57">
        <v>1.10719255385662</v>
      </c>
      <c r="AH57">
        <v>14.7801</v>
      </c>
      <c r="AI57" s="10">
        <v>2.08364530686531</v>
      </c>
      <c r="AJ57">
        <v>0.846022632955736</v>
      </c>
    </row>
    <row r="58" customFormat="1" spans="1:36">
      <c r="A58" s="1" t="s">
        <v>361</v>
      </c>
      <c r="B58" s="1">
        <v>30798388</v>
      </c>
      <c r="C58" s="2">
        <v>0</v>
      </c>
      <c r="E58">
        <v>27.241419</v>
      </c>
      <c r="F58">
        <v>1130.572095</v>
      </c>
      <c r="G58" s="3">
        <v>1.130572095</v>
      </c>
      <c r="H58" s="4"/>
      <c r="I58" t="s">
        <v>361</v>
      </c>
      <c r="J58">
        <v>17.5898</v>
      </c>
      <c r="K58" s="5">
        <v>1.75092314864296</v>
      </c>
      <c r="L58">
        <v>1.54870543540433</v>
      </c>
      <c r="O58">
        <v>0.0086032</v>
      </c>
      <c r="P58" s="6">
        <v>3.57987586014506</v>
      </c>
      <c r="Q58" s="4">
        <v>0.489101638449556</v>
      </c>
      <c r="R58" s="4"/>
      <c r="T58">
        <v>107.284</v>
      </c>
      <c r="U58" s="7">
        <v>0.287073449908654</v>
      </c>
      <c r="V58">
        <v>6.09921659143367</v>
      </c>
      <c r="Y58">
        <v>0.00460987</v>
      </c>
      <c r="Z58" s="8">
        <v>6.68096670838874</v>
      </c>
      <c r="AA58">
        <v>0.262076316956418</v>
      </c>
      <c r="AD58" s="9">
        <v>1.597851</v>
      </c>
      <c r="AE58">
        <v>1.09579876261489</v>
      </c>
      <c r="AH58">
        <v>14.8611</v>
      </c>
      <c r="AI58" s="10">
        <v>2.07241644292818</v>
      </c>
      <c r="AJ58">
        <v>0.84487032257331</v>
      </c>
    </row>
    <row r="59" customFormat="1" spans="1:36">
      <c r="A59" s="1" t="s">
        <v>241</v>
      </c>
      <c r="B59" s="1">
        <v>13130804</v>
      </c>
      <c r="C59" s="2">
        <v>0</v>
      </c>
      <c r="E59">
        <v>7.510771</v>
      </c>
      <c r="F59">
        <v>1748.263118</v>
      </c>
      <c r="G59" s="3">
        <v>1.748263118</v>
      </c>
      <c r="H59" s="4"/>
      <c r="I59" t="s">
        <v>241</v>
      </c>
      <c r="J59">
        <v>5.81404</v>
      </c>
      <c r="K59" s="5">
        <v>2.25846468204553</v>
      </c>
      <c r="L59">
        <v>1.29183339669672</v>
      </c>
      <c r="O59">
        <v>0.0036016</v>
      </c>
      <c r="P59" s="6">
        <v>3.64582518880498</v>
      </c>
      <c r="Q59" s="4">
        <v>0.619465982346183</v>
      </c>
      <c r="R59" s="4"/>
      <c r="T59">
        <v>11.316</v>
      </c>
      <c r="U59" s="7">
        <v>1.16037504418522</v>
      </c>
      <c r="V59">
        <v>1.94632303871318</v>
      </c>
      <c r="Y59">
        <v>0.0123781</v>
      </c>
      <c r="Z59" s="8">
        <v>1.06080933261163</v>
      </c>
      <c r="AA59">
        <v>2.12900152045738</v>
      </c>
      <c r="AD59" s="9">
        <v>1.963485</v>
      </c>
      <c r="AE59">
        <v>1.15023271481347</v>
      </c>
      <c r="AH59">
        <v>5.2913</v>
      </c>
      <c r="AI59" s="10">
        <v>2.48158373178614</v>
      </c>
      <c r="AJ59">
        <v>0.910090057859939</v>
      </c>
    </row>
    <row r="60" customFormat="1" spans="1:36">
      <c r="A60" s="1" t="s">
        <v>286</v>
      </c>
      <c r="B60" s="1">
        <v>17597124</v>
      </c>
      <c r="C60" s="2">
        <v>0</v>
      </c>
      <c r="E60">
        <v>13.40584</v>
      </c>
      <c r="F60">
        <v>1312.646171</v>
      </c>
      <c r="G60" s="3">
        <v>1.312646171</v>
      </c>
      <c r="H60" s="4"/>
      <c r="I60" t="s">
        <v>286</v>
      </c>
      <c r="J60">
        <v>14.6726</v>
      </c>
      <c r="K60" s="5">
        <v>1.19931873015008</v>
      </c>
      <c r="L60">
        <v>0.913664898162473</v>
      </c>
      <c r="O60">
        <v>0.0059664</v>
      </c>
      <c r="P60" s="6">
        <v>2.94937047465809</v>
      </c>
      <c r="Q60" s="4">
        <v>0.406635497457847</v>
      </c>
      <c r="R60" s="4"/>
      <c r="T60">
        <v>33.574</v>
      </c>
      <c r="U60" s="7">
        <v>0.524129504974087</v>
      </c>
      <c r="V60">
        <v>2.28821067840737</v>
      </c>
      <c r="Y60">
        <v>0.0140112</v>
      </c>
      <c r="Z60" s="8">
        <v>1.25593268242549</v>
      </c>
      <c r="AA60">
        <v>0.954922781238499</v>
      </c>
      <c r="AD60" s="9">
        <v>1.494147</v>
      </c>
      <c r="AE60">
        <v>0.802677869145456</v>
      </c>
      <c r="AH60">
        <v>9.3691</v>
      </c>
      <c r="AI60" s="10">
        <v>1.87820857926588</v>
      </c>
      <c r="AJ60">
        <v>0.638543952673691</v>
      </c>
    </row>
    <row r="61" customFormat="1" spans="1:36">
      <c r="A61" s="1" t="s">
        <v>206</v>
      </c>
      <c r="B61" s="1">
        <v>10265412</v>
      </c>
      <c r="C61" s="2">
        <v>0</v>
      </c>
      <c r="E61">
        <v>4.918356</v>
      </c>
      <c r="F61">
        <v>2087.163358</v>
      </c>
      <c r="G61" s="3">
        <v>2.087163358</v>
      </c>
      <c r="H61" s="4"/>
      <c r="I61" t="s">
        <v>206</v>
      </c>
      <c r="J61">
        <v>4.74052</v>
      </c>
      <c r="K61" s="5">
        <v>2.16546117303587</v>
      </c>
      <c r="L61">
        <v>1.03751398506291</v>
      </c>
      <c r="O61">
        <v>0.0055264</v>
      </c>
      <c r="P61" s="6">
        <v>1.85752243775333</v>
      </c>
      <c r="Q61" s="4">
        <v>1.1657792815978</v>
      </c>
      <c r="R61" s="4"/>
      <c r="T61">
        <v>17.169</v>
      </c>
      <c r="U61" s="7">
        <v>0.597903896557749</v>
      </c>
      <c r="V61">
        <v>3.62175457544742</v>
      </c>
      <c r="Y61">
        <v>0.00335813</v>
      </c>
      <c r="Z61" s="8">
        <v>3.05688344405964</v>
      </c>
      <c r="AA61">
        <v>0.708388531215985</v>
      </c>
      <c r="AD61" s="9">
        <v>1.332687</v>
      </c>
      <c r="AE61">
        <v>1.62488354207392</v>
      </c>
      <c r="AH61">
        <v>5.5617</v>
      </c>
      <c r="AI61" s="10">
        <v>1.84573277954582</v>
      </c>
      <c r="AJ61">
        <v>1.17322572207268</v>
      </c>
    </row>
    <row r="62" customFormat="1" spans="1:36">
      <c r="A62" s="1" t="s">
        <v>295</v>
      </c>
      <c r="B62" s="1">
        <v>18632682</v>
      </c>
      <c r="C62" s="2">
        <v>0</v>
      </c>
      <c r="E62">
        <v>3.618123</v>
      </c>
      <c r="F62">
        <v>5149.819735</v>
      </c>
      <c r="G62" s="3">
        <v>5.149819735</v>
      </c>
      <c r="H62" s="4"/>
      <c r="I62" t="s">
        <v>295</v>
      </c>
      <c r="J62">
        <v>2.35497</v>
      </c>
      <c r="K62" s="5">
        <v>7.91206766965184</v>
      </c>
      <c r="L62">
        <v>1.53637759704066</v>
      </c>
      <c r="O62">
        <v>0.0031696</v>
      </c>
      <c r="P62" s="6">
        <v>5.87855943967693</v>
      </c>
      <c r="Q62" s="4">
        <v>1.34591948092757</v>
      </c>
      <c r="R62" s="4"/>
      <c r="T62">
        <v>17.798</v>
      </c>
      <c r="U62" s="7">
        <v>1.0468975165749</v>
      </c>
      <c r="V62">
        <v>7.55763343057449</v>
      </c>
      <c r="Y62">
        <v>0.00243346</v>
      </c>
      <c r="Z62" s="8">
        <v>7.65686799865212</v>
      </c>
      <c r="AA62">
        <v>1.0333295116286</v>
      </c>
      <c r="AD62" s="9">
        <v>2.523282</v>
      </c>
      <c r="AE62">
        <v>3.13562561364597</v>
      </c>
      <c r="AH62">
        <v>4.2168</v>
      </c>
      <c r="AI62" s="10">
        <v>4.4186781445646</v>
      </c>
      <c r="AJ62">
        <v>1.79059605854852</v>
      </c>
    </row>
    <row r="63" customFormat="1" spans="1:36">
      <c r="A63" s="1" t="s">
        <v>208</v>
      </c>
      <c r="B63" s="1">
        <v>10353012</v>
      </c>
      <c r="C63" s="2">
        <v>0</v>
      </c>
      <c r="E63">
        <v>8.855499</v>
      </c>
      <c r="F63">
        <v>1169.105443</v>
      </c>
      <c r="G63" s="3">
        <v>1.169105443</v>
      </c>
      <c r="H63" s="4"/>
      <c r="I63" t="s">
        <v>208</v>
      </c>
      <c r="J63">
        <v>9.41709</v>
      </c>
      <c r="K63" s="5">
        <v>1.09938547895369</v>
      </c>
      <c r="L63">
        <v>0.9403646912571</v>
      </c>
      <c r="O63">
        <v>0.0083712</v>
      </c>
      <c r="P63" s="6">
        <v>1.23674168577982</v>
      </c>
      <c r="Q63" s="4">
        <v>0.888937028317665</v>
      </c>
      <c r="R63" s="4"/>
      <c r="T63">
        <v>18.407</v>
      </c>
      <c r="U63" s="7">
        <v>0.562449720215136</v>
      </c>
      <c r="V63">
        <v>1.95463779150459</v>
      </c>
      <c r="Y63">
        <v>0.00423217</v>
      </c>
      <c r="Z63" s="8">
        <v>2.44626562732593</v>
      </c>
      <c r="AA63">
        <v>0.449413778566415</v>
      </c>
      <c r="AD63" s="9">
        <v>0.859761</v>
      </c>
      <c r="AE63">
        <v>1.27871057067451</v>
      </c>
      <c r="AH63">
        <v>9.8142</v>
      </c>
      <c r="AI63" s="10">
        <v>1.05490126551324</v>
      </c>
      <c r="AJ63">
        <v>1.04216907770872</v>
      </c>
    </row>
    <row r="64" customFormat="1" spans="1:36">
      <c r="A64" s="1" t="s">
        <v>350</v>
      </c>
      <c r="B64" s="1">
        <v>28699428</v>
      </c>
      <c r="C64" s="2">
        <v>0</v>
      </c>
      <c r="E64">
        <v>4.4689</v>
      </c>
      <c r="F64">
        <v>6422.033438</v>
      </c>
      <c r="G64" s="3">
        <v>6.422033438</v>
      </c>
      <c r="H64" s="4"/>
      <c r="I64" t="s">
        <v>350</v>
      </c>
      <c r="J64">
        <v>4.60064</v>
      </c>
      <c r="K64" s="5">
        <v>6.23813817208041</v>
      </c>
      <c r="L64">
        <v>0.971364947302911</v>
      </c>
      <c r="O64">
        <v>0.0050368</v>
      </c>
      <c r="P64" s="6">
        <v>5.69794869758577</v>
      </c>
      <c r="Q64" s="4">
        <v>1.09480420115462</v>
      </c>
      <c r="R64" s="4"/>
      <c r="T64">
        <v>15.315</v>
      </c>
      <c r="U64" s="7">
        <v>1.87394240940255</v>
      </c>
      <c r="V64">
        <v>3.32888467691452</v>
      </c>
      <c r="Y64">
        <v>0.00306176</v>
      </c>
      <c r="Z64" s="8">
        <v>9.37350674122074</v>
      </c>
      <c r="AA64">
        <v>0.665507407665021</v>
      </c>
      <c r="AD64" s="9">
        <v>2.538306</v>
      </c>
      <c r="AE64">
        <v>2.45759895461005</v>
      </c>
      <c r="AH64">
        <v>6.8154</v>
      </c>
      <c r="AI64" s="10">
        <v>4.21096751474602</v>
      </c>
      <c r="AJ64">
        <v>1.48140258746609</v>
      </c>
    </row>
    <row r="65" customFormat="1" spans="1:36">
      <c r="A65" s="1" t="s">
        <v>205</v>
      </c>
      <c r="B65" s="1">
        <v>10240864</v>
      </c>
      <c r="C65" s="2">
        <v>0</v>
      </c>
      <c r="E65">
        <v>9.714484</v>
      </c>
      <c r="F65">
        <v>1054.185123</v>
      </c>
      <c r="G65" s="3">
        <v>1.054185123</v>
      </c>
      <c r="H65" s="4"/>
      <c r="I65" t="s">
        <v>205</v>
      </c>
      <c r="J65">
        <v>6.6114</v>
      </c>
      <c r="K65" s="5">
        <v>1.54897056599207</v>
      </c>
      <c r="L65">
        <v>1.46935346761868</v>
      </c>
      <c r="O65">
        <v>0.0123088</v>
      </c>
      <c r="P65" s="6">
        <v>0.831995320421162</v>
      </c>
      <c r="Q65" s="4">
        <v>1.86175394016396</v>
      </c>
      <c r="R65" s="4"/>
      <c r="T65">
        <v>18.667</v>
      </c>
      <c r="U65" s="7">
        <v>0.548607917715755</v>
      </c>
      <c r="V65">
        <v>2.82345645400369</v>
      </c>
      <c r="Y65">
        <v>0.00396188</v>
      </c>
      <c r="Z65" s="8">
        <v>2.58484961684857</v>
      </c>
      <c r="AA65">
        <v>0.599249780681853</v>
      </c>
      <c r="AD65" s="9">
        <v>0.745503</v>
      </c>
      <c r="AE65">
        <v>2.07775229072462</v>
      </c>
      <c r="AH65">
        <v>11.8958</v>
      </c>
      <c r="AI65" s="10">
        <v>0.860880646951025</v>
      </c>
      <c r="AJ65">
        <v>1.7992860816166</v>
      </c>
    </row>
    <row r="66" customFormat="1" spans="1:36">
      <c r="A66" s="1" t="s">
        <v>273</v>
      </c>
      <c r="B66" s="1">
        <v>15671020</v>
      </c>
      <c r="C66" s="2">
        <v>0</v>
      </c>
      <c r="E66">
        <v>4.717993</v>
      </c>
      <c r="F66">
        <v>3321.54341</v>
      </c>
      <c r="G66" s="3">
        <v>3.32154341</v>
      </c>
      <c r="H66" s="4"/>
      <c r="I66" t="s">
        <v>273</v>
      </c>
      <c r="J66">
        <v>3.09198</v>
      </c>
      <c r="K66" s="5">
        <v>5.06827987244419</v>
      </c>
      <c r="L66">
        <v>1.52588096762047</v>
      </c>
      <c r="O66">
        <v>0.0066432</v>
      </c>
      <c r="P66" s="6">
        <v>2.35895652697495</v>
      </c>
      <c r="Q66" s="4">
        <v>2.14852618710341</v>
      </c>
      <c r="R66" s="4"/>
      <c r="T66">
        <v>21.108</v>
      </c>
      <c r="U66" s="7">
        <v>0.742420883077506</v>
      </c>
      <c r="V66">
        <v>6.82669357499078</v>
      </c>
      <c r="Y66">
        <v>0.00374592</v>
      </c>
      <c r="Z66" s="8">
        <v>4.18349030411755</v>
      </c>
      <c r="AA66">
        <v>1.21149554654299</v>
      </c>
      <c r="AD66" s="9">
        <v>1.41762</v>
      </c>
      <c r="AE66">
        <v>3.57520342012965</v>
      </c>
      <c r="AH66">
        <v>5.7786</v>
      </c>
      <c r="AI66" s="10">
        <v>2.71190599799259</v>
      </c>
      <c r="AJ66">
        <v>1.86889954010052</v>
      </c>
    </row>
    <row r="67" customFormat="1" spans="1:36">
      <c r="A67" s="1" t="s">
        <v>199</v>
      </c>
      <c r="B67" s="1">
        <v>10016908</v>
      </c>
      <c r="C67" s="2">
        <v>0</v>
      </c>
      <c r="E67">
        <v>7.989216</v>
      </c>
      <c r="F67">
        <v>1253.803665</v>
      </c>
      <c r="G67" s="3">
        <v>1.253803665</v>
      </c>
      <c r="H67" s="4"/>
      <c r="I67" t="s">
        <v>199</v>
      </c>
      <c r="J67">
        <v>4.75642</v>
      </c>
      <c r="K67" s="5">
        <v>2.1059763435525</v>
      </c>
      <c r="L67">
        <v>1.67966995339139</v>
      </c>
      <c r="O67">
        <v>0.0108656</v>
      </c>
      <c r="P67" s="6">
        <v>0.921891842144014</v>
      </c>
      <c r="Q67" s="4">
        <v>2.28440718019014</v>
      </c>
      <c r="R67" s="4"/>
      <c r="T67">
        <v>17.041</v>
      </c>
      <c r="U67" s="7">
        <v>0.587812217592864</v>
      </c>
      <c r="V67">
        <v>3.58273659601129</v>
      </c>
      <c r="Y67">
        <v>0.00400144</v>
      </c>
      <c r="Z67" s="8">
        <v>2.50332580271102</v>
      </c>
      <c r="AA67">
        <v>0.841271376371305</v>
      </c>
      <c r="AD67" s="9">
        <v>0.693366</v>
      </c>
      <c r="AE67">
        <v>3.03732277549304</v>
      </c>
      <c r="AH67">
        <v>9.4379</v>
      </c>
      <c r="AI67" s="10">
        <v>1.06134924082688</v>
      </c>
      <c r="AJ67">
        <v>1.98424445276069</v>
      </c>
    </row>
    <row r="68" customFormat="1" spans="1:36">
      <c r="A68" s="1" t="s">
        <v>198</v>
      </c>
      <c r="B68" s="1">
        <v>10016908</v>
      </c>
      <c r="C68" s="2">
        <v>0</v>
      </c>
      <c r="E68">
        <v>8.088957</v>
      </c>
      <c r="F68">
        <v>1238.343572</v>
      </c>
      <c r="G68" s="3">
        <v>1.238343572</v>
      </c>
      <c r="H68" s="4"/>
      <c r="I68" t="s">
        <v>198</v>
      </c>
      <c r="J68">
        <v>4.80569</v>
      </c>
      <c r="K68" s="5">
        <v>2.08438496865174</v>
      </c>
      <c r="L68">
        <v>1.68320409277478</v>
      </c>
      <c r="O68">
        <v>0.010944</v>
      </c>
      <c r="P68" s="6">
        <v>0.91528764619883</v>
      </c>
      <c r="Q68" s="4">
        <v>2.27730045009145</v>
      </c>
      <c r="R68" s="4"/>
      <c r="T68">
        <v>17.267</v>
      </c>
      <c r="U68" s="7">
        <v>0.580118607748885</v>
      </c>
      <c r="V68">
        <v>3.59303242614484</v>
      </c>
      <c r="Y68">
        <v>0.0039704</v>
      </c>
      <c r="Z68" s="8">
        <v>2.5228964336087</v>
      </c>
      <c r="AA68">
        <v>0.82618729048274</v>
      </c>
      <c r="AD68" s="9">
        <v>0.690333</v>
      </c>
      <c r="AE68">
        <v>3.01939059649726</v>
      </c>
      <c r="AH68">
        <v>9.5112</v>
      </c>
      <c r="AI68" s="10">
        <v>1.05316973673143</v>
      </c>
      <c r="AJ68">
        <v>1.97915387800711</v>
      </c>
    </row>
    <row r="69" customFormat="1" spans="1:36">
      <c r="A69" s="1" t="s">
        <v>308</v>
      </c>
      <c r="B69" s="1">
        <v>20137844</v>
      </c>
      <c r="C69" s="2">
        <v>0</v>
      </c>
      <c r="E69">
        <v>10.2087</v>
      </c>
      <c r="F69">
        <v>1972.615921</v>
      </c>
      <c r="G69" s="3">
        <v>1.972615921</v>
      </c>
      <c r="H69" s="4"/>
      <c r="I69" t="s">
        <v>308</v>
      </c>
      <c r="J69">
        <v>7.91096</v>
      </c>
      <c r="K69" s="5">
        <v>2.54556261187011</v>
      </c>
      <c r="L69">
        <v>1.29045020106076</v>
      </c>
      <c r="O69">
        <v>0.009056</v>
      </c>
      <c r="P69" s="6">
        <v>2.22370185512367</v>
      </c>
      <c r="Q69" s="4">
        <v>1.14474096696229</v>
      </c>
      <c r="R69" s="4"/>
      <c r="T69">
        <v>34.942</v>
      </c>
      <c r="U69" s="7">
        <v>0.576322019346345</v>
      </c>
      <c r="V69">
        <v>4.41691021064447</v>
      </c>
      <c r="Y69">
        <v>0.00479875</v>
      </c>
      <c r="Z69" s="8">
        <v>4.19647699921855</v>
      </c>
      <c r="AA69">
        <v>0.60659515406474</v>
      </c>
      <c r="AD69" s="9">
        <v>1.165533</v>
      </c>
      <c r="AE69">
        <v>2.18403306630538</v>
      </c>
      <c r="AH69">
        <v>10.6894</v>
      </c>
      <c r="AI69" s="10">
        <v>1.88390779650869</v>
      </c>
      <c r="AJ69">
        <v>1.35121401195304</v>
      </c>
    </row>
    <row r="70" customFormat="1" spans="1:36">
      <c r="A70" s="1" t="s">
        <v>250</v>
      </c>
      <c r="B70" s="1">
        <v>13969156</v>
      </c>
      <c r="C70" s="2">
        <v>0</v>
      </c>
      <c r="E70">
        <v>7.492309</v>
      </c>
      <c r="F70">
        <v>1864.466141</v>
      </c>
      <c r="G70" s="3">
        <v>1.864466141</v>
      </c>
      <c r="H70" s="4"/>
      <c r="I70" t="s">
        <v>250</v>
      </c>
      <c r="J70">
        <v>6.09709</v>
      </c>
      <c r="K70" s="5">
        <v>2.2911185499968</v>
      </c>
      <c r="L70">
        <v>1.22883355166105</v>
      </c>
      <c r="O70">
        <v>0.0075776</v>
      </c>
      <c r="P70" s="6">
        <v>1.84348025760135</v>
      </c>
      <c r="Q70" s="4">
        <v>1.24282239560184</v>
      </c>
      <c r="R70" s="4"/>
      <c r="T70">
        <v>22.892</v>
      </c>
      <c r="U70" s="7">
        <v>0.610219989515988</v>
      </c>
      <c r="V70">
        <v>3.754578003605</v>
      </c>
      <c r="Y70">
        <v>0.00388309</v>
      </c>
      <c r="Z70" s="8">
        <v>3.59743297219482</v>
      </c>
      <c r="AA70">
        <v>0.636875952298556</v>
      </c>
      <c r="AD70" s="9">
        <v>1.345977</v>
      </c>
      <c r="AE70">
        <v>1.70219740010179</v>
      </c>
      <c r="AH70">
        <v>10.3491</v>
      </c>
      <c r="AI70" s="10">
        <v>1.34979428162835</v>
      </c>
      <c r="AJ70">
        <v>1.697383505902</v>
      </c>
    </row>
    <row r="71" customFormat="1" spans="1:36">
      <c r="A71" s="1" t="s">
        <v>380</v>
      </c>
      <c r="B71" s="1">
        <v>35555734</v>
      </c>
      <c r="C71" s="2">
        <v>0</v>
      </c>
      <c r="E71">
        <v>11.429075</v>
      </c>
      <c r="F71">
        <v>3110.989675</v>
      </c>
      <c r="G71" s="3">
        <v>3.110989675</v>
      </c>
      <c r="H71" s="4"/>
      <c r="I71" t="s">
        <v>380</v>
      </c>
      <c r="J71">
        <v>4.55039</v>
      </c>
      <c r="K71" s="5">
        <v>7.81377728062869</v>
      </c>
      <c r="L71">
        <v>2.51166930685127</v>
      </c>
      <c r="O71">
        <v>0.0051136</v>
      </c>
      <c r="P71" s="6">
        <v>6.95317076032541</v>
      </c>
      <c r="Q71" s="4">
        <v>1.12377180857025</v>
      </c>
      <c r="R71" s="4"/>
      <c r="T71">
        <v>7.432</v>
      </c>
      <c r="U71" s="7">
        <v>4.78414074273412</v>
      </c>
      <c r="V71">
        <v>1.63326659912667</v>
      </c>
      <c r="Y71">
        <v>0.00739529</v>
      </c>
      <c r="Z71" s="8">
        <v>4.8078890753439</v>
      </c>
      <c r="AA71">
        <v>1.62519915875343</v>
      </c>
      <c r="AD71" s="9">
        <v>1.47933</v>
      </c>
      <c r="AE71">
        <v>5.2819704059464</v>
      </c>
      <c r="AH71">
        <v>10.1165</v>
      </c>
      <c r="AI71" s="10">
        <v>3.51462798398656</v>
      </c>
      <c r="AJ71">
        <v>2.22321603203242</v>
      </c>
    </row>
    <row r="72" customFormat="1" spans="1:36">
      <c r="A72" s="1" t="s">
        <v>327</v>
      </c>
      <c r="B72" s="1">
        <v>22767128</v>
      </c>
      <c r="C72" s="2">
        <v>0</v>
      </c>
      <c r="E72">
        <v>10.705216</v>
      </c>
      <c r="F72">
        <v>2126.732324</v>
      </c>
      <c r="G72" s="3">
        <v>2.126732324</v>
      </c>
      <c r="H72" s="4"/>
      <c r="I72" t="s">
        <v>327</v>
      </c>
      <c r="J72">
        <v>8.70019</v>
      </c>
      <c r="K72" s="5">
        <v>2.61685411468025</v>
      </c>
      <c r="L72">
        <v>1.23045767685443</v>
      </c>
      <c r="O72">
        <v>0.0095616</v>
      </c>
      <c r="P72" s="6">
        <v>2.38110023427041</v>
      </c>
      <c r="Q72" s="4">
        <v>1.09901048138029</v>
      </c>
      <c r="R72" s="4"/>
      <c r="T72">
        <v>33.528</v>
      </c>
      <c r="U72" s="7">
        <v>0.679048198520639</v>
      </c>
      <c r="V72">
        <v>3.85370894198862</v>
      </c>
      <c r="Y72">
        <v>0.0107283</v>
      </c>
      <c r="Z72" s="8">
        <v>2.12215616640101</v>
      </c>
      <c r="AA72">
        <v>1.23311100102412</v>
      </c>
      <c r="AD72" s="9">
        <v>1.236867</v>
      </c>
      <c r="AE72">
        <v>2.11571180626555</v>
      </c>
      <c r="AH72">
        <v>11.0468</v>
      </c>
      <c r="AI72" s="10">
        <v>2.06097041677228</v>
      </c>
      <c r="AJ72">
        <v>1.26971939693271</v>
      </c>
    </row>
    <row r="73" customFormat="1" spans="1:36">
      <c r="A73" s="1" t="s">
        <v>326</v>
      </c>
      <c r="B73" s="1">
        <v>22767128</v>
      </c>
      <c r="C73" s="2">
        <v>0</v>
      </c>
      <c r="E73">
        <v>13.194878</v>
      </c>
      <c r="F73">
        <v>1725.451906</v>
      </c>
      <c r="G73" s="3">
        <v>1.725451906</v>
      </c>
      <c r="H73" s="4"/>
      <c r="I73" t="s">
        <v>326</v>
      </c>
      <c r="J73">
        <v>8.21637</v>
      </c>
      <c r="K73" s="5">
        <v>2.77094726746726</v>
      </c>
      <c r="L73">
        <v>1.60592553048376</v>
      </c>
      <c r="O73">
        <v>0.009952</v>
      </c>
      <c r="P73" s="6">
        <v>2.28769372990354</v>
      </c>
      <c r="Q73" s="4">
        <v>1.21124048697904</v>
      </c>
      <c r="R73" s="4"/>
      <c r="T73">
        <v>33.542</v>
      </c>
      <c r="U73" s="7">
        <v>0.678764772524</v>
      </c>
      <c r="V73">
        <v>4.08233806413294</v>
      </c>
      <c r="Y73">
        <v>0.00473012</v>
      </c>
      <c r="Z73" s="8">
        <v>4.81322418881551</v>
      </c>
      <c r="AA73">
        <v>0.575694619400051</v>
      </c>
      <c r="AD73" s="9">
        <v>1.221258</v>
      </c>
      <c r="AE73">
        <v>2.26892865182235</v>
      </c>
      <c r="AH73">
        <v>10.8905</v>
      </c>
      <c r="AI73" s="10">
        <v>2.09054937789817</v>
      </c>
      <c r="AJ73">
        <v>1.32546367799892</v>
      </c>
    </row>
    <row r="74" customFormat="1" spans="1:36">
      <c r="A74" s="1" t="s">
        <v>311</v>
      </c>
      <c r="B74" s="1">
        <v>20660152</v>
      </c>
      <c r="C74" s="2">
        <v>0</v>
      </c>
      <c r="E74">
        <v>14.224903</v>
      </c>
      <c r="F74">
        <v>1452.393194</v>
      </c>
      <c r="G74" s="3">
        <v>1.452393194</v>
      </c>
      <c r="H74" s="4"/>
      <c r="I74" t="s">
        <v>311</v>
      </c>
      <c r="J74">
        <v>18.5137</v>
      </c>
      <c r="K74" s="5">
        <v>1.11593857521727</v>
      </c>
      <c r="L74">
        <v>0.768344674036851</v>
      </c>
      <c r="O74">
        <v>0.0171168</v>
      </c>
      <c r="P74" s="6">
        <v>1.20701018882034</v>
      </c>
      <c r="Q74" s="4">
        <v>0.924547767329059</v>
      </c>
      <c r="R74" s="4"/>
      <c r="T74">
        <v>45.679</v>
      </c>
      <c r="U74" s="7">
        <v>0.452289936294577</v>
      </c>
      <c r="V74">
        <v>2.46730799353992</v>
      </c>
      <c r="Y74">
        <v>0.00820377</v>
      </c>
      <c r="Z74" s="8">
        <v>2.51837289441318</v>
      </c>
      <c r="AA74">
        <v>0.443118879532454</v>
      </c>
      <c r="AD74" s="9">
        <v>0.604926</v>
      </c>
      <c r="AE74">
        <v>1.84475220972032</v>
      </c>
      <c r="AH74">
        <v>21.6638</v>
      </c>
      <c r="AI74" s="10">
        <v>0.953671655018972</v>
      </c>
      <c r="AJ74">
        <v>1.1701496729449</v>
      </c>
    </row>
    <row r="75" customFormat="1" spans="1:36">
      <c r="A75" s="1" t="s">
        <v>153</v>
      </c>
      <c r="B75" s="1">
        <v>6406400</v>
      </c>
      <c r="C75" s="2">
        <v>0</v>
      </c>
      <c r="E75">
        <v>10.1626</v>
      </c>
      <c r="F75">
        <v>630.389877</v>
      </c>
      <c r="G75" s="3">
        <v>0.630389877</v>
      </c>
      <c r="H75" s="4"/>
      <c r="I75" t="s">
        <v>153</v>
      </c>
      <c r="J75">
        <v>9.30218</v>
      </c>
      <c r="K75" s="5">
        <v>0.688698778135878</v>
      </c>
      <c r="L75">
        <v>1.09249656960446</v>
      </c>
      <c r="O75">
        <v>0.0059984</v>
      </c>
      <c r="P75" s="6">
        <v>1.06801813817018</v>
      </c>
      <c r="Q75" s="4">
        <v>0.644838091716135</v>
      </c>
      <c r="R75" s="4"/>
      <c r="T75">
        <v>8.301</v>
      </c>
      <c r="U75" s="7">
        <v>0.771762438260451</v>
      </c>
      <c r="V75">
        <v>0.892371465613437</v>
      </c>
      <c r="Y75">
        <v>0.0145185</v>
      </c>
      <c r="Z75" s="8">
        <v>0.441257705685849</v>
      </c>
      <c r="AA75">
        <v>1.5607631759437</v>
      </c>
      <c r="AD75" s="9">
        <v>0.581301</v>
      </c>
      <c r="AE75">
        <v>1.18475416029884</v>
      </c>
      <c r="AH75">
        <v>14.3613</v>
      </c>
      <c r="AI75" s="10">
        <v>0.446087749716251</v>
      </c>
      <c r="AJ75">
        <v>1.54386391147021</v>
      </c>
    </row>
    <row r="76" customFormat="1" spans="1:36">
      <c r="A76" s="1" t="s">
        <v>152</v>
      </c>
      <c r="B76" s="1">
        <v>6406400</v>
      </c>
      <c r="C76" s="2">
        <v>0</v>
      </c>
      <c r="E76">
        <v>10.131322</v>
      </c>
      <c r="F76">
        <v>632.336023</v>
      </c>
      <c r="G76" s="3">
        <v>0.632336023</v>
      </c>
      <c r="H76" s="4"/>
      <c r="I76" t="s">
        <v>152</v>
      </c>
      <c r="J76">
        <v>9.07936</v>
      </c>
      <c r="K76" s="5">
        <v>0.70560039474148</v>
      </c>
      <c r="L76">
        <v>1.11586303654486</v>
      </c>
      <c r="O76">
        <v>0.007728</v>
      </c>
      <c r="P76" s="6">
        <v>0.828985507246377</v>
      </c>
      <c r="Q76" s="4">
        <v>0.851161315335002</v>
      </c>
      <c r="R76" s="4"/>
      <c r="T76">
        <v>8.221</v>
      </c>
      <c r="U76" s="7">
        <v>0.779272594574869</v>
      </c>
      <c r="V76">
        <v>0.905460296761005</v>
      </c>
      <c r="Y76">
        <v>0.0133684</v>
      </c>
      <c r="Z76" s="8">
        <v>0.479219652314413</v>
      </c>
      <c r="AA76">
        <v>1.47239453001093</v>
      </c>
      <c r="AD76" s="9">
        <v>0.571419</v>
      </c>
      <c r="AE76">
        <v>1.2348213740556</v>
      </c>
      <c r="AH76">
        <v>14.5642</v>
      </c>
      <c r="AI76" s="10">
        <v>0.439873113524945</v>
      </c>
      <c r="AJ76">
        <v>1.60409984844747</v>
      </c>
    </row>
    <row r="77" customFormat="1" spans="1:36">
      <c r="A77" s="1" t="s">
        <v>589</v>
      </c>
      <c r="B77" s="1">
        <v>402201632</v>
      </c>
      <c r="C77" s="2">
        <v>0</v>
      </c>
      <c r="E77">
        <v>52.670257</v>
      </c>
      <c r="F77">
        <v>7636.219233</v>
      </c>
      <c r="G77" s="3">
        <v>7.636219233</v>
      </c>
      <c r="H77" s="4"/>
      <c r="I77" t="s">
        <v>589</v>
      </c>
      <c r="J77">
        <v>49.8709</v>
      </c>
      <c r="K77" s="5">
        <v>8.06485609844619</v>
      </c>
      <c r="L77">
        <v>1.05613207954976</v>
      </c>
      <c r="O77">
        <v>0.060624</v>
      </c>
      <c r="P77" s="6">
        <v>6.63436315650567</v>
      </c>
      <c r="Q77" s="4">
        <v>1.21561872755455</v>
      </c>
      <c r="R77" s="4"/>
      <c r="T77">
        <v>628.641</v>
      </c>
      <c r="U77" s="7">
        <v>0.639795419007033</v>
      </c>
      <c r="V77">
        <v>12.6053670577431</v>
      </c>
      <c r="Y77">
        <v>0.0791477</v>
      </c>
      <c r="Z77" s="8">
        <v>5.08165912591269</v>
      </c>
      <c r="AA77">
        <v>1.58705176766411</v>
      </c>
      <c r="AD77" s="9">
        <v>2.056254</v>
      </c>
      <c r="AE77">
        <v>3.92211083769135</v>
      </c>
      <c r="AH77">
        <v>71.0918</v>
      </c>
      <c r="AI77" s="10">
        <v>5.65749681397855</v>
      </c>
      <c r="AJ77">
        <v>1.42551668407829</v>
      </c>
    </row>
    <row r="78" customFormat="1" spans="1:36">
      <c r="A78" s="1" t="s">
        <v>189</v>
      </c>
      <c r="B78" s="1">
        <v>9485076</v>
      </c>
      <c r="C78" s="2">
        <v>0</v>
      </c>
      <c r="E78">
        <v>8.731187</v>
      </c>
      <c r="F78">
        <v>1086.344438</v>
      </c>
      <c r="G78" s="3">
        <v>1.086344438</v>
      </c>
      <c r="H78" s="4"/>
      <c r="I78" t="s">
        <v>189</v>
      </c>
      <c r="J78">
        <v>6.91558</v>
      </c>
      <c r="K78" s="5">
        <v>1.37155177150723</v>
      </c>
      <c r="L78">
        <v>1.26253858677853</v>
      </c>
      <c r="O78">
        <v>0.0053504</v>
      </c>
      <c r="P78" s="6">
        <v>1.7727788576555</v>
      </c>
      <c r="Q78" s="4">
        <v>0.773673357838388</v>
      </c>
      <c r="R78" s="4"/>
      <c r="T78">
        <v>9.777</v>
      </c>
      <c r="U78" s="7">
        <v>0.970141761276465</v>
      </c>
      <c r="V78">
        <v>1.41376428296687</v>
      </c>
      <c r="Y78">
        <v>0.00325002</v>
      </c>
      <c r="Z78" s="8">
        <v>2.91846696328023</v>
      </c>
      <c r="AA78">
        <v>0.46995624372793</v>
      </c>
      <c r="AD78" s="9">
        <v>1.212822</v>
      </c>
      <c r="AE78">
        <v>1.13087639530552</v>
      </c>
      <c r="AH78">
        <v>11.603</v>
      </c>
      <c r="AI78" s="10">
        <v>0.817467551495303</v>
      </c>
      <c r="AJ78">
        <v>1.67780576611072</v>
      </c>
    </row>
    <row r="79" customFormat="1" spans="1:36">
      <c r="A79" s="1" t="s">
        <v>200</v>
      </c>
      <c r="B79" s="1">
        <v>10160640</v>
      </c>
      <c r="C79" s="2">
        <v>0</v>
      </c>
      <c r="E79">
        <v>12.262367</v>
      </c>
      <c r="F79">
        <v>828.603493</v>
      </c>
      <c r="G79" s="3">
        <v>0.828603493</v>
      </c>
      <c r="H79" s="4"/>
      <c r="I79" t="s">
        <v>200</v>
      </c>
      <c r="J79">
        <v>11.4493</v>
      </c>
      <c r="K79" s="5">
        <v>0.887446394102696</v>
      </c>
      <c r="L79">
        <v>1.07101454628154</v>
      </c>
      <c r="O79">
        <v>0.0086032</v>
      </c>
      <c r="P79" s="6">
        <v>1.18103031430166</v>
      </c>
      <c r="Q79" s="4">
        <v>0.751417117203672</v>
      </c>
      <c r="R79" s="4"/>
      <c r="T79">
        <v>14.204</v>
      </c>
      <c r="U79" s="7">
        <v>0.715336524922557</v>
      </c>
      <c r="V79">
        <v>1.2405998620003</v>
      </c>
      <c r="Y79">
        <v>0.0164367</v>
      </c>
      <c r="Z79" s="8">
        <v>0.618167880413952</v>
      </c>
      <c r="AA79">
        <v>1.43560741704733</v>
      </c>
      <c r="AD79" s="9">
        <v>0.884502</v>
      </c>
      <c r="AE79">
        <v>1.00332887218197</v>
      </c>
      <c r="AH79">
        <v>22.1449</v>
      </c>
      <c r="AI79" s="10">
        <v>0.458825282570705</v>
      </c>
      <c r="AJ79">
        <v>1.93417064798721</v>
      </c>
    </row>
    <row r="80" customFormat="1" spans="1:36">
      <c r="A80" s="1" t="s">
        <v>529</v>
      </c>
      <c r="B80" s="1">
        <v>152941166</v>
      </c>
      <c r="C80" s="2">
        <v>0</v>
      </c>
      <c r="E80">
        <v>15.831122</v>
      </c>
      <c r="F80">
        <v>9660.79154</v>
      </c>
      <c r="G80" s="3">
        <v>9.66079154</v>
      </c>
      <c r="H80" s="4"/>
      <c r="I80" t="s">
        <v>529</v>
      </c>
      <c r="J80">
        <v>12.9517</v>
      </c>
      <c r="K80" s="5">
        <v>11.8085784877661</v>
      </c>
      <c r="L80">
        <v>1.22231997646086</v>
      </c>
      <c r="O80">
        <v>0.0245952</v>
      </c>
      <c r="P80" s="6">
        <v>6.21833390255009</v>
      </c>
      <c r="Q80" s="4">
        <v>1.89899395446158</v>
      </c>
      <c r="R80" s="4"/>
      <c r="T80">
        <v>98.267</v>
      </c>
      <c r="U80" s="7">
        <v>1.55638379109976</v>
      </c>
      <c r="V80">
        <v>7.58718932649768</v>
      </c>
      <c r="Y80">
        <v>0.0316623</v>
      </c>
      <c r="Z80" s="8">
        <v>4.83038711653923</v>
      </c>
      <c r="AA80">
        <v>2.44464433240424</v>
      </c>
      <c r="AD80" s="9">
        <v>2.338377</v>
      </c>
      <c r="AE80">
        <v>5.04990362450797</v>
      </c>
      <c r="AH80">
        <v>28.9822</v>
      </c>
      <c r="AI80" s="10">
        <v>5.2770723409541</v>
      </c>
      <c r="AJ80">
        <v>2.23771396805053</v>
      </c>
    </row>
    <row r="81" customFormat="1" spans="1:36">
      <c r="A81" s="1" t="s">
        <v>333</v>
      </c>
      <c r="B81" s="1">
        <v>24858492</v>
      </c>
      <c r="C81" s="2">
        <v>0</v>
      </c>
      <c r="E81">
        <v>12.522576</v>
      </c>
      <c r="F81">
        <v>1985.094154</v>
      </c>
      <c r="G81" s="3">
        <v>1.985094154</v>
      </c>
      <c r="H81" s="4"/>
      <c r="I81" t="s">
        <v>333</v>
      </c>
      <c r="J81">
        <v>10.321</v>
      </c>
      <c r="K81" s="5">
        <v>2.40853521945548</v>
      </c>
      <c r="L81">
        <v>1.21331031810367</v>
      </c>
      <c r="O81">
        <v>0.0156736</v>
      </c>
      <c r="P81" s="6">
        <v>1.58601036137199</v>
      </c>
      <c r="Q81" s="4">
        <v>1.51861253754481</v>
      </c>
      <c r="R81" s="4"/>
      <c r="T81">
        <v>43.546</v>
      </c>
      <c r="U81" s="7">
        <v>0.570855922472787</v>
      </c>
      <c r="V81">
        <v>4.21916480961147</v>
      </c>
      <c r="Y81">
        <v>0.00543415</v>
      </c>
      <c r="Z81" s="8">
        <v>4.57449499921791</v>
      </c>
      <c r="AA81">
        <v>0.526513903691503</v>
      </c>
      <c r="AD81" s="9">
        <v>1.119981</v>
      </c>
      <c r="AE81">
        <v>2.1505143564538</v>
      </c>
      <c r="AH81">
        <v>15.694</v>
      </c>
      <c r="AI81" s="10">
        <v>1.58394877023066</v>
      </c>
      <c r="AJ81">
        <v>1.52058909020444</v>
      </c>
    </row>
    <row r="82" customFormat="1" spans="1:36">
      <c r="A82" s="1" t="s">
        <v>225</v>
      </c>
      <c r="B82" s="1">
        <v>10926058</v>
      </c>
      <c r="C82" s="2">
        <v>0</v>
      </c>
      <c r="E82">
        <v>9.774099</v>
      </c>
      <c r="F82">
        <v>1117.858381</v>
      </c>
      <c r="G82" s="3">
        <v>1.117858381</v>
      </c>
      <c r="H82" s="4"/>
      <c r="I82" t="s">
        <v>225</v>
      </c>
      <c r="J82">
        <v>7.17505</v>
      </c>
      <c r="K82" s="5">
        <v>1.52278492832803</v>
      </c>
      <c r="L82">
        <v>1.36223420981627</v>
      </c>
      <c r="O82">
        <v>0.0089712</v>
      </c>
      <c r="P82" s="6">
        <v>1.21790373640093</v>
      </c>
      <c r="Q82" s="4">
        <v>1.25033275029442</v>
      </c>
      <c r="R82" s="4"/>
      <c r="T82">
        <v>9.812</v>
      </c>
      <c r="U82" s="7">
        <v>1.11354035874439</v>
      </c>
      <c r="V82">
        <v>1.36751660267176</v>
      </c>
      <c r="Y82">
        <v>0.00330288</v>
      </c>
      <c r="Z82" s="8">
        <v>3.30803965024463</v>
      </c>
      <c r="AA82">
        <v>0.460328499452966</v>
      </c>
      <c r="AD82" s="9">
        <v>1.248192</v>
      </c>
      <c r="AE82">
        <v>1.21999253987209</v>
      </c>
      <c r="AH82">
        <v>12.4915</v>
      </c>
      <c r="AI82" s="10">
        <v>0.874679422006965</v>
      </c>
      <c r="AJ82">
        <v>1.74096347760643</v>
      </c>
    </row>
    <row r="83" customFormat="1" spans="1:36">
      <c r="A83" s="1" t="s">
        <v>310</v>
      </c>
      <c r="B83" s="1">
        <v>20360776</v>
      </c>
      <c r="C83" s="2">
        <v>0</v>
      </c>
      <c r="E83">
        <v>11.77036</v>
      </c>
      <c r="F83">
        <v>1729.834624</v>
      </c>
      <c r="G83" s="3">
        <v>1.729834624</v>
      </c>
      <c r="H83" s="4"/>
      <c r="I83" t="s">
        <v>310</v>
      </c>
      <c r="J83">
        <v>21.2949</v>
      </c>
      <c r="K83" s="5">
        <v>0.956133909997229</v>
      </c>
      <c r="L83">
        <v>0.552731397979712</v>
      </c>
      <c r="O83">
        <v>0.0177904</v>
      </c>
      <c r="P83" s="6">
        <v>1.14448106844141</v>
      </c>
      <c r="Q83" s="4">
        <v>0.835430079502604</v>
      </c>
      <c r="R83" s="4"/>
      <c r="T83">
        <v>43.443</v>
      </c>
      <c r="U83" s="7">
        <v>0.468677945814055</v>
      </c>
      <c r="V83">
        <v>2.04006593127932</v>
      </c>
      <c r="Y83">
        <v>0.00608803</v>
      </c>
      <c r="Z83" s="8">
        <v>3.34439482065627</v>
      </c>
      <c r="AA83">
        <v>0.285891457579045</v>
      </c>
      <c r="AD83" s="9">
        <v>0.78438</v>
      </c>
      <c r="AE83">
        <v>1.21896773247307</v>
      </c>
      <c r="AH83">
        <v>16.228</v>
      </c>
      <c r="AI83" s="10">
        <v>1.25466946019226</v>
      </c>
      <c r="AJ83">
        <v>0.762060399438363</v>
      </c>
    </row>
    <row r="84" customFormat="1" spans="1:36">
      <c r="A84" s="1" t="s">
        <v>321</v>
      </c>
      <c r="B84" s="1">
        <v>22107352</v>
      </c>
      <c r="C84" s="2">
        <v>0</v>
      </c>
      <c r="E84">
        <v>28.948131</v>
      </c>
      <c r="F84">
        <v>763.688397</v>
      </c>
      <c r="G84" s="3">
        <v>0.763688397</v>
      </c>
      <c r="H84" s="4"/>
      <c r="I84" t="s">
        <v>321</v>
      </c>
      <c r="J84">
        <v>26.7325</v>
      </c>
      <c r="K84" s="5">
        <v>0.826984083044983</v>
      </c>
      <c r="L84">
        <v>1.08288156045532</v>
      </c>
      <c r="O84">
        <v>0.0280624</v>
      </c>
      <c r="P84" s="6">
        <v>0.787792633559496</v>
      </c>
      <c r="Q84" s="4">
        <v>1.04974843355466</v>
      </c>
      <c r="R84" s="4"/>
      <c r="T84">
        <v>53.993</v>
      </c>
      <c r="U84" s="7">
        <v>0.409448484062749</v>
      </c>
      <c r="V84">
        <v>2.0197512391284</v>
      </c>
      <c r="Y84">
        <v>0.00673069</v>
      </c>
      <c r="Z84" s="8">
        <v>3.28455953252935</v>
      </c>
      <c r="AA84">
        <v>0.2517792948658</v>
      </c>
      <c r="AD84" s="9">
        <v>0.543285</v>
      </c>
      <c r="AE84">
        <v>1.52219200427949</v>
      </c>
      <c r="AH84">
        <v>30.2677</v>
      </c>
      <c r="AI84" s="10">
        <v>0.730394182577467</v>
      </c>
      <c r="AJ84">
        <v>1.13224352380062</v>
      </c>
    </row>
    <row r="85" customFormat="1" spans="1:36">
      <c r="A85" s="1" t="s">
        <v>385</v>
      </c>
      <c r="B85" s="1">
        <v>36962802</v>
      </c>
      <c r="C85" s="2">
        <v>0</v>
      </c>
      <c r="E85">
        <v>11.116592</v>
      </c>
      <c r="F85">
        <v>3325.011905</v>
      </c>
      <c r="G85" s="3">
        <v>3.325011905</v>
      </c>
      <c r="H85" s="4"/>
      <c r="I85" t="s">
        <v>385</v>
      </c>
      <c r="J85">
        <v>8.40927</v>
      </c>
      <c r="K85" s="5">
        <v>4.3954828421492</v>
      </c>
      <c r="L85">
        <v>1.32194499380272</v>
      </c>
      <c r="O85">
        <v>0.0151472</v>
      </c>
      <c r="P85" s="6">
        <v>2.44023991232703</v>
      </c>
      <c r="Q85" s="4">
        <v>1.80125028688578</v>
      </c>
      <c r="R85" s="4"/>
      <c r="T85">
        <v>61.05</v>
      </c>
      <c r="U85" s="7">
        <v>0.605451302211302</v>
      </c>
      <c r="V85">
        <v>7.25984538491451</v>
      </c>
      <c r="Y85">
        <v>0.005694</v>
      </c>
      <c r="Z85" s="8">
        <v>6.49153530031612</v>
      </c>
      <c r="AA85">
        <v>0.677109903713402</v>
      </c>
      <c r="AD85" s="9">
        <v>1.653423</v>
      </c>
      <c r="AE85">
        <v>2.6584139945732</v>
      </c>
      <c r="AH85">
        <v>11.2957</v>
      </c>
      <c r="AI85" s="10">
        <v>3.27228963233797</v>
      </c>
      <c r="AJ85">
        <v>1.34324382496935</v>
      </c>
    </row>
    <row r="86" customFormat="1" spans="1:36">
      <c r="A86" s="1" t="s">
        <v>510</v>
      </c>
      <c r="B86" s="1">
        <v>121931688</v>
      </c>
      <c r="C86" s="2">
        <v>0</v>
      </c>
      <c r="E86">
        <v>7.258241</v>
      </c>
      <c r="F86">
        <v>16799.06957</v>
      </c>
      <c r="G86" s="3">
        <v>16.79906957</v>
      </c>
      <c r="H86" s="4"/>
      <c r="I86" t="s">
        <v>510</v>
      </c>
      <c r="J86">
        <v>5.57899</v>
      </c>
      <c r="K86" s="5">
        <v>21.8555129154202</v>
      </c>
      <c r="L86">
        <v>1.30099544051237</v>
      </c>
      <c r="O86">
        <v>0.0114176</v>
      </c>
      <c r="P86" s="6">
        <v>10.6792748038117</v>
      </c>
      <c r="Q86" s="4">
        <v>2.04653530477739</v>
      </c>
      <c r="R86" s="4"/>
      <c r="T86">
        <v>74.388</v>
      </c>
      <c r="U86" s="7">
        <v>1.63913115018551</v>
      </c>
      <c r="V86">
        <v>13.3335962244062</v>
      </c>
      <c r="Y86">
        <v>0.00443125</v>
      </c>
      <c r="Z86" s="8">
        <v>27.5163188716502</v>
      </c>
      <c r="AA86">
        <v>0.794274590920579</v>
      </c>
      <c r="AD86" s="9">
        <v>3.26091</v>
      </c>
      <c r="AE86">
        <v>6.70227418586228</v>
      </c>
      <c r="AH86">
        <v>10.0786</v>
      </c>
      <c r="AI86" s="10">
        <v>12.0980779076459</v>
      </c>
      <c r="AJ86">
        <v>1.80652770483546</v>
      </c>
    </row>
    <row r="87" customFormat="1" spans="1:36">
      <c r="A87" s="1" t="s">
        <v>356</v>
      </c>
      <c r="B87" s="1">
        <v>29947392</v>
      </c>
      <c r="C87" s="2">
        <v>0</v>
      </c>
      <c r="E87">
        <v>6.802039</v>
      </c>
      <c r="F87">
        <v>4402.707762</v>
      </c>
      <c r="G87" s="3">
        <v>4.402707762</v>
      </c>
      <c r="H87" s="4"/>
      <c r="I87" t="s">
        <v>356</v>
      </c>
      <c r="J87">
        <v>7.19177</v>
      </c>
      <c r="K87" s="5">
        <v>4.16411982029459</v>
      </c>
      <c r="L87">
        <v>0.94580881707283</v>
      </c>
      <c r="O87">
        <v>0.010216</v>
      </c>
      <c r="P87" s="6">
        <v>2.93142051683633</v>
      </c>
      <c r="Q87" s="4">
        <v>1.42051261372374</v>
      </c>
      <c r="R87" s="4"/>
      <c r="T87">
        <v>49.006</v>
      </c>
      <c r="U87" s="7">
        <v>0.611096437170959</v>
      </c>
      <c r="V87">
        <v>6.8141778727629</v>
      </c>
      <c r="Y87">
        <v>0.00406603</v>
      </c>
      <c r="Z87" s="8">
        <v>7.36526587359169</v>
      </c>
      <c r="AA87">
        <v>0.565372641227403</v>
      </c>
      <c r="AD87" s="9">
        <v>2.127237</v>
      </c>
      <c r="AE87">
        <v>1.95752509959849</v>
      </c>
      <c r="AH87">
        <v>9.138</v>
      </c>
      <c r="AI87" s="10">
        <v>3.27723703217334</v>
      </c>
      <c r="AJ87">
        <v>1.27061905483629</v>
      </c>
    </row>
    <row r="88" customFormat="1" spans="1:36">
      <c r="A88" s="1" t="s">
        <v>425</v>
      </c>
      <c r="B88" s="1">
        <v>53408952</v>
      </c>
      <c r="C88" s="2">
        <v>0</v>
      </c>
      <c r="E88">
        <v>8.405901</v>
      </c>
      <c r="F88">
        <v>6353.745134</v>
      </c>
      <c r="G88" s="3">
        <v>6.353745134</v>
      </c>
      <c r="H88" s="4"/>
      <c r="I88" t="s">
        <v>425</v>
      </c>
      <c r="J88">
        <v>6.25522</v>
      </c>
      <c r="K88" s="5">
        <v>8.53830113089548</v>
      </c>
      <c r="L88">
        <v>1.34382178554905</v>
      </c>
      <c r="O88">
        <v>0.0103376</v>
      </c>
      <c r="P88" s="6">
        <v>5.16647500386937</v>
      </c>
      <c r="Q88" s="4">
        <v>1.65263571864779</v>
      </c>
      <c r="R88" s="4"/>
      <c r="T88">
        <v>33.829</v>
      </c>
      <c r="U88" s="7">
        <v>1.5787919240888</v>
      </c>
      <c r="V88">
        <v>5.40812313555718</v>
      </c>
      <c r="Y88">
        <v>0.00418917</v>
      </c>
      <c r="Z88" s="8">
        <v>12.749292103209</v>
      </c>
      <c r="AA88">
        <v>0.669707859995332</v>
      </c>
      <c r="AD88" s="9">
        <v>2.682987</v>
      </c>
      <c r="AE88">
        <v>3.18238632199689</v>
      </c>
      <c r="AH88">
        <v>7.1047</v>
      </c>
      <c r="AI88" s="10">
        <v>7.51741129111715</v>
      </c>
      <c r="AJ88">
        <v>1.13580337701951</v>
      </c>
    </row>
    <row r="89" customFormat="1" spans="1:36">
      <c r="A89" s="1" t="s">
        <v>492</v>
      </c>
      <c r="B89" s="1">
        <v>97940844</v>
      </c>
      <c r="C89" s="2">
        <v>0</v>
      </c>
      <c r="E89">
        <v>29.943735</v>
      </c>
      <c r="F89">
        <v>3270.829191</v>
      </c>
      <c r="G89" s="3">
        <v>3.270829191</v>
      </c>
      <c r="H89" s="4"/>
      <c r="I89" t="s">
        <v>492</v>
      </c>
      <c r="J89">
        <v>36.6775</v>
      </c>
      <c r="K89" s="5">
        <v>2.6703249676232</v>
      </c>
      <c r="L89">
        <v>0.816406119576913</v>
      </c>
      <c r="O89">
        <v>0.029472</v>
      </c>
      <c r="P89" s="6">
        <v>3.32318281758958</v>
      </c>
      <c r="Q89" s="4">
        <v>0.803544407334197</v>
      </c>
      <c r="R89" s="4"/>
      <c r="T89">
        <v>55.229</v>
      </c>
      <c r="U89" s="7">
        <v>1.77335899617954</v>
      </c>
      <c r="V89">
        <v>1.50580055892577</v>
      </c>
      <c r="Y89">
        <v>0.0255635</v>
      </c>
      <c r="Z89" s="8">
        <v>3.83127678134841</v>
      </c>
      <c r="AA89">
        <v>0.696980437597982</v>
      </c>
      <c r="AD89" s="9">
        <v>1.735242</v>
      </c>
      <c r="AE89">
        <v>1.5388775557664</v>
      </c>
      <c r="AH89">
        <v>32.2602</v>
      </c>
      <c r="AI89" s="10">
        <v>3.03596518310488</v>
      </c>
      <c r="AJ89">
        <v>0.879563765251176</v>
      </c>
    </row>
    <row r="90" customFormat="1" spans="1:36">
      <c r="A90" s="1" t="s">
        <v>578</v>
      </c>
      <c r="B90" s="1">
        <v>328842078</v>
      </c>
      <c r="C90" s="2">
        <v>0</v>
      </c>
      <c r="E90">
        <v>53.631379</v>
      </c>
      <c r="F90">
        <v>6131.523867</v>
      </c>
      <c r="G90" s="3">
        <v>6.131523867</v>
      </c>
      <c r="H90" s="4"/>
      <c r="I90" t="s">
        <v>578</v>
      </c>
      <c r="J90">
        <v>63.4888</v>
      </c>
      <c r="K90" s="5">
        <v>5.17952895628835</v>
      </c>
      <c r="L90">
        <v>0.844737632705745</v>
      </c>
      <c r="O90">
        <v>0.0489952</v>
      </c>
      <c r="P90" s="6">
        <v>6.71172029096728</v>
      </c>
      <c r="Q90" s="4">
        <v>0.771714066102998</v>
      </c>
      <c r="R90" s="4"/>
      <c r="T90">
        <v>532.024</v>
      </c>
      <c r="U90" s="7">
        <v>0.618096322722283</v>
      </c>
      <c r="V90">
        <v>8.37980872216832</v>
      </c>
      <c r="Y90">
        <v>0.0204851</v>
      </c>
      <c r="Z90" s="8">
        <v>16.0527445802071</v>
      </c>
      <c r="AA90">
        <v>0.322656909565152</v>
      </c>
      <c r="AD90" s="9">
        <v>2.880237</v>
      </c>
      <c r="AE90">
        <v>1.79829956919807</v>
      </c>
      <c r="AH90">
        <v>54.0747</v>
      </c>
      <c r="AI90" s="10">
        <v>6.08125570738257</v>
      </c>
      <c r="AJ90">
        <v>0.851720303423596</v>
      </c>
    </row>
    <row r="91" customFormat="1" spans="1:36">
      <c r="A91" s="1" t="s">
        <v>391</v>
      </c>
      <c r="B91" s="1">
        <v>38301936</v>
      </c>
      <c r="C91" s="2">
        <v>0</v>
      </c>
      <c r="E91">
        <v>21.26822</v>
      </c>
      <c r="F91">
        <v>1800.899898</v>
      </c>
      <c r="G91" s="3">
        <v>1.800899898</v>
      </c>
      <c r="H91" s="4"/>
      <c r="I91" t="s">
        <v>391</v>
      </c>
      <c r="J91">
        <v>17.6301</v>
      </c>
      <c r="K91" s="5">
        <v>2.1725308421393</v>
      </c>
      <c r="L91">
        <v>1.20635846809254</v>
      </c>
      <c r="O91">
        <v>0.0293536</v>
      </c>
      <c r="P91" s="6">
        <v>1.30484628801919</v>
      </c>
      <c r="Q91" s="4">
        <v>1.66497070351274</v>
      </c>
      <c r="R91" s="4"/>
      <c r="T91">
        <v>66.821</v>
      </c>
      <c r="U91" s="7">
        <v>0.573202077191302</v>
      </c>
      <c r="V91">
        <v>3.79016568255427</v>
      </c>
      <c r="Y91">
        <v>0.007791</v>
      </c>
      <c r="Z91" s="8">
        <v>4.91617712745476</v>
      </c>
      <c r="AA91">
        <v>0.441914680007487</v>
      </c>
      <c r="AD91" s="9">
        <v>0.944142</v>
      </c>
      <c r="AE91">
        <v>2.30106365582645</v>
      </c>
      <c r="AH91">
        <v>22.765</v>
      </c>
      <c r="AI91" s="10">
        <v>1.6824922468702</v>
      </c>
      <c r="AJ91">
        <v>1.29125756518681</v>
      </c>
    </row>
    <row r="92" customFormat="1" spans="1:36">
      <c r="A92" s="1" t="s">
        <v>307</v>
      </c>
      <c r="B92" s="1">
        <v>20033816</v>
      </c>
      <c r="C92" s="2">
        <v>0</v>
      </c>
      <c r="E92">
        <v>15.54328</v>
      </c>
      <c r="F92">
        <v>1288.905334</v>
      </c>
      <c r="G92" s="3">
        <v>1.288905334</v>
      </c>
      <c r="H92" s="4"/>
      <c r="I92" t="s">
        <v>307</v>
      </c>
      <c r="J92">
        <v>11.4083</v>
      </c>
      <c r="K92" s="5">
        <v>1.75607373578886</v>
      </c>
      <c r="L92">
        <v>1.36245361817151</v>
      </c>
      <c r="O92">
        <v>0.0270496</v>
      </c>
      <c r="P92" s="6">
        <v>0.740632615639418</v>
      </c>
      <c r="Q92" s="4">
        <v>2.37104564220787</v>
      </c>
      <c r="R92" s="4"/>
      <c r="T92">
        <v>31.017</v>
      </c>
      <c r="U92" s="7">
        <v>0.645897926943289</v>
      </c>
      <c r="V92">
        <v>2.71880998921838</v>
      </c>
      <c r="Y92">
        <v>0.0061992</v>
      </c>
      <c r="Z92" s="8">
        <v>3.23167763582398</v>
      </c>
      <c r="AA92">
        <v>0.543393844832271</v>
      </c>
      <c r="AD92" s="9">
        <v>0.640011</v>
      </c>
      <c r="AE92">
        <v>2.7438180527973</v>
      </c>
      <c r="AH92">
        <v>22.1363</v>
      </c>
      <c r="AI92" s="10">
        <v>0.905020983633218</v>
      </c>
      <c r="AJ92">
        <v>1.94036797770045</v>
      </c>
    </row>
    <row r="93" customFormat="1" spans="1:36">
      <c r="A93" s="1" t="s">
        <v>379</v>
      </c>
      <c r="B93" s="1">
        <v>35346376</v>
      </c>
      <c r="C93" s="2">
        <v>0</v>
      </c>
      <c r="E93">
        <v>9.971509</v>
      </c>
      <c r="F93">
        <v>3544.736988</v>
      </c>
      <c r="G93" s="3">
        <v>3.544736988</v>
      </c>
      <c r="H93" s="4"/>
      <c r="I93" t="s">
        <v>379</v>
      </c>
      <c r="J93">
        <v>7.83249</v>
      </c>
      <c r="K93" s="5">
        <v>4.51278916411001</v>
      </c>
      <c r="L93">
        <v>1.27309562864245</v>
      </c>
      <c r="O93">
        <v>0.016816</v>
      </c>
      <c r="P93" s="6">
        <v>2.10194909609895</v>
      </c>
      <c r="Q93" s="4">
        <v>2.14695454446798</v>
      </c>
      <c r="R93" s="4"/>
      <c r="T93">
        <v>45.065</v>
      </c>
      <c r="U93" s="7">
        <v>0.78434208365694</v>
      </c>
      <c r="V93">
        <v>5.7535981533331</v>
      </c>
      <c r="Y93">
        <v>0.00619138</v>
      </c>
      <c r="Z93" s="8">
        <v>5.70896569100911</v>
      </c>
      <c r="AA93">
        <v>0.790474038268801</v>
      </c>
      <c r="AD93" s="9">
        <v>1.385682</v>
      </c>
      <c r="AE93">
        <v>3.25672785250152</v>
      </c>
      <c r="AH93">
        <v>17.9619</v>
      </c>
      <c r="AI93" s="10">
        <v>1.96785284407552</v>
      </c>
      <c r="AJ93">
        <v>2.29325540153897</v>
      </c>
    </row>
    <row r="94" customFormat="1" spans="1:36">
      <c r="A94" s="1" t="s">
        <v>399</v>
      </c>
      <c r="B94" s="1">
        <v>41569568</v>
      </c>
      <c r="C94" s="2">
        <v>0</v>
      </c>
      <c r="E94">
        <v>23.92751</v>
      </c>
      <c r="F94">
        <v>1737.312722</v>
      </c>
      <c r="G94" s="3">
        <v>1.737312722</v>
      </c>
      <c r="H94" s="4"/>
      <c r="I94" t="s">
        <v>399</v>
      </c>
      <c r="J94">
        <v>18.9682</v>
      </c>
      <c r="K94" s="5">
        <v>2.19153994580403</v>
      </c>
      <c r="L94">
        <v>1.2614539213649</v>
      </c>
      <c r="O94">
        <v>0.0475616</v>
      </c>
      <c r="P94" s="6">
        <v>0.874015340106304</v>
      </c>
      <c r="Q94" s="4">
        <v>2.50743876593456</v>
      </c>
      <c r="R94" s="4"/>
      <c r="T94">
        <v>68.15</v>
      </c>
      <c r="U94" s="7">
        <v>0.609971650770359</v>
      </c>
      <c r="V94">
        <v>3.59285541063464</v>
      </c>
      <c r="Y94">
        <v>0.00838556</v>
      </c>
      <c r="Z94" s="8">
        <v>4.9572798954393</v>
      </c>
      <c r="AA94">
        <v>0.44208517413355</v>
      </c>
      <c r="AD94" s="9">
        <v>0.607122</v>
      </c>
      <c r="AE94">
        <v>3.60971920932536</v>
      </c>
      <c r="AH94">
        <v>32.0349</v>
      </c>
      <c r="AI94" s="10">
        <v>1.29763376817159</v>
      </c>
      <c r="AJ94">
        <v>1.68887401018547</v>
      </c>
    </row>
    <row r="95" customFormat="1" spans="1:36">
      <c r="A95" s="1" t="s">
        <v>559</v>
      </c>
      <c r="B95" s="1">
        <v>210794496</v>
      </c>
      <c r="C95" s="2">
        <v>0</v>
      </c>
      <c r="E95">
        <v>9.639782</v>
      </c>
      <c r="F95">
        <v>21867.143749</v>
      </c>
      <c r="G95" s="3">
        <v>21.867143749</v>
      </c>
      <c r="H95" s="4"/>
      <c r="I95" t="s">
        <v>559</v>
      </c>
      <c r="J95">
        <v>6.10082</v>
      </c>
      <c r="K95" s="5">
        <v>34.5518300818579</v>
      </c>
      <c r="L95">
        <v>1.58007970672612</v>
      </c>
      <c r="O95">
        <v>0.0145856</v>
      </c>
      <c r="P95" s="6">
        <v>14.4522334357174</v>
      </c>
      <c r="Q95" s="4">
        <v>2.39076058628184</v>
      </c>
      <c r="R95" s="4"/>
      <c r="T95">
        <v>211.236</v>
      </c>
      <c r="U95" s="7">
        <v>0.997909901721298</v>
      </c>
      <c r="V95">
        <v>34.6241980586216</v>
      </c>
      <c r="Y95">
        <v>0.0171578</v>
      </c>
      <c r="Z95" s="8">
        <v>12.2856366200795</v>
      </c>
      <c r="AA95">
        <v>2.81237604125347</v>
      </c>
      <c r="AD95" s="9">
        <v>3.70077</v>
      </c>
      <c r="AE95">
        <v>9.33638947620572</v>
      </c>
      <c r="AH95">
        <v>12.0299</v>
      </c>
      <c r="AI95" s="10">
        <v>17.5225476521002</v>
      </c>
      <c r="AJ95">
        <v>1.97184968577994</v>
      </c>
    </row>
    <row r="96" customFormat="1" spans="1:36">
      <c r="A96" s="1" t="s">
        <v>500</v>
      </c>
      <c r="B96" s="1">
        <v>108416900</v>
      </c>
      <c r="C96" s="2">
        <v>0</v>
      </c>
      <c r="E96">
        <v>77.155926</v>
      </c>
      <c r="F96">
        <v>1405.166202</v>
      </c>
      <c r="G96" s="3">
        <v>1.405166202</v>
      </c>
      <c r="H96" s="4"/>
      <c r="I96" t="s">
        <v>500</v>
      </c>
      <c r="J96">
        <v>70.0982</v>
      </c>
      <c r="K96" s="5">
        <v>1.54664313776959</v>
      </c>
      <c r="L96">
        <v>1.10068341778234</v>
      </c>
      <c r="O96">
        <v>0.079216</v>
      </c>
      <c r="P96" s="6">
        <v>1.36862376287619</v>
      </c>
      <c r="Q96" s="4">
        <v>1.13007181354157</v>
      </c>
      <c r="R96" s="4"/>
      <c r="T96">
        <v>189.206</v>
      </c>
      <c r="U96" s="7">
        <v>0.573009841125546</v>
      </c>
      <c r="V96">
        <v>2.69915632641066</v>
      </c>
      <c r="Y96">
        <v>0.0258926</v>
      </c>
      <c r="Z96" s="8">
        <v>4.18717703127535</v>
      </c>
      <c r="AA96">
        <v>0.369376103808657</v>
      </c>
      <c r="AD96" s="9">
        <v>0.880386</v>
      </c>
      <c r="AE96">
        <v>1.75677843328902</v>
      </c>
      <c r="AH96">
        <v>68.0106</v>
      </c>
      <c r="AI96" s="10">
        <v>1.59411768165551</v>
      </c>
      <c r="AJ96">
        <v>0.9702189214559</v>
      </c>
    </row>
    <row r="97" customFormat="1" spans="1:36">
      <c r="A97" s="1" t="s">
        <v>542</v>
      </c>
      <c r="B97" s="1">
        <v>180268052</v>
      </c>
      <c r="C97" s="2">
        <v>0</v>
      </c>
      <c r="E97">
        <v>34.955126</v>
      </c>
      <c r="F97">
        <v>5157.127768</v>
      </c>
      <c r="G97" s="3">
        <v>5.157127768</v>
      </c>
      <c r="H97" s="4"/>
      <c r="I97" t="s">
        <v>542</v>
      </c>
      <c r="J97">
        <v>34.6023</v>
      </c>
      <c r="K97" s="5">
        <v>5.20971299595692</v>
      </c>
      <c r="L97">
        <v>1.01019661143228</v>
      </c>
      <c r="O97">
        <v>0.0678768</v>
      </c>
      <c r="P97" s="6">
        <v>2.65581247200811</v>
      </c>
      <c r="Q97" s="4">
        <v>1.96162682827442</v>
      </c>
      <c r="R97" s="4"/>
      <c r="T97">
        <v>218.473</v>
      </c>
      <c r="U97" s="7">
        <v>0.825127370430213</v>
      </c>
      <c r="V97">
        <v>6.31382884952734</v>
      </c>
      <c r="Y97">
        <v>0.071551</v>
      </c>
      <c r="Z97" s="8">
        <v>2.51943441740856</v>
      </c>
      <c r="AA97">
        <v>2.06781052126593</v>
      </c>
      <c r="AD97" s="9">
        <v>1.445979</v>
      </c>
      <c r="AE97">
        <v>3.60289671977042</v>
      </c>
      <c r="AH97">
        <v>54.8621</v>
      </c>
      <c r="AI97" s="10">
        <v>3.28583944107134</v>
      </c>
      <c r="AJ97">
        <v>1.58550443178633</v>
      </c>
    </row>
    <row r="98" customFormat="1" spans="1:36">
      <c r="A98" s="1" t="s">
        <v>364</v>
      </c>
      <c r="B98" s="1">
        <v>32260732</v>
      </c>
      <c r="C98" s="2">
        <v>0</v>
      </c>
      <c r="E98">
        <v>17.80115</v>
      </c>
      <c r="F98">
        <v>1812.283605</v>
      </c>
      <c r="G98" s="3">
        <v>1.812283605</v>
      </c>
      <c r="H98" s="4"/>
      <c r="I98" t="s">
        <v>364</v>
      </c>
      <c r="J98">
        <v>14.7563</v>
      </c>
      <c r="K98" s="5">
        <v>2.1862344896756</v>
      </c>
      <c r="L98">
        <v>1.20634236476227</v>
      </c>
      <c r="O98">
        <v>0.023528</v>
      </c>
      <c r="P98" s="6">
        <v>1.37116337980279</v>
      </c>
      <c r="Q98" s="4">
        <v>1.59443763002921</v>
      </c>
      <c r="R98" s="4"/>
      <c r="T98">
        <v>49.567</v>
      </c>
      <c r="U98" s="7">
        <v>0.650851009744386</v>
      </c>
      <c r="V98">
        <v>3.35903986771752</v>
      </c>
      <c r="Y98">
        <v>0.00700396</v>
      </c>
      <c r="Z98" s="8">
        <v>4.60607028024146</v>
      </c>
      <c r="AA98">
        <v>0.474642017307862</v>
      </c>
      <c r="AD98" s="9">
        <v>1.370529</v>
      </c>
      <c r="AE98">
        <v>1.59517565091698</v>
      </c>
      <c r="AH98">
        <v>26.0312</v>
      </c>
      <c r="AI98" s="10">
        <v>1.23931021236055</v>
      </c>
      <c r="AJ98">
        <v>1.76407364989869</v>
      </c>
    </row>
    <row r="99" customFormat="1" spans="1:36">
      <c r="A99" s="1" t="s">
        <v>582</v>
      </c>
      <c r="B99" s="1">
        <v>355061442</v>
      </c>
      <c r="C99" s="2">
        <v>0</v>
      </c>
      <c r="E99">
        <v>36.825914</v>
      </c>
      <c r="F99">
        <v>9641.619279</v>
      </c>
      <c r="G99" s="3">
        <v>9.641619279</v>
      </c>
      <c r="H99" s="4"/>
      <c r="I99" t="s">
        <v>582</v>
      </c>
      <c r="J99">
        <v>34.8386</v>
      </c>
      <c r="K99" s="5">
        <v>10.1916105124775</v>
      </c>
      <c r="L99">
        <v>1.05704345064479</v>
      </c>
      <c r="O99">
        <v>0.0774752</v>
      </c>
      <c r="P99" s="6">
        <v>4.58290449072735</v>
      </c>
      <c r="Q99" s="4">
        <v>2.22383218613836</v>
      </c>
      <c r="R99" s="4"/>
      <c r="T99">
        <v>147.894</v>
      </c>
      <c r="U99" s="7">
        <v>2.40078327721206</v>
      </c>
      <c r="V99">
        <v>4.24511891981882</v>
      </c>
      <c r="Y99">
        <v>0.0698924</v>
      </c>
      <c r="Z99" s="8">
        <v>5.08011517704357</v>
      </c>
      <c r="AA99">
        <v>2.00617705648333</v>
      </c>
      <c r="AD99" s="9">
        <v>2.059416</v>
      </c>
      <c r="AE99">
        <v>4.94878670092761</v>
      </c>
      <c r="AH99">
        <v>61.5406</v>
      </c>
      <c r="AI99" s="10">
        <v>5.76954794070906</v>
      </c>
      <c r="AJ99">
        <v>1.76644870919038</v>
      </c>
    </row>
    <row r="100" customFormat="1" spans="1:36">
      <c r="A100" s="1" t="s">
        <v>365</v>
      </c>
      <c r="B100" s="1">
        <v>33005036</v>
      </c>
      <c r="C100" s="2">
        <v>0</v>
      </c>
      <c r="E100">
        <v>16.621705</v>
      </c>
      <c r="F100">
        <v>1985.658857</v>
      </c>
      <c r="G100" s="3">
        <v>1.985658857</v>
      </c>
      <c r="H100" s="4"/>
      <c r="I100" t="s">
        <v>365</v>
      </c>
      <c r="J100">
        <v>15.3925</v>
      </c>
      <c r="K100" s="5">
        <v>2.14422842293325</v>
      </c>
      <c r="L100">
        <v>1.07985740620764</v>
      </c>
      <c r="O100">
        <v>0.0239984</v>
      </c>
      <c r="P100" s="6">
        <v>1.37530152010134</v>
      </c>
      <c r="Q100" s="4">
        <v>1.55909696280656</v>
      </c>
      <c r="R100" s="4"/>
      <c r="T100">
        <v>49.169</v>
      </c>
      <c r="U100" s="7">
        <v>0.671257011531656</v>
      </c>
      <c r="V100">
        <v>3.19434789670294</v>
      </c>
      <c r="Y100">
        <v>0.00735298</v>
      </c>
      <c r="Z100" s="8">
        <v>4.48866119586889</v>
      </c>
      <c r="AA100">
        <v>0.477698879324346</v>
      </c>
      <c r="AD100" s="9">
        <v>1.292187</v>
      </c>
      <c r="AE100">
        <v>1.65937934906732</v>
      </c>
      <c r="AH100">
        <v>27.289</v>
      </c>
      <c r="AI100" s="10">
        <v>1.20946300707245</v>
      </c>
      <c r="AJ100">
        <v>1.77287640084457</v>
      </c>
    </row>
    <row r="101" customFormat="1" spans="1:36">
      <c r="A101" s="1" t="s">
        <v>479</v>
      </c>
      <c r="B101" s="1">
        <v>88370774</v>
      </c>
      <c r="C101" s="2">
        <v>0</v>
      </c>
      <c r="E101">
        <v>23.882694</v>
      </c>
      <c r="F101">
        <v>3700.201273</v>
      </c>
      <c r="G101" s="3">
        <v>3.700201273</v>
      </c>
      <c r="H101" s="4"/>
      <c r="I101" t="s">
        <v>479</v>
      </c>
      <c r="J101">
        <v>18.6935</v>
      </c>
      <c r="K101" s="5">
        <v>4.72735303715195</v>
      </c>
      <c r="L101">
        <v>1.27759348434556</v>
      </c>
      <c r="O101">
        <v>0.027312</v>
      </c>
      <c r="P101" s="6">
        <v>3.23560244581137</v>
      </c>
      <c r="Q101" s="4">
        <v>1.46104260839329</v>
      </c>
      <c r="R101" s="4"/>
      <c r="T101">
        <v>172.51</v>
      </c>
      <c r="U101" s="7">
        <v>0.512264645527795</v>
      </c>
      <c r="V101">
        <v>9.22834140209164</v>
      </c>
      <c r="Y101">
        <v>0.0100883</v>
      </c>
      <c r="Z101" s="8">
        <v>8.75972899299188</v>
      </c>
      <c r="AA101">
        <v>0.539668868858159</v>
      </c>
      <c r="AD101" s="9">
        <v>2.366433</v>
      </c>
      <c r="AE101">
        <v>1.99767034906627</v>
      </c>
      <c r="AH101">
        <v>20.5366</v>
      </c>
      <c r="AI101" s="10">
        <v>4.30308687903548</v>
      </c>
      <c r="AJ101">
        <v>1.09859576858266</v>
      </c>
    </row>
    <row r="102" customFormat="1" spans="1:36">
      <c r="A102" s="1" t="s">
        <v>393</v>
      </c>
      <c r="B102" s="1">
        <v>38356128</v>
      </c>
      <c r="C102" s="2">
        <v>0</v>
      </c>
      <c r="E102">
        <v>8.614068</v>
      </c>
      <c r="F102">
        <v>4452.730941</v>
      </c>
      <c r="G102" s="3">
        <v>4.452730941</v>
      </c>
      <c r="H102" s="4"/>
      <c r="I102" t="s">
        <v>393</v>
      </c>
      <c r="J102">
        <v>8.98483</v>
      </c>
      <c r="K102" s="5">
        <v>4.2689876157924</v>
      </c>
      <c r="L102">
        <v>0.958734689420435</v>
      </c>
      <c r="O102">
        <v>0.0238512</v>
      </c>
      <c r="P102" s="6">
        <v>1.60814248339706</v>
      </c>
      <c r="Q102" s="4">
        <v>2.65460782229603</v>
      </c>
      <c r="R102" s="4"/>
      <c r="T102">
        <v>38.171</v>
      </c>
      <c r="U102" s="7">
        <v>1.00484996463284</v>
      </c>
      <c r="V102">
        <v>4.24838310797199</v>
      </c>
      <c r="Y102">
        <v>0.0140755</v>
      </c>
      <c r="Z102" s="8">
        <v>2.7250277432418</v>
      </c>
      <c r="AA102">
        <v>1.56658501051216</v>
      </c>
      <c r="AD102" s="9">
        <v>1.656024</v>
      </c>
      <c r="AE102">
        <v>2.57785371213968</v>
      </c>
      <c r="AH102">
        <v>24.6611</v>
      </c>
      <c r="AI102" s="10">
        <v>1.55532916212172</v>
      </c>
      <c r="AJ102">
        <v>2.7447486485554</v>
      </c>
    </row>
    <row r="103" customFormat="1" spans="1:36">
      <c r="A103" s="1" t="s">
        <v>392</v>
      </c>
      <c r="B103" s="1">
        <v>38356128</v>
      </c>
      <c r="C103" s="2">
        <v>0</v>
      </c>
      <c r="E103">
        <v>8.597037</v>
      </c>
      <c r="F103">
        <v>4461.551894</v>
      </c>
      <c r="G103" s="3">
        <v>4.461551894</v>
      </c>
      <c r="H103" s="4"/>
      <c r="I103" t="s">
        <v>392</v>
      </c>
      <c r="J103">
        <v>9.6278</v>
      </c>
      <c r="K103" s="5">
        <v>3.98389330895947</v>
      </c>
      <c r="L103">
        <v>0.892938915339549</v>
      </c>
      <c r="O103">
        <v>0.0237792</v>
      </c>
      <c r="P103" s="6">
        <v>1.61301170771094</v>
      </c>
      <c r="Q103" s="4">
        <v>2.46984773260766</v>
      </c>
      <c r="R103" s="4"/>
      <c r="T103">
        <v>36.862</v>
      </c>
      <c r="U103" s="7">
        <v>1.04053301502903</v>
      </c>
      <c r="V103">
        <v>3.82870437690854</v>
      </c>
      <c r="Y103">
        <v>0.0140884</v>
      </c>
      <c r="Z103" s="8">
        <v>2.72253257999489</v>
      </c>
      <c r="AA103">
        <v>1.46330418164067</v>
      </c>
      <c r="AD103" s="9">
        <v>1.644312</v>
      </c>
      <c r="AE103">
        <v>2.42283295929208</v>
      </c>
      <c r="AH103">
        <v>24.4911</v>
      </c>
      <c r="AI103" s="10">
        <v>1.56612516383503</v>
      </c>
      <c r="AJ103">
        <v>2.54378985853466</v>
      </c>
    </row>
    <row r="104" customFormat="1" spans="1:36">
      <c r="A104" s="1" t="s">
        <v>331</v>
      </c>
      <c r="B104" s="1">
        <v>24425600</v>
      </c>
      <c r="C104" s="2">
        <v>0</v>
      </c>
      <c r="E104">
        <v>19.718761</v>
      </c>
      <c r="F104">
        <v>1238.69852</v>
      </c>
      <c r="G104" s="3">
        <v>1.23869852</v>
      </c>
      <c r="H104" s="4"/>
      <c r="I104" t="s">
        <v>331</v>
      </c>
      <c r="J104">
        <v>13.1891</v>
      </c>
      <c r="K104" s="5">
        <v>1.85195350706265</v>
      </c>
      <c r="L104">
        <v>1.49508009992831</v>
      </c>
      <c r="O104">
        <v>0.016832</v>
      </c>
      <c r="P104" s="6">
        <v>1.45114068441065</v>
      </c>
      <c r="Q104" s="4">
        <v>1.27620535138865</v>
      </c>
      <c r="R104" s="4"/>
      <c r="T104">
        <v>17.959</v>
      </c>
      <c r="U104" s="7">
        <v>1.36007572804722</v>
      </c>
      <c r="V104">
        <v>1.36165469971416</v>
      </c>
      <c r="Y104">
        <v>0.00680978</v>
      </c>
      <c r="Z104" s="8">
        <v>3.58684127827918</v>
      </c>
      <c r="AA104">
        <v>0.516318778385182</v>
      </c>
      <c r="AD104" s="9">
        <v>1.444257</v>
      </c>
      <c r="AE104">
        <v>1.28228806027089</v>
      </c>
      <c r="AH104">
        <v>29.3069</v>
      </c>
      <c r="AI104" s="10">
        <v>0.833441953942587</v>
      </c>
      <c r="AJ104">
        <v>2.22205457536905</v>
      </c>
    </row>
    <row r="105" customFormat="1" spans="1:36">
      <c r="A105" s="1" t="s">
        <v>575</v>
      </c>
      <c r="B105" s="1">
        <v>306811190</v>
      </c>
      <c r="C105" s="2">
        <v>0</v>
      </c>
      <c r="E105">
        <v>41.989735</v>
      </c>
      <c r="F105">
        <v>7306.814084</v>
      </c>
      <c r="G105" s="3">
        <v>7.306814084</v>
      </c>
      <c r="H105" s="4"/>
      <c r="I105" t="s">
        <v>575</v>
      </c>
      <c r="J105">
        <v>37.6348</v>
      </c>
      <c r="K105" s="5">
        <v>8.15232683580091</v>
      </c>
      <c r="L105">
        <v>1.11571565145641</v>
      </c>
      <c r="O105">
        <v>0.039192</v>
      </c>
      <c r="P105" s="6">
        <v>7.82841370687895</v>
      </c>
      <c r="Q105" s="4">
        <v>1.04137659825481</v>
      </c>
      <c r="R105" s="4"/>
      <c r="T105">
        <v>251.614</v>
      </c>
      <c r="U105" s="7">
        <v>1.21937249119683</v>
      </c>
      <c r="V105">
        <v>6.68567389756289</v>
      </c>
      <c r="Y105">
        <v>0.0530867</v>
      </c>
      <c r="Z105" s="8">
        <v>5.77943609227923</v>
      </c>
      <c r="AA105">
        <v>1.41057478716507</v>
      </c>
      <c r="AD105" s="9">
        <v>2.950209</v>
      </c>
      <c r="AE105">
        <v>2.76330484918218</v>
      </c>
      <c r="AH105">
        <v>37.044</v>
      </c>
      <c r="AI105" s="10">
        <v>8.28234504913076</v>
      </c>
      <c r="AJ105">
        <v>0.984301763261662</v>
      </c>
    </row>
    <row r="106" customFormat="1" spans="1:36">
      <c r="A106" s="1" t="s">
        <v>503</v>
      </c>
      <c r="B106" s="1">
        <v>111677660</v>
      </c>
      <c r="C106" s="2">
        <v>0</v>
      </c>
      <c r="E106">
        <v>32.323576</v>
      </c>
      <c r="F106">
        <v>3454.990834</v>
      </c>
      <c r="G106" s="3">
        <v>3.454990834</v>
      </c>
      <c r="H106" s="4"/>
      <c r="I106" t="s">
        <v>503</v>
      </c>
      <c r="J106">
        <v>26.2586</v>
      </c>
      <c r="K106" s="5">
        <v>4.25299368587815</v>
      </c>
      <c r="L106">
        <v>1.23097104745551</v>
      </c>
      <c r="O106">
        <v>0.0597104</v>
      </c>
      <c r="P106" s="6">
        <v>1.87032175299445</v>
      </c>
      <c r="Q106" s="4">
        <v>2.27393691971392</v>
      </c>
      <c r="R106" s="4"/>
      <c r="T106">
        <v>10672.03</v>
      </c>
      <c r="U106" s="7">
        <v>0.0104645189340735</v>
      </c>
      <c r="V106">
        <v>406.420372754069</v>
      </c>
      <c r="Y106">
        <v>0.0644264</v>
      </c>
      <c r="Z106" s="8">
        <v>1.73341456297418</v>
      </c>
      <c r="AA106">
        <v>2.45353522274607</v>
      </c>
      <c r="AD106" s="9">
        <v>1.654854</v>
      </c>
      <c r="AE106">
        <v>2.57001142449917</v>
      </c>
      <c r="AH106">
        <v>66.5737</v>
      </c>
      <c r="AI106" s="10">
        <v>1.67750417957842</v>
      </c>
      <c r="AJ106">
        <v>2.53531033642311</v>
      </c>
    </row>
    <row r="107" customFormat="1" spans="1:36">
      <c r="A107" s="1" t="s">
        <v>581</v>
      </c>
      <c r="B107" s="1">
        <v>353774742</v>
      </c>
      <c r="C107" s="2">
        <v>0</v>
      </c>
      <c r="E107">
        <v>48.798788</v>
      </c>
      <c r="F107">
        <v>7249.662459</v>
      </c>
      <c r="G107" s="3">
        <v>7.249662459</v>
      </c>
      <c r="H107" s="4"/>
      <c r="I107" t="s">
        <v>581</v>
      </c>
      <c r="J107">
        <v>40.4297</v>
      </c>
      <c r="K107" s="5">
        <v>8.75036772471723</v>
      </c>
      <c r="L107">
        <v>1.20700346729305</v>
      </c>
      <c r="O107">
        <v>0.0479552</v>
      </c>
      <c r="P107" s="6">
        <v>7.37719250467103</v>
      </c>
      <c r="Q107" s="4">
        <v>1.18613791346461</v>
      </c>
      <c r="R107" s="4"/>
      <c r="T107">
        <v>287.335</v>
      </c>
      <c r="U107" s="7">
        <v>1.23122745923748</v>
      </c>
      <c r="V107">
        <v>7.10702775434891</v>
      </c>
      <c r="Y107">
        <v>0.060698</v>
      </c>
      <c r="Z107" s="8">
        <v>5.82844149724867</v>
      </c>
      <c r="AA107">
        <v>1.50132204790043</v>
      </c>
      <c r="AD107" s="9">
        <v>2.768229</v>
      </c>
      <c r="AE107">
        <v>3.16099850291187</v>
      </c>
      <c r="AH107">
        <v>44.3749</v>
      </c>
      <c r="AI107" s="10">
        <v>7.9724065180992</v>
      </c>
      <c r="AJ107">
        <v>1.09758172828391</v>
      </c>
    </row>
    <row r="108" customFormat="1" spans="1:36">
      <c r="A108" s="1" t="s">
        <v>226</v>
      </c>
      <c r="B108" s="1">
        <v>11033518</v>
      </c>
      <c r="C108" s="2">
        <v>9.71095e-6</v>
      </c>
      <c r="E108">
        <v>15.5452</v>
      </c>
      <c r="F108">
        <v>709.770095</v>
      </c>
      <c r="G108" s="3">
        <v>0.709770095</v>
      </c>
      <c r="H108" s="4"/>
      <c r="I108" t="s">
        <v>226</v>
      </c>
      <c r="J108">
        <v>14.8537</v>
      </c>
      <c r="K108" s="5">
        <v>0.74281276718932</v>
      </c>
      <c r="L108">
        <v>1.04655404957477</v>
      </c>
      <c r="O108">
        <v>0.016664</v>
      </c>
      <c r="P108" s="6">
        <v>0.662117018722996</v>
      </c>
      <c r="Q108" s="4">
        <v>1.121875357655</v>
      </c>
      <c r="R108" s="4"/>
      <c r="T108">
        <v>37.815</v>
      </c>
      <c r="U108" s="7">
        <v>0.291776226365199</v>
      </c>
      <c r="V108">
        <v>2.54583033183651</v>
      </c>
      <c r="Y108">
        <v>0.0133421</v>
      </c>
      <c r="Z108" s="8">
        <v>0.826970117147975</v>
      </c>
      <c r="AA108">
        <v>0.898234110019726</v>
      </c>
      <c r="AD108" s="9">
        <v>0.500049</v>
      </c>
      <c r="AE108">
        <v>1.48547995734282</v>
      </c>
      <c r="AH108">
        <v>24.2044</v>
      </c>
      <c r="AI108" s="10">
        <v>0.455847614483317</v>
      </c>
      <c r="AJ108">
        <v>1.62951991759629</v>
      </c>
    </row>
    <row r="109" customFormat="1" spans="1:36">
      <c r="A109" s="1" t="s">
        <v>485</v>
      </c>
      <c r="B109" s="1">
        <v>94061632</v>
      </c>
      <c r="C109" s="2">
        <v>2.18914e-5</v>
      </c>
      <c r="E109">
        <v>29.368215</v>
      </c>
      <c r="F109">
        <v>3202.837852</v>
      </c>
      <c r="G109" s="3">
        <v>3.202837852</v>
      </c>
      <c r="H109" s="4"/>
      <c r="I109" t="s">
        <v>485</v>
      </c>
      <c r="J109">
        <v>43.9991</v>
      </c>
      <c r="K109" s="5">
        <v>2.13780809152914</v>
      </c>
      <c r="L109">
        <v>0.667473094273005</v>
      </c>
      <c r="O109">
        <v>0.0397184</v>
      </c>
      <c r="P109" s="6">
        <v>2.36821301965839</v>
      </c>
      <c r="Q109" s="4">
        <v>0.902709373600824</v>
      </c>
      <c r="R109" s="4"/>
      <c r="T109">
        <v>132.04</v>
      </c>
      <c r="U109" s="7">
        <v>0.712372250833081</v>
      </c>
      <c r="V109">
        <v>3.00097047439607</v>
      </c>
      <c r="Y109">
        <v>0.00176281</v>
      </c>
      <c r="Z109" s="8">
        <v>53.3589167295398</v>
      </c>
      <c r="AA109">
        <v>0.0400646831412461</v>
      </c>
      <c r="AD109" s="9">
        <v>1.583013</v>
      </c>
      <c r="AE109">
        <v>1.35046780508381</v>
      </c>
      <c r="AH109">
        <v>86.1838</v>
      </c>
      <c r="AI109" s="10">
        <v>1.09140734105482</v>
      </c>
      <c r="AJ109">
        <v>1.95876279287531</v>
      </c>
    </row>
    <row r="110" customFormat="1" spans="1:36">
      <c r="A110" s="1" t="s">
        <v>283</v>
      </c>
      <c r="B110" s="1">
        <v>16832024</v>
      </c>
      <c r="C110" s="2">
        <v>2.3625e-5</v>
      </c>
      <c r="E110">
        <v>15.49703</v>
      </c>
      <c r="F110">
        <v>1086.145142</v>
      </c>
      <c r="G110" s="3">
        <v>1.086145142</v>
      </c>
      <c r="H110" s="4"/>
      <c r="I110" t="s">
        <v>283</v>
      </c>
      <c r="J110">
        <v>14.324</v>
      </c>
      <c r="K110" s="5">
        <v>1.17509243228149</v>
      </c>
      <c r="L110">
        <v>1.0818926374036</v>
      </c>
      <c r="O110">
        <v>0.0275008</v>
      </c>
      <c r="P110" s="6">
        <v>0.612055794740517</v>
      </c>
      <c r="Q110" s="4">
        <v>1.91991063948618</v>
      </c>
      <c r="R110" s="4"/>
      <c r="T110">
        <v>31.544</v>
      </c>
      <c r="U110" s="7">
        <v>0.533604615774791</v>
      </c>
      <c r="V110">
        <v>2.20217816252443</v>
      </c>
      <c r="Y110">
        <v>0.00510238</v>
      </c>
      <c r="Z110" s="8">
        <v>3.29885739596032</v>
      </c>
      <c r="AA110">
        <v>0.356211951968724</v>
      </c>
      <c r="AD110" s="9">
        <v>0.65655</v>
      </c>
      <c r="AE110">
        <v>1.7897988459089</v>
      </c>
      <c r="AH110">
        <v>18.838</v>
      </c>
      <c r="AI110" s="10">
        <v>0.893514385815904</v>
      </c>
      <c r="AJ110">
        <v>1.31513543702876</v>
      </c>
    </row>
    <row r="111" customFormat="1" spans="1:36">
      <c r="A111" s="1" t="s">
        <v>292</v>
      </c>
      <c r="B111" s="1">
        <v>18237000</v>
      </c>
      <c r="C111" s="2">
        <v>2.49838e-5</v>
      </c>
      <c r="E111">
        <v>14.532128</v>
      </c>
      <c r="F111">
        <v>1254.943507</v>
      </c>
      <c r="G111" s="3">
        <v>1.254943507</v>
      </c>
      <c r="H111" s="4"/>
      <c r="I111" t="s">
        <v>292</v>
      </c>
      <c r="J111">
        <v>16.6062</v>
      </c>
      <c r="K111" s="5">
        <v>1.09820428514651</v>
      </c>
      <c r="L111">
        <v>0.87510256758236</v>
      </c>
      <c r="O111">
        <v>0.0349632</v>
      </c>
      <c r="P111" s="6">
        <v>0.521605573860516</v>
      </c>
      <c r="Q111" s="4">
        <v>2.10543050186075</v>
      </c>
      <c r="R111" s="4"/>
      <c r="T111">
        <v>34.821</v>
      </c>
      <c r="U111" s="7">
        <v>0.523735676746791</v>
      </c>
      <c r="V111">
        <v>2.09686743505438</v>
      </c>
      <c r="Y111">
        <v>0.00542275</v>
      </c>
      <c r="Z111" s="8">
        <v>3.36305380111567</v>
      </c>
      <c r="AA111">
        <v>0.326549722392841</v>
      </c>
      <c r="AD111" s="9">
        <v>0.609048</v>
      </c>
      <c r="AE111">
        <v>1.80314898849764</v>
      </c>
      <c r="AH111">
        <v>27.6228</v>
      </c>
      <c r="AI111" s="10">
        <v>0.660215474173509</v>
      </c>
      <c r="AJ111">
        <v>1.66340282545074</v>
      </c>
    </row>
    <row r="112" customFormat="1" spans="1:36">
      <c r="A112" s="1" t="s">
        <v>334</v>
      </c>
      <c r="B112" s="1">
        <v>25168372</v>
      </c>
      <c r="C112" s="2">
        <v>2.73299e-5</v>
      </c>
      <c r="E112">
        <v>16.7924</v>
      </c>
      <c r="F112">
        <v>1498.795416</v>
      </c>
      <c r="G112" s="3">
        <v>1.498795416</v>
      </c>
      <c r="H112" s="4"/>
      <c r="I112" t="s">
        <v>334</v>
      </c>
      <c r="J112">
        <v>25.3624</v>
      </c>
      <c r="K112" s="5">
        <v>0.992349777623569</v>
      </c>
      <c r="L112">
        <v>0.662098220364165</v>
      </c>
      <c r="O112">
        <v>0.0207504</v>
      </c>
      <c r="P112" s="6">
        <v>1.21291020895983</v>
      </c>
      <c r="Q112" s="4">
        <v>0.818156010472195</v>
      </c>
      <c r="R112" s="4"/>
      <c r="T112">
        <v>54.063</v>
      </c>
      <c r="U112" s="7">
        <v>0.465537835488227</v>
      </c>
      <c r="V112">
        <v>2.13162003595874</v>
      </c>
      <c r="Y112">
        <v>0.00726048</v>
      </c>
      <c r="Z112" s="8">
        <v>3.46648871699943</v>
      </c>
      <c r="AA112">
        <v>0.286269438223512</v>
      </c>
      <c r="AD112" s="9">
        <v>0.747768</v>
      </c>
      <c r="AE112">
        <v>1.32708243415547</v>
      </c>
      <c r="AH112">
        <v>21.7665</v>
      </c>
      <c r="AI112" s="10">
        <v>1.15628934371626</v>
      </c>
      <c r="AJ112">
        <v>0.858219253698388</v>
      </c>
    </row>
    <row r="113" customFormat="1" spans="1:36">
      <c r="A113" s="1" t="s">
        <v>526</v>
      </c>
      <c r="B113" s="1">
        <v>150299464</v>
      </c>
      <c r="C113" s="2">
        <v>2.92167e-5</v>
      </c>
      <c r="E113">
        <v>32.75485</v>
      </c>
      <c r="F113">
        <v>4588.617119</v>
      </c>
      <c r="G113" s="3">
        <v>4.588617119</v>
      </c>
      <c r="H113" s="4"/>
      <c r="I113" t="s">
        <v>526</v>
      </c>
      <c r="J113">
        <v>74.258</v>
      </c>
      <c r="K113" s="5">
        <v>2.02401712946753</v>
      </c>
      <c r="L113">
        <v>0.441095231303288</v>
      </c>
      <c r="O113">
        <v>0.0625008</v>
      </c>
      <c r="P113" s="6">
        <v>2.40476064306377</v>
      </c>
      <c r="Q113" s="4">
        <v>0.841670931078133</v>
      </c>
      <c r="R113" s="4"/>
      <c r="T113">
        <v>202.423</v>
      </c>
      <c r="U113" s="7">
        <v>0.742501909368007</v>
      </c>
      <c r="V113">
        <v>2.72594198604864</v>
      </c>
      <c r="Y113">
        <v>0.00187222</v>
      </c>
      <c r="Z113" s="8">
        <v>80.2787407462798</v>
      </c>
      <c r="AA113">
        <v>0.0252123676910232</v>
      </c>
      <c r="AD113" s="9">
        <v>1.503792</v>
      </c>
      <c r="AE113">
        <v>1.34594221106877</v>
      </c>
      <c r="AH113">
        <v>118.668</v>
      </c>
      <c r="AI113" s="10">
        <v>1.2665542859069</v>
      </c>
      <c r="AJ113">
        <v>1.59805004174634</v>
      </c>
    </row>
    <row r="114" customFormat="1" spans="1:36">
      <c r="A114" s="1" t="s">
        <v>473</v>
      </c>
      <c r="B114" s="1">
        <v>83294524</v>
      </c>
      <c r="C114" s="2">
        <v>3.05129e-5</v>
      </c>
      <c r="E114">
        <v>26.301875</v>
      </c>
      <c r="F114">
        <v>3166.866442</v>
      </c>
      <c r="G114" s="3">
        <v>3.166866442</v>
      </c>
      <c r="H114" s="4"/>
      <c r="I114" t="s">
        <v>473</v>
      </c>
      <c r="J114">
        <v>38.3445</v>
      </c>
      <c r="K114" s="5">
        <v>2.17226783502197</v>
      </c>
      <c r="L114">
        <v>0.685936042711703</v>
      </c>
      <c r="O114">
        <v>0.0322096</v>
      </c>
      <c r="P114" s="6">
        <v>2.58601547364761</v>
      </c>
      <c r="Q114" s="4">
        <v>0.840005737459088</v>
      </c>
      <c r="R114" s="4"/>
      <c r="T114">
        <v>356.969</v>
      </c>
      <c r="U114" s="7">
        <v>0.233338256263149</v>
      </c>
      <c r="V114">
        <v>9.30952287811811</v>
      </c>
      <c r="Y114">
        <v>0.00161237</v>
      </c>
      <c r="Z114" s="8">
        <v>51.6596835713887</v>
      </c>
      <c r="AA114">
        <v>0.0420495768623923</v>
      </c>
      <c r="AD114" s="9">
        <v>1.647708</v>
      </c>
      <c r="AE114">
        <v>1.3183572787302</v>
      </c>
      <c r="AH114">
        <v>62.4893</v>
      </c>
      <c r="AI114" s="10">
        <v>1.33294058342788</v>
      </c>
      <c r="AJ114">
        <v>1.62968091903663</v>
      </c>
    </row>
    <row r="115" customFormat="1" spans="1:36">
      <c r="A115" s="1" t="s">
        <v>242</v>
      </c>
      <c r="B115" s="1">
        <v>13239520</v>
      </c>
      <c r="C115" s="2">
        <v>3.39245e-5</v>
      </c>
      <c r="E115">
        <v>11.392958</v>
      </c>
      <c r="F115">
        <v>1162.079274</v>
      </c>
      <c r="G115" s="3">
        <v>1.162079274</v>
      </c>
      <c r="H115" s="4"/>
      <c r="I115" t="s">
        <v>242</v>
      </c>
      <c r="J115">
        <v>13.5131</v>
      </c>
      <c r="K115" s="5">
        <v>0.979754460486491</v>
      </c>
      <c r="L115">
        <v>0.84310466799229</v>
      </c>
      <c r="O115">
        <v>0.0202128</v>
      </c>
      <c r="P115" s="6">
        <v>0.65500672840972</v>
      </c>
      <c r="Q115" s="4">
        <v>1.49579297126492</v>
      </c>
      <c r="R115" s="4"/>
      <c r="T115">
        <v>37.93</v>
      </c>
      <c r="U115" s="7">
        <v>0.349051410493013</v>
      </c>
      <c r="V115">
        <v>2.80690589132027</v>
      </c>
      <c r="Y115">
        <v>0.00471799</v>
      </c>
      <c r="Z115" s="8">
        <v>2.80617805463767</v>
      </c>
      <c r="AA115">
        <v>0.349141943743479</v>
      </c>
      <c r="AD115" s="9">
        <v>0.682389</v>
      </c>
      <c r="AE115">
        <v>1.43577118108072</v>
      </c>
      <c r="AH115">
        <v>18.4875</v>
      </c>
      <c r="AI115" s="10">
        <v>0.716133603786342</v>
      </c>
      <c r="AJ115">
        <v>1.36811686437605</v>
      </c>
    </row>
    <row r="116" customFormat="1" spans="1:36">
      <c r="A116" s="1" t="s">
        <v>237</v>
      </c>
      <c r="B116" s="1">
        <v>12171172</v>
      </c>
      <c r="C116" s="2">
        <v>3.59583e-5</v>
      </c>
      <c r="E116">
        <v>10.002251</v>
      </c>
      <c r="F116">
        <v>1216.843309</v>
      </c>
      <c r="G116" s="3">
        <v>1.216843309</v>
      </c>
      <c r="H116" s="4"/>
      <c r="I116" t="s">
        <v>237</v>
      </c>
      <c r="J116">
        <v>9.23618</v>
      </c>
      <c r="K116" s="5">
        <v>1.31777119978173</v>
      </c>
      <c r="L116">
        <v>1.08294238874903</v>
      </c>
      <c r="O116">
        <v>0.01792</v>
      </c>
      <c r="P116" s="6">
        <v>0.679194866071429</v>
      </c>
      <c r="Q116" s="4">
        <v>1.94019605507905</v>
      </c>
      <c r="R116" s="4"/>
      <c r="T116">
        <v>22.272</v>
      </c>
      <c r="U116" s="7">
        <v>0.546478627873563</v>
      </c>
      <c r="V116">
        <v>2.41138652559825</v>
      </c>
      <c r="Y116">
        <v>0.00422633</v>
      </c>
      <c r="Z116" s="8">
        <v>2.87984421472057</v>
      </c>
      <c r="AA116">
        <v>0.457584196063741</v>
      </c>
      <c r="AD116" s="9">
        <v>0.681405</v>
      </c>
      <c r="AE116">
        <v>1.93390303825438</v>
      </c>
      <c r="AH116">
        <v>16.8239</v>
      </c>
      <c r="AI116" s="10">
        <v>0.723445336693632</v>
      </c>
      <c r="AJ116">
        <v>1.82152145150917</v>
      </c>
    </row>
    <row r="117" customFormat="1" spans="1:36">
      <c r="A117" s="1" t="s">
        <v>466</v>
      </c>
      <c r="B117" s="1">
        <v>76536664</v>
      </c>
      <c r="C117" s="2">
        <v>3.73009e-5</v>
      </c>
      <c r="E117">
        <v>18.154068</v>
      </c>
      <c r="F117">
        <v>4215.951085</v>
      </c>
      <c r="G117" s="3">
        <v>4.215951085</v>
      </c>
      <c r="H117" s="4"/>
      <c r="I117" t="s">
        <v>466</v>
      </c>
      <c r="J117">
        <v>36.0453</v>
      </c>
      <c r="K117" s="5">
        <v>2.12334656668137</v>
      </c>
      <c r="L117">
        <v>0.503645920901706</v>
      </c>
      <c r="O117">
        <v>0.0307424</v>
      </c>
      <c r="P117" s="6">
        <v>2.48961252211929</v>
      </c>
      <c r="Q117" s="4">
        <v>0.85288234527109</v>
      </c>
      <c r="R117" s="4"/>
      <c r="T117">
        <v>339.301</v>
      </c>
      <c r="U117" s="7">
        <v>0.22557158393285</v>
      </c>
      <c r="V117">
        <v>9.41318285601729</v>
      </c>
      <c r="Y117">
        <v>0.00154539</v>
      </c>
      <c r="Z117" s="8">
        <v>49.5257921948505</v>
      </c>
      <c r="AA117">
        <v>0.0428735507819327</v>
      </c>
      <c r="AD117" s="9">
        <v>1.624986</v>
      </c>
      <c r="AE117">
        <v>1.30668606786851</v>
      </c>
      <c r="AH117">
        <v>60.5591</v>
      </c>
      <c r="AI117" s="10">
        <v>1.26383423795928</v>
      </c>
      <c r="AJ117">
        <v>1.68008311763253</v>
      </c>
    </row>
    <row r="118" customFormat="1" spans="1:36">
      <c r="A118" s="1" t="s">
        <v>433</v>
      </c>
      <c r="B118" s="1">
        <v>55150168</v>
      </c>
      <c r="C118" s="2">
        <v>4.02382e-5</v>
      </c>
      <c r="E118">
        <v>16.58476</v>
      </c>
      <c r="F118">
        <v>3325.352266</v>
      </c>
      <c r="G118" s="3">
        <v>3.325352266</v>
      </c>
      <c r="H118" s="4"/>
      <c r="I118" t="s">
        <v>433</v>
      </c>
      <c r="J118">
        <v>22.9153</v>
      </c>
      <c r="K118" s="5">
        <v>2.40669631207097</v>
      </c>
      <c r="L118">
        <v>0.723741763144373</v>
      </c>
      <c r="O118">
        <v>0.0241328</v>
      </c>
      <c r="P118" s="6">
        <v>2.28527845919247</v>
      </c>
      <c r="Q118" s="4">
        <v>1.05313044123359</v>
      </c>
      <c r="R118" s="4"/>
      <c r="T118">
        <v>393.392</v>
      </c>
      <c r="U118" s="7">
        <v>0.140191381624436</v>
      </c>
      <c r="V118">
        <v>17.1672201542201</v>
      </c>
      <c r="Y118">
        <v>0.00152432</v>
      </c>
      <c r="Z118" s="8">
        <v>36.1801773905742</v>
      </c>
      <c r="AA118">
        <v>0.0665197488141111</v>
      </c>
      <c r="AD118" s="9">
        <v>1.692291</v>
      </c>
      <c r="AE118">
        <v>1.42215275745777</v>
      </c>
      <c r="AH118">
        <v>37.6602</v>
      </c>
      <c r="AI118" s="10">
        <v>1.46441516508144</v>
      </c>
      <c r="AJ118">
        <v>1.64345219133068</v>
      </c>
    </row>
    <row r="119" customFormat="1" spans="1:36">
      <c r="A119" s="1" t="s">
        <v>597</v>
      </c>
      <c r="B119" s="1">
        <v>467091368</v>
      </c>
      <c r="C119" s="2">
        <v>4.28761e-5</v>
      </c>
      <c r="E119">
        <v>44.89171</v>
      </c>
      <c r="F119">
        <v>10404.846751</v>
      </c>
      <c r="G119" s="3">
        <v>10.404846751</v>
      </c>
      <c r="H119" s="4"/>
      <c r="I119" t="s">
        <v>597</v>
      </c>
      <c r="J119">
        <v>77.164</v>
      </c>
      <c r="K119" s="5">
        <v>6.05322907055103</v>
      </c>
      <c r="L119">
        <v>0.581770132267375</v>
      </c>
      <c r="O119">
        <v>0.0911424</v>
      </c>
      <c r="P119" s="6">
        <v>5.12485262622007</v>
      </c>
      <c r="Q119" s="4">
        <v>1.18115183246073</v>
      </c>
      <c r="R119" s="4"/>
      <c r="T119">
        <v>535.05</v>
      </c>
      <c r="U119" s="7">
        <v>0.872986390057004</v>
      </c>
      <c r="V119">
        <v>6.93393292208802</v>
      </c>
      <c r="Y119">
        <v>0.0049002</v>
      </c>
      <c r="Z119" s="8">
        <v>95.3208783314967</v>
      </c>
      <c r="AA119">
        <v>0.0635037063915816</v>
      </c>
      <c r="AD119" s="9">
        <v>2.245023</v>
      </c>
      <c r="AE119">
        <v>2.69628822090065</v>
      </c>
      <c r="AH119">
        <v>189.2273</v>
      </c>
      <c r="AI119" s="10">
        <v>2.46841427214783</v>
      </c>
      <c r="AJ119">
        <v>2.45227437665233</v>
      </c>
    </row>
    <row r="120" customFormat="1" spans="1:36">
      <c r="A120" s="1" t="s">
        <v>568</v>
      </c>
      <c r="B120" s="1">
        <v>241787550</v>
      </c>
      <c r="C120" s="2">
        <v>4.33595e-5</v>
      </c>
      <c r="E120">
        <v>52.091181</v>
      </c>
      <c r="F120">
        <v>4641.621599</v>
      </c>
      <c r="G120" s="3">
        <v>4.641621599</v>
      </c>
      <c r="H120" s="4"/>
      <c r="I120" t="s">
        <v>568</v>
      </c>
      <c r="J120">
        <v>35.7096</v>
      </c>
      <c r="K120" s="5">
        <v>6.77093974729484</v>
      </c>
      <c r="L120">
        <v>1.45874445016233</v>
      </c>
      <c r="O120">
        <v>0.0452464</v>
      </c>
      <c r="P120" s="6">
        <v>5.34379641253227</v>
      </c>
      <c r="Q120" s="4">
        <v>1.2670654389856</v>
      </c>
      <c r="R120" s="4"/>
      <c r="T120">
        <v>8734.361</v>
      </c>
      <c r="U120" s="7">
        <v>0.0276823398987058</v>
      </c>
      <c r="V120">
        <v>244.594198758877</v>
      </c>
      <c r="Y120">
        <v>0.0014736</v>
      </c>
      <c r="Z120" s="8">
        <v>164.079499185668</v>
      </c>
      <c r="AA120">
        <v>0.0412662141272935</v>
      </c>
      <c r="AD120" s="9">
        <v>2.262387</v>
      </c>
      <c r="AE120">
        <v>2.99283002744219</v>
      </c>
      <c r="AH120">
        <v>98.8342</v>
      </c>
      <c r="AI120" s="10">
        <v>2.44639557966777</v>
      </c>
      <c r="AJ120">
        <v>2.76772072495911</v>
      </c>
    </row>
    <row r="121" customFormat="1" spans="1:36">
      <c r="A121" s="1" t="s">
        <v>567</v>
      </c>
      <c r="B121" s="1">
        <v>241787550</v>
      </c>
      <c r="C121" s="2">
        <v>4.33595e-5</v>
      </c>
      <c r="E121">
        <v>50.722203</v>
      </c>
      <c r="F121">
        <v>4766.897646</v>
      </c>
      <c r="G121" s="3">
        <v>4.766897646</v>
      </c>
      <c r="H121" s="4"/>
      <c r="I121" t="s">
        <v>567</v>
      </c>
      <c r="J121">
        <v>38.1228</v>
      </c>
      <c r="K121" s="5">
        <v>6.34233450848311</v>
      </c>
      <c r="L121">
        <v>1.3304952150179</v>
      </c>
      <c r="O121">
        <v>0.0462656</v>
      </c>
      <c r="P121" s="6">
        <v>5.22607617754876</v>
      </c>
      <c r="Q121" s="4">
        <v>1.21359396476649</v>
      </c>
      <c r="R121" s="4"/>
      <c r="T121">
        <v>8734.778</v>
      </c>
      <c r="U121" s="7">
        <v>0.0276810183384168</v>
      </c>
      <c r="V121">
        <v>229.122152622578</v>
      </c>
      <c r="Y121">
        <v>0.00143172</v>
      </c>
      <c r="Z121" s="8">
        <v>168.879075517559</v>
      </c>
      <c r="AA121">
        <v>0.0375554786112248</v>
      </c>
      <c r="AD121" s="9">
        <v>2.237955</v>
      </c>
      <c r="AE121">
        <v>2.83398661210038</v>
      </c>
      <c r="AH121">
        <v>99.0198</v>
      </c>
      <c r="AI121" s="10">
        <v>2.44181012282392</v>
      </c>
      <c r="AJ121">
        <v>2.5973905379458</v>
      </c>
    </row>
    <row r="122" customFormat="1" spans="1:36">
      <c r="A122" s="1" t="s">
        <v>401</v>
      </c>
      <c r="B122" s="1">
        <v>42712232</v>
      </c>
      <c r="C122" s="2">
        <v>4.33651e-5</v>
      </c>
      <c r="E122">
        <v>30.245576</v>
      </c>
      <c r="F122">
        <v>1412.181132</v>
      </c>
      <c r="G122" s="3">
        <v>1.412181132</v>
      </c>
      <c r="H122" s="4"/>
      <c r="I122" t="s">
        <v>401</v>
      </c>
      <c r="J122">
        <v>39.1873</v>
      </c>
      <c r="K122" s="5">
        <v>1.08995087694227</v>
      </c>
      <c r="L122">
        <v>0.771820874988347</v>
      </c>
      <c r="O122">
        <v>0.0965904</v>
      </c>
      <c r="P122" s="6">
        <v>0.442199556063543</v>
      </c>
      <c r="Q122" s="4">
        <v>2.46483937398086</v>
      </c>
      <c r="R122" s="4"/>
      <c r="T122">
        <v>91.756</v>
      </c>
      <c r="U122" s="7">
        <v>0.465497972884607</v>
      </c>
      <c r="V122">
        <v>2.34147287514067</v>
      </c>
      <c r="Y122">
        <v>0.0102425</v>
      </c>
      <c r="Z122" s="8">
        <v>4.17009831584086</v>
      </c>
      <c r="AA122">
        <v>0.261372944806098</v>
      </c>
      <c r="AD122" s="9">
        <v>0.317343</v>
      </c>
      <c r="AE122">
        <v>3.43461452416557</v>
      </c>
      <c r="AH122">
        <v>51.5476</v>
      </c>
      <c r="AI122" s="10">
        <v>0.828597878465729</v>
      </c>
      <c r="AJ122">
        <v>1.31541596384543</v>
      </c>
    </row>
    <row r="123" customFormat="1" spans="1:36">
      <c r="A123" s="1" t="s">
        <v>438</v>
      </c>
      <c r="B123" s="1">
        <v>57801612</v>
      </c>
      <c r="C123" s="2">
        <v>4.85555e-5</v>
      </c>
      <c r="E123">
        <v>14.574602</v>
      </c>
      <c r="F123">
        <v>3965.913469</v>
      </c>
      <c r="G123" s="3">
        <v>3.965913469</v>
      </c>
      <c r="H123" s="4"/>
      <c r="I123" t="s">
        <v>438</v>
      </c>
      <c r="J123">
        <v>21.725</v>
      </c>
      <c r="K123" s="5">
        <v>2.6606035443038</v>
      </c>
      <c r="L123">
        <v>0.670867774877263</v>
      </c>
      <c r="O123">
        <v>0.018744</v>
      </c>
      <c r="P123" s="6">
        <v>3.08373943661972</v>
      </c>
      <c r="Q123" s="4">
        <v>0.862784810126582</v>
      </c>
      <c r="R123" s="4"/>
      <c r="T123">
        <v>401.165</v>
      </c>
      <c r="U123" s="7">
        <v>0.144084384230927</v>
      </c>
      <c r="V123">
        <v>18.4655926352129</v>
      </c>
      <c r="Y123">
        <v>0.00169497</v>
      </c>
      <c r="Z123" s="8">
        <v>34.1018495902582</v>
      </c>
      <c r="AA123">
        <v>0.078019332566168</v>
      </c>
      <c r="AD123" s="9">
        <v>1.780368</v>
      </c>
      <c r="AE123">
        <v>1.49441213518991</v>
      </c>
      <c r="AH123">
        <v>40.2829</v>
      </c>
      <c r="AI123" s="10">
        <v>1.43489202614509</v>
      </c>
      <c r="AJ123">
        <v>1.85421864211738</v>
      </c>
    </row>
    <row r="124" customFormat="1" spans="1:36">
      <c r="A124" s="1" t="s">
        <v>228</v>
      </c>
      <c r="B124" s="1">
        <v>11075172</v>
      </c>
      <c r="C124" s="2">
        <v>4.95135e-5</v>
      </c>
      <c r="E124">
        <v>8.735079</v>
      </c>
      <c r="F124">
        <v>1267.896056</v>
      </c>
      <c r="G124" s="3">
        <v>1.267896056</v>
      </c>
      <c r="H124" s="4"/>
      <c r="I124" t="s">
        <v>228</v>
      </c>
      <c r="J124">
        <v>8.31065</v>
      </c>
      <c r="K124" s="5">
        <v>1.33264810815039</v>
      </c>
      <c r="L124">
        <v>1.05107047367484</v>
      </c>
      <c r="O124">
        <v>0.0140912</v>
      </c>
      <c r="P124" s="6">
        <v>0.785963722039287</v>
      </c>
      <c r="Q124" s="4">
        <v>1.69555931244848</v>
      </c>
      <c r="R124" s="4"/>
      <c r="T124">
        <v>20.487</v>
      </c>
      <c r="U124" s="7">
        <v>0.540595109093571</v>
      </c>
      <c r="V124">
        <v>2.46515013867748</v>
      </c>
      <c r="Y124">
        <v>0.0041656</v>
      </c>
      <c r="Z124" s="8">
        <v>2.65872191280968</v>
      </c>
      <c r="AA124">
        <v>0.501236365386582</v>
      </c>
      <c r="AD124" s="9">
        <v>0.702345</v>
      </c>
      <c r="AE124">
        <v>1.89742663242478</v>
      </c>
      <c r="AH124">
        <v>15.8995</v>
      </c>
      <c r="AI124" s="10">
        <v>0.696573602943489</v>
      </c>
      <c r="AJ124">
        <v>1.91314758773381</v>
      </c>
    </row>
    <row r="125" customFormat="1" spans="1:36">
      <c r="A125" s="1" t="s">
        <v>414</v>
      </c>
      <c r="B125" s="1">
        <v>48844004</v>
      </c>
      <c r="C125" s="2">
        <v>5.6164e-5</v>
      </c>
      <c r="E125">
        <v>13.39043</v>
      </c>
      <c r="F125">
        <v>3647.680132</v>
      </c>
      <c r="G125" s="3">
        <v>3.647680132</v>
      </c>
      <c r="H125" s="4"/>
      <c r="I125" t="s">
        <v>414</v>
      </c>
      <c r="J125">
        <v>22.2208</v>
      </c>
      <c r="K125" s="5">
        <v>2.19812085973502</v>
      </c>
      <c r="L125">
        <v>0.602607898771488</v>
      </c>
      <c r="O125">
        <v>0.0175616</v>
      </c>
      <c r="P125" s="6">
        <v>2.78129578170554</v>
      </c>
      <c r="Q125" s="4">
        <v>0.790322580645161</v>
      </c>
      <c r="R125" s="4"/>
      <c r="T125">
        <v>405.27</v>
      </c>
      <c r="U125" s="7">
        <v>0.120522130925062</v>
      </c>
      <c r="V125">
        <v>18.2383172523041</v>
      </c>
      <c r="Y125">
        <v>0.00140594</v>
      </c>
      <c r="Z125" s="8">
        <v>34.7411724540165</v>
      </c>
      <c r="AA125">
        <v>0.0632713493663594</v>
      </c>
      <c r="AD125" s="9">
        <v>1.677276</v>
      </c>
      <c r="AE125">
        <v>1.31053020476953</v>
      </c>
      <c r="AH125">
        <v>41.3634</v>
      </c>
      <c r="AI125" s="10">
        <v>1.18085080046611</v>
      </c>
      <c r="AJ125">
        <v>1.86147213421659</v>
      </c>
    </row>
    <row r="126" customFormat="1" spans="1:36">
      <c r="A126" s="1" t="s">
        <v>605</v>
      </c>
      <c r="B126" s="1">
        <v>541225572</v>
      </c>
      <c r="C126" s="2">
        <v>5.74779e-5</v>
      </c>
      <c r="E126">
        <v>45.927744</v>
      </c>
      <c r="F126">
        <v>11784.283916</v>
      </c>
      <c r="G126" s="3">
        <v>11.784283916</v>
      </c>
      <c r="H126" s="4"/>
      <c r="I126" t="s">
        <v>605</v>
      </c>
      <c r="J126">
        <v>82.1617</v>
      </c>
      <c r="K126" s="5">
        <v>6.58732197605454</v>
      </c>
      <c r="L126">
        <v>0.558992130791304</v>
      </c>
      <c r="O126">
        <v>0.1051056</v>
      </c>
      <c r="P126" s="6">
        <v>5.14935048180116</v>
      </c>
      <c r="Q126" s="4">
        <v>1.27925298527173</v>
      </c>
      <c r="R126" s="4"/>
      <c r="T126">
        <v>504.439</v>
      </c>
      <c r="U126" s="7">
        <v>1.07292570955061</v>
      </c>
      <c r="V126">
        <v>6.13958815360442</v>
      </c>
      <c r="Y126">
        <v>0.00484297</v>
      </c>
      <c r="Z126" s="8">
        <v>111.754888425904</v>
      </c>
      <c r="AA126">
        <v>0.0589443743252635</v>
      </c>
      <c r="AD126" s="9">
        <v>2.270211</v>
      </c>
      <c r="AE126">
        <v>2.90163424283229</v>
      </c>
      <c r="AH126">
        <v>212.7313</v>
      </c>
      <c r="AI126" s="10">
        <v>2.54417460900206</v>
      </c>
      <c r="AJ126">
        <v>2.58917841281278</v>
      </c>
    </row>
    <row r="127" customFormat="1" spans="1:36">
      <c r="A127" s="1" t="s">
        <v>437</v>
      </c>
      <c r="B127" s="1">
        <v>57145790</v>
      </c>
      <c r="C127" s="2">
        <v>6.09088e-5</v>
      </c>
      <c r="E127">
        <v>13.608718</v>
      </c>
      <c r="F127">
        <v>4199.204413</v>
      </c>
      <c r="G127" s="3">
        <v>4.199204413</v>
      </c>
      <c r="H127" s="4"/>
      <c r="I127" t="s">
        <v>437</v>
      </c>
      <c r="J127">
        <v>22.913</v>
      </c>
      <c r="K127" s="5">
        <v>2.49403351809017</v>
      </c>
      <c r="L127">
        <v>0.593930009782109</v>
      </c>
      <c r="O127">
        <v>0.0168912</v>
      </c>
      <c r="P127" s="6">
        <v>3.38316934261627</v>
      </c>
      <c r="Q127" s="4">
        <v>0.737188495613844</v>
      </c>
      <c r="R127" s="4"/>
      <c r="T127">
        <v>41.048</v>
      </c>
      <c r="U127" s="7">
        <v>1.39216989865523</v>
      </c>
      <c r="V127">
        <v>1.79147209007987</v>
      </c>
      <c r="Y127">
        <v>0.0231645</v>
      </c>
      <c r="Z127" s="8">
        <v>2.46695547065553</v>
      </c>
      <c r="AA127">
        <v>1.01097630166281</v>
      </c>
      <c r="AD127" s="9">
        <v>1.754673</v>
      </c>
      <c r="AE127">
        <v>1.42136655552924</v>
      </c>
      <c r="AH127">
        <v>27.9728</v>
      </c>
      <c r="AI127" s="10">
        <v>2.04290560830521</v>
      </c>
      <c r="AJ127">
        <v>1.22082660498407</v>
      </c>
    </row>
    <row r="128" customFormat="1" spans="1:36">
      <c r="A128" s="1" t="s">
        <v>254</v>
      </c>
      <c r="B128" s="1">
        <v>14310872</v>
      </c>
      <c r="C128" s="2">
        <v>6.14402e-5</v>
      </c>
      <c r="E128">
        <v>11.264459</v>
      </c>
      <c r="F128">
        <v>1270.444735</v>
      </c>
      <c r="G128" s="3">
        <v>1.270444735</v>
      </c>
      <c r="H128" s="4"/>
      <c r="I128" t="s">
        <v>254</v>
      </c>
      <c r="J128">
        <v>11.0892</v>
      </c>
      <c r="K128" s="5">
        <v>1.29052339212928</v>
      </c>
      <c r="L128">
        <v>1.01580443176797</v>
      </c>
      <c r="O128">
        <v>0.0233648</v>
      </c>
      <c r="P128" s="6">
        <v>0.612497089639115</v>
      </c>
      <c r="Q128" s="4">
        <v>2.10698697832125</v>
      </c>
      <c r="R128" s="4"/>
      <c r="T128">
        <v>26.567</v>
      </c>
      <c r="U128" s="7">
        <v>0.538670982798208</v>
      </c>
      <c r="V128">
        <v>2.39575442773149</v>
      </c>
      <c r="Y128">
        <v>0.00468696</v>
      </c>
      <c r="Z128" s="8">
        <v>3.05333777117791</v>
      </c>
      <c r="AA128">
        <v>0.422659885293799</v>
      </c>
      <c r="AD128" s="9">
        <v>0.6606</v>
      </c>
      <c r="AE128">
        <v>1.95356250700769</v>
      </c>
      <c r="AH128">
        <v>20.8362</v>
      </c>
      <c r="AI128" s="10">
        <v>0.686827348556839</v>
      </c>
      <c r="AJ128">
        <v>1.87896331565848</v>
      </c>
    </row>
    <row r="129" customFormat="1" spans="1:36">
      <c r="A129" s="1" t="s">
        <v>278</v>
      </c>
      <c r="B129" s="1">
        <v>16522808</v>
      </c>
      <c r="C129" s="2">
        <v>6.41139e-5</v>
      </c>
      <c r="E129">
        <v>13.781059</v>
      </c>
      <c r="F129">
        <v>1198.950549</v>
      </c>
      <c r="G129" s="3">
        <v>1.198950549</v>
      </c>
      <c r="H129" s="4"/>
      <c r="I129" t="s">
        <v>278</v>
      </c>
      <c r="J129">
        <v>13.1477</v>
      </c>
      <c r="K129" s="5">
        <v>1.25670710466469</v>
      </c>
      <c r="L129">
        <v>1.04817259203298</v>
      </c>
      <c r="O129">
        <v>0.0236992</v>
      </c>
      <c r="P129" s="6">
        <v>0.697188428301377</v>
      </c>
      <c r="Q129" s="4">
        <v>1.80253580474151</v>
      </c>
      <c r="R129" s="4"/>
      <c r="T129">
        <v>30.899</v>
      </c>
      <c r="U129" s="7">
        <v>0.534736010874138</v>
      </c>
      <c r="V129">
        <v>2.35014489226252</v>
      </c>
      <c r="Y129">
        <v>0.00512581</v>
      </c>
      <c r="Z129" s="8">
        <v>3.2234530737581</v>
      </c>
      <c r="AA129">
        <v>0.389863626337686</v>
      </c>
      <c r="AD129" s="9">
        <v>0.669405</v>
      </c>
      <c r="AE129">
        <v>1.87734944415517</v>
      </c>
      <c r="AH129">
        <v>18.4465</v>
      </c>
      <c r="AI129" s="10">
        <v>0.895715067899059</v>
      </c>
      <c r="AJ129">
        <v>1.40302106071784</v>
      </c>
    </row>
    <row r="130" customFormat="1" spans="1:36">
      <c r="A130" s="1" t="s">
        <v>397</v>
      </c>
      <c r="B130" s="1">
        <v>39798360</v>
      </c>
      <c r="C130" s="2">
        <v>6.66978e-5</v>
      </c>
      <c r="E130">
        <v>9.774238</v>
      </c>
      <c r="F130">
        <v>4071.760971</v>
      </c>
      <c r="G130" s="3">
        <v>4.071760971</v>
      </c>
      <c r="H130" s="4"/>
      <c r="I130" t="s">
        <v>397</v>
      </c>
      <c r="J130">
        <v>19.9933</v>
      </c>
      <c r="K130" s="5">
        <v>1.99058484592338</v>
      </c>
      <c r="L130">
        <v>0.488875663404797</v>
      </c>
      <c r="O130">
        <v>0.0174032</v>
      </c>
      <c r="P130" s="6">
        <v>2.28684150041372</v>
      </c>
      <c r="Q130" s="4">
        <v>0.870451601286431</v>
      </c>
      <c r="R130" s="4"/>
      <c r="T130">
        <v>314.04</v>
      </c>
      <c r="U130" s="7">
        <v>0.126730225448987</v>
      </c>
      <c r="V130">
        <v>15.7072619327475</v>
      </c>
      <c r="Y130">
        <v>0.00140086</v>
      </c>
      <c r="Z130" s="8">
        <v>28.4099481746927</v>
      </c>
      <c r="AA130">
        <v>0.0700664722682098</v>
      </c>
      <c r="AD130" s="9">
        <v>1.594323</v>
      </c>
      <c r="AE130">
        <v>1.24854552429049</v>
      </c>
      <c r="AH130">
        <v>41.8038</v>
      </c>
      <c r="AI130" s="10">
        <v>0.952027327659208</v>
      </c>
      <c r="AJ130">
        <v>2.09089044830018</v>
      </c>
    </row>
    <row r="131" customFormat="1" spans="1:36">
      <c r="A131" s="1" t="s">
        <v>471</v>
      </c>
      <c r="B131" s="1">
        <v>82310224</v>
      </c>
      <c r="C131" s="2">
        <v>6.75767e-5</v>
      </c>
      <c r="E131">
        <v>18.042919</v>
      </c>
      <c r="F131">
        <v>4561.912956</v>
      </c>
      <c r="G131" s="3">
        <v>4.561912956</v>
      </c>
      <c r="H131" s="4"/>
      <c r="I131" t="s">
        <v>471</v>
      </c>
      <c r="J131">
        <v>17.5576</v>
      </c>
      <c r="K131" s="5">
        <v>4.68801111769262</v>
      </c>
      <c r="L131">
        <v>1.02764150980276</v>
      </c>
      <c r="O131">
        <v>0.0172512</v>
      </c>
      <c r="P131" s="6">
        <v>4.77127527360415</v>
      </c>
      <c r="Q131" s="4">
        <v>0.982548867726797</v>
      </c>
      <c r="R131" s="4"/>
      <c r="T131">
        <v>844.063</v>
      </c>
      <c r="U131" s="7">
        <v>0.0975166829964114</v>
      </c>
      <c r="V131">
        <v>48.073939490591</v>
      </c>
      <c r="Y131">
        <v>0.00123301</v>
      </c>
      <c r="Z131" s="8">
        <v>66.7555202309795</v>
      </c>
      <c r="AA131">
        <v>0.0702265685515105</v>
      </c>
      <c r="AD131" s="9">
        <v>2.209476</v>
      </c>
      <c r="AE131">
        <v>2.12177508046823</v>
      </c>
      <c r="AH131">
        <v>46.8439</v>
      </c>
      <c r="AI131" s="10">
        <v>1.75711723404755</v>
      </c>
      <c r="AJ131">
        <v>2.66801271244361</v>
      </c>
    </row>
    <row r="132" customFormat="1" spans="1:36">
      <c r="A132" s="1" t="s">
        <v>351</v>
      </c>
      <c r="B132" s="1">
        <v>28910660</v>
      </c>
      <c r="C132" s="2">
        <v>6.80596e-5</v>
      </c>
      <c r="E132">
        <v>8.768985</v>
      </c>
      <c r="F132">
        <v>3296.921935</v>
      </c>
      <c r="G132" s="3">
        <v>3.296921935</v>
      </c>
      <c r="H132" s="4"/>
      <c r="I132" t="s">
        <v>351</v>
      </c>
      <c r="J132">
        <v>12.8459</v>
      </c>
      <c r="K132" s="5">
        <v>2.25057489159965</v>
      </c>
      <c r="L132">
        <v>0.682629111629134</v>
      </c>
      <c r="O132">
        <v>0.0127392</v>
      </c>
      <c r="P132" s="6">
        <v>2.26942508163778</v>
      </c>
      <c r="Q132" s="4">
        <v>0.991693847842502</v>
      </c>
      <c r="R132" s="4"/>
      <c r="T132">
        <v>247.332</v>
      </c>
      <c r="U132" s="7">
        <v>0.116890091051704</v>
      </c>
      <c r="V132">
        <v>19.2537696852692</v>
      </c>
      <c r="Y132">
        <v>0.00134299</v>
      </c>
      <c r="Z132" s="8">
        <v>21.5270850862627</v>
      </c>
      <c r="AA132">
        <v>0.104546197619474</v>
      </c>
      <c r="AD132" s="9">
        <v>1.536891</v>
      </c>
      <c r="AE132">
        <v>1.46436858020488</v>
      </c>
      <c r="AH132">
        <v>29.1409</v>
      </c>
      <c r="AI132" s="10">
        <v>0.992099077241952</v>
      </c>
      <c r="AJ132">
        <v>2.26849812002273</v>
      </c>
    </row>
    <row r="133" customFormat="1" spans="1:36">
      <c r="A133" s="1" t="s">
        <v>151</v>
      </c>
      <c r="B133" s="1">
        <v>6389468</v>
      </c>
      <c r="C133" s="2">
        <v>6.89655e-5</v>
      </c>
      <c r="E133">
        <v>4.153729</v>
      </c>
      <c r="F133">
        <v>1538.248472</v>
      </c>
      <c r="G133" s="3">
        <v>1.538248472</v>
      </c>
      <c r="H133" s="4"/>
      <c r="I133" t="s">
        <v>151</v>
      </c>
      <c r="J133">
        <v>4.44018</v>
      </c>
      <c r="K133" s="5">
        <v>1.43901103108433</v>
      </c>
      <c r="L133">
        <v>0.935486728755434</v>
      </c>
      <c r="O133">
        <v>0.0073728</v>
      </c>
      <c r="P133" s="6">
        <v>0.866627061631944</v>
      </c>
      <c r="Q133" s="4">
        <v>1.66047322405848</v>
      </c>
      <c r="R133" s="4"/>
      <c r="T133">
        <v>12.763</v>
      </c>
      <c r="U133" s="7">
        <v>0.500624304630573</v>
      </c>
      <c r="V133">
        <v>2.87443301848123</v>
      </c>
      <c r="Y133">
        <v>0.00361335</v>
      </c>
      <c r="Z133" s="8">
        <v>1.76829479568821</v>
      </c>
      <c r="AA133">
        <v>0.813784576300961</v>
      </c>
      <c r="AD133" s="9">
        <v>0.758964</v>
      </c>
      <c r="AE133">
        <v>1.89602014204142</v>
      </c>
      <c r="AH133">
        <v>6.9934</v>
      </c>
      <c r="AI133" s="10">
        <v>0.913642577287156</v>
      </c>
      <c r="AJ133">
        <v>1.57502623767505</v>
      </c>
    </row>
    <row r="134" customFormat="1" spans="1:36">
      <c r="A134" s="1" t="s">
        <v>436</v>
      </c>
      <c r="B134" s="1">
        <v>57145790</v>
      </c>
      <c r="C134" s="2">
        <v>7.00574e-5</v>
      </c>
      <c r="E134">
        <v>13.993048</v>
      </c>
      <c r="F134">
        <v>4083.869935</v>
      </c>
      <c r="G134" s="3">
        <v>4.083869935</v>
      </c>
      <c r="H134" s="4"/>
      <c r="I134" t="s">
        <v>436</v>
      </c>
      <c r="J134">
        <v>21.5467</v>
      </c>
      <c r="K134" s="5">
        <v>2.65218293288531</v>
      </c>
      <c r="L134">
        <v>0.649428844477956</v>
      </c>
      <c r="O134">
        <v>0.0168608</v>
      </c>
      <c r="P134" s="6">
        <v>3.38926919244638</v>
      </c>
      <c r="Q134" s="4">
        <v>0.782523541888085</v>
      </c>
      <c r="R134" s="4"/>
      <c r="T134">
        <v>40.823</v>
      </c>
      <c r="U134" s="7">
        <v>1.39984298067266</v>
      </c>
      <c r="V134">
        <v>1.89462887588355</v>
      </c>
      <c r="Y134">
        <v>0.0262342</v>
      </c>
      <c r="Z134" s="8">
        <v>2.17829360148204</v>
      </c>
      <c r="AA134">
        <v>1.21755071542278</v>
      </c>
      <c r="AD134" s="9">
        <v>1.711566</v>
      </c>
      <c r="AE134">
        <v>1.54956509587437</v>
      </c>
      <c r="AH134">
        <v>26.5615</v>
      </c>
      <c r="AI134" s="10">
        <v>2.1514519134838</v>
      </c>
      <c r="AJ134">
        <v>1.23274097657646</v>
      </c>
    </row>
    <row r="135" customFormat="1" spans="1:36">
      <c r="A135" s="1" t="s">
        <v>150</v>
      </c>
      <c r="B135" s="1">
        <v>6334728</v>
      </c>
      <c r="C135" s="2">
        <v>7.15871e-5</v>
      </c>
      <c r="E135">
        <v>4.367123</v>
      </c>
      <c r="F135">
        <v>1450.54937</v>
      </c>
      <c r="G135" s="3">
        <v>1.45054937</v>
      </c>
      <c r="H135" s="4"/>
      <c r="I135" t="s">
        <v>150</v>
      </c>
      <c r="J135">
        <v>5.18316</v>
      </c>
      <c r="K135" s="5">
        <v>1.22217488944968</v>
      </c>
      <c r="L135">
        <v>0.842560008453679</v>
      </c>
      <c r="O135">
        <v>0.0074544</v>
      </c>
      <c r="P135" s="6">
        <v>0.849797166773986</v>
      </c>
      <c r="Q135" s="4">
        <v>1.43819600398213</v>
      </c>
      <c r="R135" s="4"/>
      <c r="T135">
        <v>11.904</v>
      </c>
      <c r="U135" s="7">
        <v>0.532151209677419</v>
      </c>
      <c r="V135">
        <v>2.29666844164564</v>
      </c>
      <c r="Y135">
        <v>0.00361452</v>
      </c>
      <c r="Z135" s="8">
        <v>1.75257793565951</v>
      </c>
      <c r="AA135">
        <v>0.697358368254115</v>
      </c>
      <c r="AD135" s="9">
        <v>0.736497</v>
      </c>
      <c r="AE135">
        <v>1.65944313344071</v>
      </c>
      <c r="AH135">
        <v>7.0308</v>
      </c>
      <c r="AI135" s="10">
        <v>0.900996757125789</v>
      </c>
      <c r="AJ135">
        <v>1.35646979834695</v>
      </c>
    </row>
    <row r="136" customFormat="1" spans="1:36">
      <c r="A136" s="1" t="s">
        <v>415</v>
      </c>
      <c r="B136" s="1">
        <v>49280096</v>
      </c>
      <c r="C136" s="2">
        <v>7.3654e-5</v>
      </c>
      <c r="E136">
        <v>12.807597</v>
      </c>
      <c r="F136">
        <v>3847.723813</v>
      </c>
      <c r="G136" s="3">
        <v>3.847723813</v>
      </c>
      <c r="H136" s="4"/>
      <c r="I136" t="s">
        <v>415</v>
      </c>
      <c r="J136">
        <v>20.6268</v>
      </c>
      <c r="K136" s="5">
        <v>2.38912948203308</v>
      </c>
      <c r="L136">
        <v>0.620920211050783</v>
      </c>
      <c r="O136">
        <v>0.0168032</v>
      </c>
      <c r="P136" s="6">
        <v>2.93278042277661</v>
      </c>
      <c r="Q136" s="4">
        <v>0.814629511121454</v>
      </c>
      <c r="R136" s="4"/>
      <c r="T136">
        <v>384.77</v>
      </c>
      <c r="U136" s="7">
        <v>0.128076762741378</v>
      </c>
      <c r="V136">
        <v>18.6538871759071</v>
      </c>
      <c r="Y136">
        <v>0.001319</v>
      </c>
      <c r="Z136" s="8">
        <v>37.3617103866566</v>
      </c>
      <c r="AA136">
        <v>0.0639459344154207</v>
      </c>
      <c r="AD136" s="9">
        <v>1.779804</v>
      </c>
      <c r="AE136">
        <v>1.34235538409459</v>
      </c>
      <c r="AH136">
        <v>45.1533</v>
      </c>
      <c r="AI136" s="10">
        <v>1.09139522471226</v>
      </c>
      <c r="AJ136">
        <v>2.18905986386643</v>
      </c>
    </row>
    <row r="137" customFormat="1" spans="1:36">
      <c r="A137" s="1" t="s">
        <v>230</v>
      </c>
      <c r="B137" s="1">
        <v>11161552</v>
      </c>
      <c r="C137" s="2">
        <v>7.38171e-5</v>
      </c>
      <c r="E137">
        <v>3.740783</v>
      </c>
      <c r="F137">
        <v>2983.7479</v>
      </c>
      <c r="G137" s="3">
        <v>2.9837479</v>
      </c>
      <c r="H137" s="4"/>
      <c r="I137" t="s">
        <v>230</v>
      </c>
      <c r="J137">
        <v>6.18072</v>
      </c>
      <c r="K137" s="5">
        <v>1.80586598325114</v>
      </c>
      <c r="L137">
        <v>0.605234102804443</v>
      </c>
      <c r="O137">
        <v>0.0036688</v>
      </c>
      <c r="P137" s="6">
        <v>3.0422895769734</v>
      </c>
      <c r="Q137" s="4">
        <v>0.593587802068367</v>
      </c>
      <c r="R137" s="4"/>
      <c r="T137">
        <v>78.808</v>
      </c>
      <c r="U137" s="7">
        <v>0.14162968226576</v>
      </c>
      <c r="V137">
        <v>12.7506180509714</v>
      </c>
      <c r="Y137">
        <v>0.00114696</v>
      </c>
      <c r="Z137" s="8">
        <v>9.73142219432238</v>
      </c>
      <c r="AA137">
        <v>0.185570613132451</v>
      </c>
      <c r="AD137" s="9">
        <v>1.635963</v>
      </c>
      <c r="AE137">
        <v>1.1038550280484</v>
      </c>
      <c r="AH137">
        <v>8.0693</v>
      </c>
      <c r="AI137" s="10">
        <v>1.38321192668509</v>
      </c>
      <c r="AJ137">
        <v>1.3055598700475</v>
      </c>
    </row>
    <row r="138" customFormat="1" spans="1:36">
      <c r="A138" s="1" t="s">
        <v>305</v>
      </c>
      <c r="B138" s="1">
        <v>19815620</v>
      </c>
      <c r="C138" s="2">
        <v>7.41913e-5</v>
      </c>
      <c r="E138">
        <v>14.893045</v>
      </c>
      <c r="F138">
        <v>1330.528407</v>
      </c>
      <c r="G138" s="3">
        <v>1.330528407</v>
      </c>
      <c r="H138" s="4"/>
      <c r="I138" t="s">
        <v>305</v>
      </c>
      <c r="J138">
        <v>12.7609</v>
      </c>
      <c r="K138" s="5">
        <v>1.55283874961797</v>
      </c>
      <c r="L138">
        <v>1.16708425122559</v>
      </c>
      <c r="O138">
        <v>0.0225536</v>
      </c>
      <c r="P138" s="6">
        <v>0.87860119892168</v>
      </c>
      <c r="Q138" s="4">
        <v>1.76739885117821</v>
      </c>
      <c r="R138" s="4"/>
      <c r="T138">
        <v>35.691</v>
      </c>
      <c r="U138" s="7">
        <v>0.555199349976184</v>
      </c>
      <c r="V138">
        <v>2.79690303975425</v>
      </c>
      <c r="Y138">
        <v>0.00586458</v>
      </c>
      <c r="Z138" s="8">
        <v>3.37886430059783</v>
      </c>
      <c r="AA138">
        <v>0.459574167966209</v>
      </c>
      <c r="AD138" s="9">
        <v>0.763692</v>
      </c>
      <c r="AE138">
        <v>2.03333117227622</v>
      </c>
      <c r="AH138">
        <v>18.3394</v>
      </c>
      <c r="AI138" s="10">
        <v>1.08049445456231</v>
      </c>
      <c r="AJ138">
        <v>1.43715568651114</v>
      </c>
    </row>
    <row r="139" customFormat="1" spans="1:36">
      <c r="A139" s="1" t="s">
        <v>319</v>
      </c>
      <c r="B139" s="1">
        <v>21872856</v>
      </c>
      <c r="C139" s="2">
        <v>7.75916e-5</v>
      </c>
      <c r="E139">
        <v>8.004598</v>
      </c>
      <c r="F139">
        <v>2732.536429</v>
      </c>
      <c r="G139" s="3">
        <v>2.732536429</v>
      </c>
      <c r="H139" s="4"/>
      <c r="I139" t="s">
        <v>319</v>
      </c>
      <c r="J139">
        <v>11.6068</v>
      </c>
      <c r="K139" s="5">
        <v>1.88448633559637</v>
      </c>
      <c r="L139">
        <v>0.689647287259047</v>
      </c>
      <c r="O139">
        <v>0.0079568</v>
      </c>
      <c r="P139" s="6">
        <v>2.74895133722099</v>
      </c>
      <c r="Q139" s="4">
        <v>0.68552917255402</v>
      </c>
      <c r="R139" s="4"/>
      <c r="T139">
        <v>164.033</v>
      </c>
      <c r="U139" s="7">
        <v>0.133344241707461</v>
      </c>
      <c r="V139">
        <v>14.1324912982045</v>
      </c>
      <c r="Y139">
        <v>0.00122697</v>
      </c>
      <c r="Z139" s="8">
        <v>17.826724369789</v>
      </c>
      <c r="AA139">
        <v>0.105711307164765</v>
      </c>
      <c r="AD139" s="9">
        <v>1.584288</v>
      </c>
      <c r="AE139">
        <v>1.18948469949679</v>
      </c>
      <c r="AH139">
        <v>17.4678</v>
      </c>
      <c r="AI139" s="10">
        <v>1.25218149967369</v>
      </c>
      <c r="AJ139">
        <v>1.50496260812627</v>
      </c>
    </row>
    <row r="140" customFormat="1" spans="1:36">
      <c r="A140" s="1" t="s">
        <v>229</v>
      </c>
      <c r="B140" s="1">
        <v>11157328</v>
      </c>
      <c r="C140" s="2">
        <v>7.9583e-5</v>
      </c>
      <c r="E140">
        <v>8.792329</v>
      </c>
      <c r="F140">
        <v>1268.984405</v>
      </c>
      <c r="G140" s="3">
        <v>1.268984405</v>
      </c>
      <c r="H140" s="4"/>
      <c r="I140" t="s">
        <v>229</v>
      </c>
      <c r="J140">
        <v>7.22954</v>
      </c>
      <c r="K140" s="5">
        <v>1.54329708390852</v>
      </c>
      <c r="L140">
        <v>1.21616710010595</v>
      </c>
      <c r="O140">
        <v>0.0144</v>
      </c>
      <c r="P140" s="6">
        <v>0.774814444444444</v>
      </c>
      <c r="Q140" s="4">
        <v>1.99182797245745</v>
      </c>
      <c r="R140" s="4"/>
      <c r="T140">
        <v>21.578</v>
      </c>
      <c r="U140" s="7">
        <v>0.517069607934007</v>
      </c>
      <c r="V140">
        <v>2.98469888817269</v>
      </c>
      <c r="Y140">
        <v>0.00407078</v>
      </c>
      <c r="Z140" s="8">
        <v>2.74083296075936</v>
      </c>
      <c r="AA140">
        <v>0.563075935675022</v>
      </c>
      <c r="AD140" s="9">
        <v>0.741738</v>
      </c>
      <c r="AE140">
        <v>2.08064988433722</v>
      </c>
      <c r="AH140">
        <v>16.7452</v>
      </c>
      <c r="AI140" s="10">
        <v>0.666300074051071</v>
      </c>
      <c r="AJ140">
        <v>2.31621928919406</v>
      </c>
    </row>
    <row r="141" customFormat="1" spans="1:36">
      <c r="A141" s="1" t="s">
        <v>234</v>
      </c>
      <c r="B141" s="1">
        <v>11970248</v>
      </c>
      <c r="C141" s="2">
        <v>8.28072e-5</v>
      </c>
      <c r="E141">
        <v>9.831398</v>
      </c>
      <c r="F141">
        <v>1217.553001</v>
      </c>
      <c r="G141" s="3">
        <v>1.217553001</v>
      </c>
      <c r="H141" s="4"/>
      <c r="I141" t="s">
        <v>234</v>
      </c>
      <c r="J141">
        <v>11.6317</v>
      </c>
      <c r="K141" s="5">
        <v>1.02910563374227</v>
      </c>
      <c r="L141">
        <v>0.845224505953374</v>
      </c>
      <c r="O141">
        <v>0.0207456</v>
      </c>
      <c r="P141" s="6">
        <v>0.577001773870122</v>
      </c>
      <c r="Q141" s="4">
        <v>1.7835398093142</v>
      </c>
      <c r="R141" s="4"/>
      <c r="T141">
        <v>24.807</v>
      </c>
      <c r="U141" s="7">
        <v>0.482535090901762</v>
      </c>
      <c r="V141">
        <v>2.13270631120129</v>
      </c>
      <c r="Y141">
        <v>0.00416785</v>
      </c>
      <c r="Z141" s="8">
        <v>2.87204385954389</v>
      </c>
      <c r="AA141">
        <v>0.358318216597746</v>
      </c>
      <c r="AD141" s="9">
        <v>0.688341</v>
      </c>
      <c r="AE141">
        <v>1.4950520653895</v>
      </c>
      <c r="AH141">
        <v>19.1796</v>
      </c>
      <c r="AI141" s="10">
        <v>0.624113537300048</v>
      </c>
      <c r="AJ141">
        <v>1.64890772629968</v>
      </c>
    </row>
    <row r="142" customFormat="1" spans="1:36">
      <c r="A142" s="1" t="s">
        <v>274</v>
      </c>
      <c r="B142" s="1">
        <v>15759436</v>
      </c>
      <c r="C142" s="2">
        <v>9.3214e-5</v>
      </c>
      <c r="E142">
        <v>5.622184</v>
      </c>
      <c r="F142">
        <v>2803.0806</v>
      </c>
      <c r="G142" s="3">
        <v>2.8030806</v>
      </c>
      <c r="H142" s="4"/>
      <c r="I142" t="s">
        <v>274</v>
      </c>
      <c r="J142">
        <v>8.22097</v>
      </c>
      <c r="K142" s="5">
        <v>1.91698011305235</v>
      </c>
      <c r="L142">
        <v>0.683883336445036</v>
      </c>
      <c r="O142">
        <v>0.0053872</v>
      </c>
      <c r="P142" s="6">
        <v>2.92534823284823</v>
      </c>
      <c r="Q142" s="4">
        <v>0.655299800388519</v>
      </c>
      <c r="R142" s="4"/>
      <c r="T142">
        <v>119.067</v>
      </c>
      <c r="U142" s="7">
        <v>0.132357714564069</v>
      </c>
      <c r="V142">
        <v>14.4833273932395</v>
      </c>
      <c r="Y142">
        <v>0.00104641</v>
      </c>
      <c r="Z142" s="8">
        <v>15.0604791620875</v>
      </c>
      <c r="AA142">
        <v>0.127285466313586</v>
      </c>
      <c r="AD142" s="9">
        <v>1.713546</v>
      </c>
      <c r="AE142">
        <v>1.11872112744703</v>
      </c>
      <c r="AH142">
        <v>12.5331</v>
      </c>
      <c r="AI142" s="10">
        <v>1.25742521802268</v>
      </c>
      <c r="AJ142">
        <v>1.52452812745941</v>
      </c>
    </row>
    <row r="143" customFormat="1" spans="1:36">
      <c r="A143" s="1" t="s">
        <v>296</v>
      </c>
      <c r="B143" s="1">
        <v>18918676</v>
      </c>
      <c r="C143" s="2">
        <v>9.63391e-5</v>
      </c>
      <c r="E143">
        <v>7.609098</v>
      </c>
      <c r="F143">
        <v>2486.323217</v>
      </c>
      <c r="G143" s="3">
        <v>2.486323217</v>
      </c>
      <c r="H143" s="4"/>
      <c r="I143" t="s">
        <v>296</v>
      </c>
      <c r="J143">
        <v>14.2116</v>
      </c>
      <c r="K143" s="5">
        <v>1.33121365644966</v>
      </c>
      <c r="L143">
        <v>0.535414562092174</v>
      </c>
      <c r="O143">
        <v>0.0056304</v>
      </c>
      <c r="P143" s="6">
        <v>3.36009448707019</v>
      </c>
      <c r="Q143" s="4">
        <v>0.396183399476484</v>
      </c>
      <c r="R143" s="4"/>
      <c r="T143">
        <v>113.226</v>
      </c>
      <c r="U143" s="7">
        <v>0.16708773603236</v>
      </c>
      <c r="V143">
        <v>7.96715359283965</v>
      </c>
      <c r="Y143">
        <v>0.00101622</v>
      </c>
      <c r="Z143" s="8">
        <v>18.6167129164945</v>
      </c>
      <c r="AA143">
        <v>0.0715063750738833</v>
      </c>
      <c r="AD143" s="9">
        <v>1.829409</v>
      </c>
      <c r="AE143">
        <v>0.727674159496133</v>
      </c>
      <c r="AH143">
        <v>16.4819</v>
      </c>
      <c r="AI143" s="10">
        <v>1.14784557605616</v>
      </c>
      <c r="AJ143">
        <v>1.15974978186833</v>
      </c>
    </row>
    <row r="144" customFormat="1" spans="1:36">
      <c r="A144" s="1" t="s">
        <v>454</v>
      </c>
      <c r="B144" s="1">
        <v>68330640</v>
      </c>
      <c r="C144" s="2">
        <v>0.000100005</v>
      </c>
      <c r="E144">
        <v>109.305919</v>
      </c>
      <c r="F144">
        <v>625.13211</v>
      </c>
      <c r="G144" s="3">
        <v>0.62513211</v>
      </c>
      <c r="H144" s="4"/>
      <c r="I144" t="s">
        <v>454</v>
      </c>
      <c r="J144">
        <v>77.4229</v>
      </c>
      <c r="K144" s="5">
        <v>0.882563685937881</v>
      </c>
      <c r="L144">
        <v>1.41180347612904</v>
      </c>
      <c r="O144">
        <v>0.0748192</v>
      </c>
      <c r="P144" s="6">
        <v>0.913276805953552</v>
      </c>
      <c r="Q144" s="4">
        <v>0.966370414954749</v>
      </c>
      <c r="R144" s="4"/>
      <c r="T144">
        <v>216.768</v>
      </c>
      <c r="U144" s="7">
        <v>0.315224756421612</v>
      </c>
      <c r="V144">
        <v>2.79979179286748</v>
      </c>
      <c r="Y144">
        <v>0.010413</v>
      </c>
      <c r="Z144" s="8">
        <v>6.56205128205128</v>
      </c>
      <c r="AA144">
        <v>0.134495091245613</v>
      </c>
      <c r="AD144" s="9">
        <v>0.637179</v>
      </c>
      <c r="AE144">
        <v>1.38511106916248</v>
      </c>
      <c r="AH144">
        <v>86.0204</v>
      </c>
      <c r="AI144" s="10">
        <v>0.794353897447582</v>
      </c>
      <c r="AJ144">
        <v>1.11104595668723</v>
      </c>
    </row>
    <row r="145" customFormat="1" spans="1:36">
      <c r="A145" s="1" t="s">
        <v>245</v>
      </c>
      <c r="B145" s="1">
        <v>13447552</v>
      </c>
      <c r="C145" s="2">
        <v>0.000104417</v>
      </c>
      <c r="E145">
        <v>4.109343</v>
      </c>
      <c r="F145">
        <v>3272.43374</v>
      </c>
      <c r="G145" s="3">
        <v>3.27243374</v>
      </c>
      <c r="H145" s="4"/>
      <c r="I145" t="s">
        <v>245</v>
      </c>
      <c r="J145">
        <v>6.33576</v>
      </c>
      <c r="K145" s="5">
        <v>2.12248443754183</v>
      </c>
      <c r="L145">
        <v>0.648595084324557</v>
      </c>
      <c r="O145">
        <v>0.0035312</v>
      </c>
      <c r="P145" s="6">
        <v>3.80821024014499</v>
      </c>
      <c r="Q145" s="4">
        <v>0.557344343851409</v>
      </c>
      <c r="R145" s="4"/>
      <c r="T145">
        <v>68.918</v>
      </c>
      <c r="U145" s="7">
        <v>0.19512394439769</v>
      </c>
      <c r="V145">
        <v>10.8776216270818</v>
      </c>
      <c r="Y145">
        <v>0.00126251</v>
      </c>
      <c r="Z145" s="8">
        <v>10.6514419687765</v>
      </c>
      <c r="AA145">
        <v>0.199267333358587</v>
      </c>
      <c r="AD145" s="9">
        <v>1.980771</v>
      </c>
      <c r="AE145">
        <v>1.07154458417547</v>
      </c>
      <c r="AH145">
        <v>7.4526</v>
      </c>
      <c r="AI145" s="10">
        <v>1.80441080965032</v>
      </c>
      <c r="AJ145">
        <v>1.17627561650063</v>
      </c>
    </row>
    <row r="146" customFormat="1" spans="1:36">
      <c r="A146" s="1" t="s">
        <v>584</v>
      </c>
      <c r="B146" s="1">
        <v>367600496</v>
      </c>
      <c r="C146" s="2">
        <v>0.000104485</v>
      </c>
      <c r="E146">
        <v>374.356208</v>
      </c>
      <c r="F146">
        <v>981.953785</v>
      </c>
      <c r="G146" s="3">
        <v>0.981953785</v>
      </c>
      <c r="H146" s="4"/>
      <c r="I146" t="s">
        <v>584</v>
      </c>
      <c r="J146">
        <v>291.729</v>
      </c>
      <c r="K146" s="5">
        <v>1.2600752616298</v>
      </c>
      <c r="L146">
        <v>1.28323275583667</v>
      </c>
      <c r="O146">
        <v>0.1537024</v>
      </c>
      <c r="P146" s="6">
        <v>2.39163797051965</v>
      </c>
      <c r="Q146" s="4">
        <v>0.526867058125863</v>
      </c>
      <c r="R146" s="4"/>
      <c r="T146">
        <v>742.505</v>
      </c>
      <c r="U146" s="7">
        <v>0.495081509215426</v>
      </c>
      <c r="V146">
        <v>2.54518748564592</v>
      </c>
      <c r="Y146">
        <v>0.00189313</v>
      </c>
      <c r="Z146" s="8">
        <v>194.176044962575</v>
      </c>
      <c r="AA146">
        <v>0.00648934456293341</v>
      </c>
      <c r="AD146" s="9">
        <v>1.33989</v>
      </c>
      <c r="AE146">
        <v>0.940431872489384</v>
      </c>
      <c r="AH146">
        <v>363.4732</v>
      </c>
      <c r="AI146" s="10">
        <v>1.01135515905987</v>
      </c>
      <c r="AJ146">
        <v>1.24592755605374</v>
      </c>
    </row>
    <row r="147" customFormat="1" spans="1:36">
      <c r="A147" s="1" t="s">
        <v>312</v>
      </c>
      <c r="B147" s="1">
        <v>21240028</v>
      </c>
      <c r="C147" s="2">
        <v>0.000105923</v>
      </c>
      <c r="E147">
        <v>18.507747</v>
      </c>
      <c r="F147">
        <v>1147.62907</v>
      </c>
      <c r="G147" s="3">
        <v>1.14762907</v>
      </c>
      <c r="H147" s="4"/>
      <c r="I147" t="s">
        <v>312</v>
      </c>
      <c r="J147">
        <v>17.7353</v>
      </c>
      <c r="K147" s="5">
        <v>1.19761312185303</v>
      </c>
      <c r="L147">
        <v>1.0435541876375</v>
      </c>
      <c r="O147">
        <v>0.0406928</v>
      </c>
      <c r="P147" s="6">
        <v>0.521960346793536</v>
      </c>
      <c r="Q147" s="4">
        <v>2.29445230698099</v>
      </c>
      <c r="R147" s="4"/>
      <c r="T147">
        <v>40.061</v>
      </c>
      <c r="U147" s="7">
        <v>0.530192156960635</v>
      </c>
      <c r="V147">
        <v>2.25882843819952</v>
      </c>
      <c r="Y147">
        <v>0.00606733</v>
      </c>
      <c r="Z147" s="8">
        <v>3.50072074536905</v>
      </c>
      <c r="AA147">
        <v>0.342104728986823</v>
      </c>
      <c r="AD147" s="9">
        <v>0.623181</v>
      </c>
      <c r="AE147">
        <v>1.92177412638227</v>
      </c>
      <c r="AH147">
        <v>20.3014</v>
      </c>
      <c r="AI147" s="10">
        <v>1.04623464391618</v>
      </c>
      <c r="AJ147">
        <v>1.14468884089922</v>
      </c>
    </row>
    <row r="148" customFormat="1" spans="1:36">
      <c r="A148" s="1" t="s">
        <v>222</v>
      </c>
      <c r="B148" s="1">
        <v>10675980</v>
      </c>
      <c r="C148" s="2">
        <v>0.000109393</v>
      </c>
      <c r="E148">
        <v>9.447007</v>
      </c>
      <c r="F148">
        <v>1130.0913</v>
      </c>
      <c r="G148" s="3">
        <v>1.1300913</v>
      </c>
      <c r="H148" s="4"/>
      <c r="I148" t="s">
        <v>222</v>
      </c>
      <c r="J148">
        <v>8.57819</v>
      </c>
      <c r="K148" s="5">
        <v>1.24454925806027</v>
      </c>
      <c r="L148">
        <v>1.10128204514119</v>
      </c>
      <c r="O148">
        <v>0.0171056</v>
      </c>
      <c r="P148" s="6">
        <v>0.624121924983631</v>
      </c>
      <c r="Q148" s="4">
        <v>1.99408033629472</v>
      </c>
      <c r="R148" s="4"/>
      <c r="T148">
        <v>19.887</v>
      </c>
      <c r="U148" s="7">
        <v>0.536832101372756</v>
      </c>
      <c r="V148">
        <v>2.31832123093566</v>
      </c>
      <c r="Y148">
        <v>0.004467</v>
      </c>
      <c r="Z148" s="8">
        <v>2.38996642041639</v>
      </c>
      <c r="AA148">
        <v>0.520739223542496</v>
      </c>
      <c r="AD148" s="9">
        <v>0.646665</v>
      </c>
      <c r="AE148">
        <v>1.92456566856141</v>
      </c>
      <c r="AH148">
        <v>16.9886</v>
      </c>
      <c r="AI148" s="10">
        <v>0.628420234745653</v>
      </c>
      <c r="AJ148">
        <v>1.98044109538259</v>
      </c>
    </row>
    <row r="149" customFormat="1" spans="1:36">
      <c r="A149" s="1" t="s">
        <v>236</v>
      </c>
      <c r="B149" s="1">
        <v>12124540</v>
      </c>
      <c r="C149" s="2">
        <v>0.000118458</v>
      </c>
      <c r="E149">
        <v>9.727849</v>
      </c>
      <c r="F149">
        <v>1246.374247</v>
      </c>
      <c r="G149" s="3">
        <v>1.246374247</v>
      </c>
      <c r="H149" s="4"/>
      <c r="I149" t="s">
        <v>236</v>
      </c>
      <c r="J149">
        <v>10.3223</v>
      </c>
      <c r="K149" s="5">
        <v>1.17459674684906</v>
      </c>
      <c r="L149">
        <v>0.942410956962797</v>
      </c>
      <c r="O149">
        <v>0.0179376</v>
      </c>
      <c r="P149" s="6">
        <v>0.675928775309963</v>
      </c>
      <c r="Q149" s="4">
        <v>1.73775224513917</v>
      </c>
      <c r="R149" s="4"/>
      <c r="T149">
        <v>22.625</v>
      </c>
      <c r="U149" s="7">
        <v>0.535891270718232</v>
      </c>
      <c r="V149">
        <v>2.19185646609767</v>
      </c>
      <c r="Y149">
        <v>0.00635369</v>
      </c>
      <c r="Z149" s="8">
        <v>1.90826747921287</v>
      </c>
      <c r="AA149">
        <v>0.615530453484204</v>
      </c>
      <c r="AD149" s="9">
        <v>0.67686</v>
      </c>
      <c r="AE149">
        <v>1.73536144379791</v>
      </c>
      <c r="AH149">
        <v>17.6902</v>
      </c>
      <c r="AI149" s="10">
        <v>0.685381736780816</v>
      </c>
      <c r="AJ149">
        <v>1.71378471852203</v>
      </c>
    </row>
    <row r="150" customFormat="1" spans="1:36">
      <c r="A150" s="1" t="s">
        <v>258</v>
      </c>
      <c r="B150" s="1">
        <v>14809786</v>
      </c>
      <c r="C150" s="2">
        <v>0.000122986</v>
      </c>
      <c r="E150">
        <v>6.597979</v>
      </c>
      <c r="F150">
        <v>2244.594381</v>
      </c>
      <c r="G150" s="3">
        <v>2.244594381</v>
      </c>
      <c r="H150" s="4"/>
      <c r="I150" t="s">
        <v>258</v>
      </c>
      <c r="J150">
        <v>9.47117</v>
      </c>
      <c r="K150" s="5">
        <v>1.56367016957778</v>
      </c>
      <c r="L150">
        <v>0.696638191209025</v>
      </c>
      <c r="O150">
        <v>0.0040416</v>
      </c>
      <c r="P150" s="6">
        <v>3.66433739113222</v>
      </c>
      <c r="Q150" s="4">
        <v>0.426726581826744</v>
      </c>
      <c r="R150" s="4"/>
      <c r="T150">
        <v>28.067</v>
      </c>
      <c r="U150" s="7">
        <v>0.527658317597178</v>
      </c>
      <c r="V150">
        <v>2.96341423498892</v>
      </c>
      <c r="Y150">
        <v>0.00387645</v>
      </c>
      <c r="Z150" s="8">
        <v>3.82045067007184</v>
      </c>
      <c r="AA150">
        <v>0.409289454206819</v>
      </c>
      <c r="AD150" s="9">
        <v>1.787664</v>
      </c>
      <c r="AE150">
        <v>0.874700262229245</v>
      </c>
      <c r="AH150">
        <v>5.7238</v>
      </c>
      <c r="AI150" s="10">
        <v>2.58740452147175</v>
      </c>
      <c r="AJ150">
        <v>0.604339273817279</v>
      </c>
    </row>
    <row r="151" customFormat="1" spans="1:36">
      <c r="A151" s="1" t="s">
        <v>323</v>
      </c>
      <c r="B151" s="1">
        <v>22273056</v>
      </c>
      <c r="C151" s="2">
        <v>0.000150504</v>
      </c>
      <c r="E151">
        <v>19.156394</v>
      </c>
      <c r="F151">
        <v>1162.695656</v>
      </c>
      <c r="G151" s="3">
        <v>1.162695656</v>
      </c>
      <c r="H151" s="4"/>
      <c r="I151" t="s">
        <v>323</v>
      </c>
      <c r="J151">
        <v>19.4673</v>
      </c>
      <c r="K151" s="5">
        <v>1.14412661231912</v>
      </c>
      <c r="L151">
        <v>0.984029317057257</v>
      </c>
      <c r="O151">
        <v>0.0360992</v>
      </c>
      <c r="P151" s="6">
        <v>0.616995833702686</v>
      </c>
      <c r="Q151" s="4">
        <v>1.85435062900351</v>
      </c>
      <c r="R151" s="4"/>
      <c r="T151">
        <v>41.125</v>
      </c>
      <c r="U151" s="7">
        <v>0.541594066869301</v>
      </c>
      <c r="V151">
        <v>2.11251688729305</v>
      </c>
      <c r="Y151">
        <v>0.0062235</v>
      </c>
      <c r="Z151" s="8">
        <v>3.57886334056399</v>
      </c>
      <c r="AA151">
        <v>0.319689941594366</v>
      </c>
      <c r="AD151" s="9">
        <v>0.644016</v>
      </c>
      <c r="AE151">
        <v>1.77654998062023</v>
      </c>
      <c r="AH151">
        <v>24.8458</v>
      </c>
      <c r="AI151" s="10">
        <v>0.896451553180014</v>
      </c>
      <c r="AJ151">
        <v>1.27628381953327</v>
      </c>
    </row>
    <row r="152" customFormat="1" spans="1:36">
      <c r="A152" s="1" t="s">
        <v>238</v>
      </c>
      <c r="B152" s="1">
        <v>12535672</v>
      </c>
      <c r="C152" s="2">
        <v>0.000156182</v>
      </c>
      <c r="E152">
        <v>11.47736</v>
      </c>
      <c r="F152">
        <v>1092.208671</v>
      </c>
      <c r="G152" s="3">
        <v>1.092208671</v>
      </c>
      <c r="H152" s="4"/>
      <c r="I152" t="s">
        <v>238</v>
      </c>
      <c r="J152">
        <v>11.168</v>
      </c>
      <c r="K152" s="5">
        <v>1.12246346704871</v>
      </c>
      <c r="L152">
        <v>1.02770056386845</v>
      </c>
      <c r="O152">
        <v>0.0219552</v>
      </c>
      <c r="P152" s="6">
        <v>0.570965967060195</v>
      </c>
      <c r="Q152" s="4">
        <v>1.96590257879656</v>
      </c>
      <c r="R152" s="4"/>
      <c r="T152">
        <v>26.875</v>
      </c>
      <c r="U152" s="7">
        <v>0.466443609302326</v>
      </c>
      <c r="V152">
        <v>2.40642908309456</v>
      </c>
      <c r="Y152">
        <v>0.00439412</v>
      </c>
      <c r="Z152" s="8">
        <v>2.8528287802791</v>
      </c>
      <c r="AA152">
        <v>0.393456303724928</v>
      </c>
      <c r="AD152" s="9">
        <v>0.592176</v>
      </c>
      <c r="AE152">
        <v>1.89548962985449</v>
      </c>
      <c r="AH152">
        <v>19.6587</v>
      </c>
      <c r="AI152" s="10">
        <v>0.637665359357435</v>
      </c>
      <c r="AJ152">
        <v>1.76027041547278</v>
      </c>
    </row>
    <row r="153" customFormat="1" spans="1:36">
      <c r="A153" s="1" t="s">
        <v>197</v>
      </c>
      <c r="B153" s="1">
        <v>9977640</v>
      </c>
      <c r="C153" s="2">
        <v>0.000164116</v>
      </c>
      <c r="E153">
        <v>8.531595</v>
      </c>
      <c r="F153">
        <v>1169.492952</v>
      </c>
      <c r="G153" s="3">
        <v>1.169492952</v>
      </c>
      <c r="H153" s="4"/>
      <c r="I153" t="s">
        <v>197</v>
      </c>
      <c r="J153">
        <v>6.66717</v>
      </c>
      <c r="K153" s="5">
        <v>1.49653301175761</v>
      </c>
      <c r="L153">
        <v>1.27964260853246</v>
      </c>
      <c r="O153">
        <v>0.0149904</v>
      </c>
      <c r="P153" s="6">
        <v>0.665601985270573</v>
      </c>
      <c r="Q153" s="4">
        <v>2.24839024653639</v>
      </c>
      <c r="R153" s="4"/>
      <c r="T153">
        <v>18.504</v>
      </c>
      <c r="U153" s="7">
        <v>0.539215304798962</v>
      </c>
      <c r="V153">
        <v>2.77539045802042</v>
      </c>
      <c r="Y153">
        <v>0.00405199</v>
      </c>
      <c r="Z153" s="8">
        <v>2.46240489241089</v>
      </c>
      <c r="AA153">
        <v>0.607752614677592</v>
      </c>
      <c r="AD153" s="9">
        <v>0.690273</v>
      </c>
      <c r="AE153">
        <v>2.16803063680256</v>
      </c>
      <c r="AH153">
        <v>12.8008</v>
      </c>
      <c r="AI153" s="10">
        <v>0.779454409099431</v>
      </c>
      <c r="AJ153">
        <v>1.91997504188434</v>
      </c>
    </row>
    <row r="154" customFormat="1" spans="1:36">
      <c r="A154" s="1" t="s">
        <v>116</v>
      </c>
      <c r="B154" s="1">
        <v>4726912</v>
      </c>
      <c r="C154" s="2">
        <v>0.000166016</v>
      </c>
      <c r="E154">
        <v>3.250079</v>
      </c>
      <c r="F154">
        <v>1454.399318</v>
      </c>
      <c r="G154" s="3">
        <v>1.454399318</v>
      </c>
      <c r="H154" s="4"/>
      <c r="I154" t="s">
        <v>116</v>
      </c>
      <c r="J154">
        <v>3.10737</v>
      </c>
      <c r="K154" s="5">
        <v>1.52119380698147</v>
      </c>
      <c r="L154">
        <v>1.04592582529076</v>
      </c>
      <c r="O154">
        <v>0.005664</v>
      </c>
      <c r="P154" s="6">
        <v>0.834553672316384</v>
      </c>
      <c r="Q154" s="4">
        <v>1.82276330144141</v>
      </c>
      <c r="R154" s="4"/>
      <c r="T154">
        <v>27.492</v>
      </c>
      <c r="U154" s="7">
        <v>0.171937727338862</v>
      </c>
      <c r="V154">
        <v>8.84735322797092</v>
      </c>
      <c r="Y154">
        <v>0.0036085</v>
      </c>
      <c r="Z154" s="8">
        <v>1.30993820146875</v>
      </c>
      <c r="AA154">
        <v>1.16127142889324</v>
      </c>
      <c r="AD154" s="9">
        <v>0.760038</v>
      </c>
      <c r="AE154">
        <v>2.00147072512357</v>
      </c>
      <c r="AH154">
        <v>4.7894</v>
      </c>
      <c r="AI154" s="10">
        <v>0.986952854219735</v>
      </c>
      <c r="AJ154">
        <v>1.54130341735937</v>
      </c>
    </row>
    <row r="155" customFormat="1" spans="1:36">
      <c r="A155" s="1" t="s">
        <v>590</v>
      </c>
      <c r="B155" s="1">
        <v>402990156</v>
      </c>
      <c r="C155" s="2">
        <v>0.000175176</v>
      </c>
      <c r="E155">
        <v>394.209872</v>
      </c>
      <c r="F155">
        <v>1022.27312</v>
      </c>
      <c r="G155" s="3">
        <v>1.02227312</v>
      </c>
      <c r="H155" s="4"/>
      <c r="I155" t="s">
        <v>590</v>
      </c>
      <c r="J155">
        <v>200.346</v>
      </c>
      <c r="K155" s="5">
        <v>2.01147093528196</v>
      </c>
      <c r="L155">
        <v>1.96764533462639</v>
      </c>
      <c r="O155">
        <v>0.1778352</v>
      </c>
      <c r="P155" s="6">
        <v>2.26608768117898</v>
      </c>
      <c r="Q155" s="4">
        <v>0.8876403821389</v>
      </c>
      <c r="R155" s="4"/>
      <c r="T155">
        <v>461.55</v>
      </c>
      <c r="U155" s="7">
        <v>0.873123509912252</v>
      </c>
      <c r="V155">
        <v>2.30376448743673</v>
      </c>
      <c r="Y155">
        <v>0.00192463</v>
      </c>
      <c r="Z155" s="8">
        <v>209.385781163133</v>
      </c>
      <c r="AA155">
        <v>0.00960653070188574</v>
      </c>
      <c r="AD155" s="9">
        <v>1.332624</v>
      </c>
      <c r="AE155">
        <v>1.50940620556283</v>
      </c>
      <c r="AH155">
        <v>399.748</v>
      </c>
      <c r="AI155" s="10">
        <v>1.00811049961476</v>
      </c>
      <c r="AJ155">
        <v>1.99528815149791</v>
      </c>
    </row>
    <row r="156" customFormat="1" spans="1:36">
      <c r="A156" s="1" t="s">
        <v>223</v>
      </c>
      <c r="B156" s="1">
        <v>10709208</v>
      </c>
      <c r="C156" s="2">
        <v>0.000190454</v>
      </c>
      <c r="E156">
        <v>9.614205</v>
      </c>
      <c r="F156">
        <v>1113.894335</v>
      </c>
      <c r="G156" s="3">
        <v>1.113894335</v>
      </c>
      <c r="H156" s="4"/>
      <c r="I156" t="s">
        <v>223</v>
      </c>
      <c r="J156">
        <v>8.58796</v>
      </c>
      <c r="K156" s="5">
        <v>1.2470025477529</v>
      </c>
      <c r="L156">
        <v>1.11949806060635</v>
      </c>
      <c r="O156">
        <v>0.0176352</v>
      </c>
      <c r="P156" s="6">
        <v>0.607263200870985</v>
      </c>
      <c r="Q156" s="4">
        <v>2.05347952249428</v>
      </c>
      <c r="R156" s="4"/>
      <c r="T156">
        <v>20.026</v>
      </c>
      <c r="U156" s="7">
        <v>0.534765205233197</v>
      </c>
      <c r="V156">
        <v>2.33186926813818</v>
      </c>
      <c r="Y156">
        <v>0.00410542</v>
      </c>
      <c r="Z156" s="8">
        <v>2.60855357064563</v>
      </c>
      <c r="AA156">
        <v>0.47804367975631</v>
      </c>
      <c r="AD156" s="9">
        <v>0.624315</v>
      </c>
      <c r="AE156">
        <v>1.99739321937307</v>
      </c>
      <c r="AH156">
        <v>15.6217</v>
      </c>
      <c r="AI156" s="10">
        <v>0.685534096801244</v>
      </c>
      <c r="AJ156">
        <v>1.81902337691373</v>
      </c>
    </row>
    <row r="157" customFormat="1" spans="1:36">
      <c r="A157" s="1" t="s">
        <v>74</v>
      </c>
      <c r="B157" s="1">
        <v>2478256</v>
      </c>
      <c r="C157" s="2">
        <v>0.000196117</v>
      </c>
      <c r="E157">
        <v>1.966489</v>
      </c>
      <c r="F157">
        <v>1260.243921</v>
      </c>
      <c r="G157" s="3">
        <v>1.260243921</v>
      </c>
      <c r="H157" s="4"/>
      <c r="I157" t="s">
        <v>74</v>
      </c>
      <c r="J157">
        <v>1.47139</v>
      </c>
      <c r="K157" s="5">
        <v>1.68429580192879</v>
      </c>
      <c r="L157">
        <v>1.33648397255692</v>
      </c>
      <c r="O157">
        <v>0.0018816</v>
      </c>
      <c r="P157" s="6">
        <v>1.31710034013605</v>
      </c>
      <c r="Q157" s="4">
        <v>1.27879080325407</v>
      </c>
      <c r="R157" s="4"/>
      <c r="T157">
        <v>4.58</v>
      </c>
      <c r="U157" s="7">
        <v>0.541103930131004</v>
      </c>
      <c r="V157">
        <v>3.11270295434929</v>
      </c>
      <c r="Y157">
        <v>0.00326587</v>
      </c>
      <c r="Z157" s="8">
        <v>0.758834858705337</v>
      </c>
      <c r="AA157">
        <v>2.21958148417483</v>
      </c>
      <c r="AD157" s="9">
        <v>0.889269</v>
      </c>
      <c r="AE157">
        <v>1.89402284565052</v>
      </c>
      <c r="AH157">
        <v>1.9362</v>
      </c>
      <c r="AI157" s="10">
        <v>1.27995868195434</v>
      </c>
      <c r="AJ157">
        <v>1.31589857209849</v>
      </c>
    </row>
    <row r="158" customFormat="1" spans="1:36">
      <c r="A158" s="1" t="s">
        <v>233</v>
      </c>
      <c r="B158" s="1">
        <v>11809756</v>
      </c>
      <c r="C158" s="2">
        <v>0.000203662</v>
      </c>
      <c r="E158">
        <v>10.276481</v>
      </c>
      <c r="F158">
        <v>1149.202365</v>
      </c>
      <c r="G158" s="3">
        <v>1.149202365</v>
      </c>
      <c r="H158" s="4"/>
      <c r="I158" t="s">
        <v>233</v>
      </c>
      <c r="J158">
        <v>10.1504</v>
      </c>
      <c r="K158" s="5">
        <v>1.163476907314</v>
      </c>
      <c r="L158">
        <v>1.01242126082293</v>
      </c>
      <c r="O158">
        <v>0.0169888</v>
      </c>
      <c r="P158" s="6">
        <v>0.695149510265587</v>
      </c>
      <c r="Q158" s="4">
        <v>1.67370744010088</v>
      </c>
      <c r="R158" s="4"/>
      <c r="T158">
        <v>22.417</v>
      </c>
      <c r="U158" s="7">
        <v>0.526821430164607</v>
      </c>
      <c r="V158">
        <v>2.20848439470366</v>
      </c>
      <c r="Y158">
        <v>0.00451965</v>
      </c>
      <c r="Z158" s="8">
        <v>2.61298020864447</v>
      </c>
      <c r="AA158">
        <v>0.445268166771753</v>
      </c>
      <c r="AD158" s="9">
        <v>0.686322</v>
      </c>
      <c r="AE158">
        <v>1.69523475469823</v>
      </c>
      <c r="AH158">
        <v>16.1525</v>
      </c>
      <c r="AI158" s="10">
        <v>0.731141061755146</v>
      </c>
      <c r="AJ158">
        <v>1.59131659836066</v>
      </c>
    </row>
    <row r="159" customFormat="1" spans="1:36">
      <c r="A159" s="1" t="s">
        <v>355</v>
      </c>
      <c r="B159" s="1">
        <v>29710592</v>
      </c>
      <c r="C159" s="2">
        <v>0.000207857</v>
      </c>
      <c r="E159">
        <v>8.773824</v>
      </c>
      <c r="F159">
        <v>3386.276291</v>
      </c>
      <c r="G159" s="3">
        <v>3.386276291</v>
      </c>
      <c r="H159" s="4"/>
      <c r="I159" t="s">
        <v>355</v>
      </c>
      <c r="J159">
        <v>8.88954</v>
      </c>
      <c r="K159" s="5">
        <v>3.34219678408557</v>
      </c>
      <c r="L159">
        <v>0.98698289710394</v>
      </c>
      <c r="O159">
        <v>0.008552</v>
      </c>
      <c r="P159" s="6">
        <v>3.47411038353601</v>
      </c>
      <c r="Q159" s="4">
        <v>0.96202953133683</v>
      </c>
      <c r="R159" s="4"/>
      <c r="T159">
        <v>22.52</v>
      </c>
      <c r="U159" s="7">
        <v>1.31929804618117</v>
      </c>
      <c r="V159">
        <v>2.53331443471766</v>
      </c>
      <c r="Y159">
        <v>0.00991494</v>
      </c>
      <c r="Z159" s="8">
        <v>2.9965478358921</v>
      </c>
      <c r="AA159">
        <v>1.11534905068204</v>
      </c>
      <c r="AD159" s="9">
        <v>1.832673</v>
      </c>
      <c r="AE159">
        <v>1.82367328164139</v>
      </c>
      <c r="AH159">
        <v>10.7991</v>
      </c>
      <c r="AI159" s="10">
        <v>2.75121000824143</v>
      </c>
      <c r="AJ159">
        <v>1.2148097651847</v>
      </c>
    </row>
    <row r="160" customFormat="1" spans="1:36">
      <c r="A160" s="1" t="s">
        <v>187</v>
      </c>
      <c r="B160" s="1">
        <v>9042684</v>
      </c>
      <c r="C160" s="2">
        <v>0.000212123</v>
      </c>
      <c r="E160">
        <v>5.790158</v>
      </c>
      <c r="F160">
        <v>1561.733439</v>
      </c>
      <c r="G160" s="3">
        <v>1.561733439</v>
      </c>
      <c r="H160" s="4"/>
      <c r="I160" t="s">
        <v>187</v>
      </c>
      <c r="J160">
        <v>6.03508</v>
      </c>
      <c r="K160" s="5">
        <v>1.49835362580115</v>
      </c>
      <c r="L160">
        <v>0.959417009576593</v>
      </c>
      <c r="O160">
        <v>0.010344</v>
      </c>
      <c r="P160" s="6">
        <v>0.874196055684455</v>
      </c>
      <c r="Q160" s="4">
        <v>1.71397893648469</v>
      </c>
      <c r="R160" s="4"/>
      <c r="T160">
        <v>18.131</v>
      </c>
      <c r="U160" s="7">
        <v>0.498741602779769</v>
      </c>
      <c r="V160">
        <v>3.00426837755258</v>
      </c>
      <c r="Y160">
        <v>0.00368941</v>
      </c>
      <c r="Z160" s="8">
        <v>2.45098376163126</v>
      </c>
      <c r="AA160">
        <v>0.611327438907189</v>
      </c>
      <c r="AD160" s="9">
        <v>0.735111</v>
      </c>
      <c r="AE160">
        <v>2.03826854148713</v>
      </c>
      <c r="AH160">
        <v>9.4794</v>
      </c>
      <c r="AI160" s="10">
        <v>0.95392999556934</v>
      </c>
      <c r="AJ160">
        <v>1.57071654393977</v>
      </c>
    </row>
    <row r="161" customFormat="1" spans="1:36">
      <c r="A161" s="1" t="s">
        <v>135</v>
      </c>
      <c r="B161" s="1">
        <v>5468718</v>
      </c>
      <c r="C161" s="2">
        <v>0.000230521</v>
      </c>
      <c r="E161">
        <v>2.152448</v>
      </c>
      <c r="F161">
        <v>2540.697046</v>
      </c>
      <c r="G161" s="3">
        <v>2.540697046</v>
      </c>
      <c r="H161" s="4"/>
      <c r="I161" t="s">
        <v>135</v>
      </c>
      <c r="J161">
        <v>1.71453</v>
      </c>
      <c r="K161" s="5">
        <v>3.18963097758569</v>
      </c>
      <c r="L161">
        <v>1.25541570672795</v>
      </c>
      <c r="O161">
        <v>0.0024032</v>
      </c>
      <c r="P161" s="6">
        <v>2.27559836884154</v>
      </c>
      <c r="Q161" s="4">
        <v>1.40166692912927</v>
      </c>
      <c r="R161" s="4"/>
      <c r="T161">
        <v>38.11</v>
      </c>
      <c r="U161" s="7">
        <v>0.143498241931252</v>
      </c>
      <c r="V161">
        <v>22.2276658909439</v>
      </c>
      <c r="Y161">
        <v>0.00590779</v>
      </c>
      <c r="Z161" s="8">
        <v>0.925679145670378</v>
      </c>
      <c r="AA161">
        <v>3.44571981825923</v>
      </c>
      <c r="AD161" s="9">
        <v>1.039278</v>
      </c>
      <c r="AE161">
        <v>3.06908351527281</v>
      </c>
      <c r="AH161">
        <v>5.5144</v>
      </c>
      <c r="AI161" s="10">
        <v>0.991715871173654</v>
      </c>
      <c r="AJ161">
        <v>3.21627501414382</v>
      </c>
    </row>
    <row r="162" customFormat="1" spans="1:36">
      <c r="A162" s="1" t="s">
        <v>29</v>
      </c>
      <c r="B162" s="1">
        <v>1121648</v>
      </c>
      <c r="C162" s="2">
        <v>0.000236072</v>
      </c>
      <c r="E162">
        <v>1.195471</v>
      </c>
      <c r="F162">
        <v>938.247907</v>
      </c>
      <c r="G162" s="3">
        <v>0.938247907</v>
      </c>
      <c r="H162" s="4"/>
      <c r="I162" t="s">
        <v>29</v>
      </c>
      <c r="J162">
        <v>0.944676</v>
      </c>
      <c r="K162" s="5">
        <v>1.18733618722186</v>
      </c>
      <c r="L162">
        <v>1.26548237237034</v>
      </c>
      <c r="O162">
        <v>0.0005888</v>
      </c>
      <c r="P162" s="6">
        <v>1.90497282608696</v>
      </c>
      <c r="Q162" s="4">
        <v>0.623282479919041</v>
      </c>
      <c r="R162" s="4"/>
      <c r="T162">
        <v>1.222</v>
      </c>
      <c r="U162" s="7">
        <v>0.917878887070376</v>
      </c>
      <c r="V162">
        <v>1.29356520119067</v>
      </c>
      <c r="Y162">
        <v>0.00176734</v>
      </c>
      <c r="Z162" s="8">
        <v>0.634653207645388</v>
      </c>
      <c r="AA162">
        <v>1.87084248991189</v>
      </c>
      <c r="AD162" s="9">
        <v>1.126602</v>
      </c>
      <c r="AE162">
        <v>1.05390917752841</v>
      </c>
      <c r="AH162">
        <v>1.1609</v>
      </c>
      <c r="AI162" s="10">
        <v>0.966188302179343</v>
      </c>
      <c r="AJ162">
        <v>1.22888694113114</v>
      </c>
    </row>
    <row r="163" customFormat="1" spans="1:36">
      <c r="A163" s="1" t="s">
        <v>322</v>
      </c>
      <c r="B163" s="1">
        <v>22181292</v>
      </c>
      <c r="C163" s="2">
        <v>0.000241721</v>
      </c>
      <c r="E163">
        <v>12.296191</v>
      </c>
      <c r="F163">
        <v>1803.915752</v>
      </c>
      <c r="G163" s="3">
        <v>1.803915752</v>
      </c>
      <c r="H163" s="4"/>
      <c r="I163" t="s">
        <v>322</v>
      </c>
      <c r="J163">
        <v>7.99236</v>
      </c>
      <c r="K163" s="5">
        <v>2.77531192288636</v>
      </c>
      <c r="L163">
        <v>1.5384930919359</v>
      </c>
      <c r="O163">
        <v>0.009352</v>
      </c>
      <c r="P163" s="6">
        <v>2.37182335329341</v>
      </c>
      <c r="Q163" s="4">
        <v>1.17011746217638</v>
      </c>
      <c r="R163" s="4"/>
      <c r="T163">
        <v>54.404</v>
      </c>
      <c r="U163" s="7">
        <v>0.407714359238291</v>
      </c>
      <c r="V163">
        <v>6.8070006856548</v>
      </c>
      <c r="Y163">
        <v>0.00344358</v>
      </c>
      <c r="Z163" s="8">
        <v>6.44134650567142</v>
      </c>
      <c r="AA163">
        <v>0.430858970316652</v>
      </c>
      <c r="AD163" s="9">
        <v>1.379901</v>
      </c>
      <c r="AE163">
        <v>2.01123988089461</v>
      </c>
      <c r="AH163">
        <v>23.1329</v>
      </c>
      <c r="AI163" s="10">
        <v>0.95886343692317</v>
      </c>
      <c r="AJ163">
        <v>2.89437662968135</v>
      </c>
    </row>
    <row r="164" customFormat="1" spans="1:36">
      <c r="A164" s="1" t="s">
        <v>35</v>
      </c>
      <c r="B164" s="1">
        <v>1544336</v>
      </c>
      <c r="C164" s="2">
        <v>0.000254323</v>
      </c>
      <c r="E164">
        <v>1.388059</v>
      </c>
      <c r="F164">
        <v>1112.586752</v>
      </c>
      <c r="G164" s="3">
        <v>1.112586752</v>
      </c>
      <c r="H164" s="4"/>
      <c r="I164" t="s">
        <v>35</v>
      </c>
      <c r="J164">
        <v>0.946418</v>
      </c>
      <c r="K164" s="5">
        <v>1.63176947184014</v>
      </c>
      <c r="L164">
        <v>1.46664470784579</v>
      </c>
      <c r="O164">
        <v>0.0012864</v>
      </c>
      <c r="P164" s="6">
        <v>1.20050995024876</v>
      </c>
      <c r="Q164" s="4">
        <v>1.35923027668535</v>
      </c>
      <c r="R164" s="4"/>
      <c r="T164">
        <v>2.946</v>
      </c>
      <c r="U164" s="7">
        <v>0.524214528173795</v>
      </c>
      <c r="V164">
        <v>3.11278948625237</v>
      </c>
      <c r="Y164">
        <v>0.0033342</v>
      </c>
      <c r="Z164" s="8">
        <v>0.463180373102993</v>
      </c>
      <c r="AA164">
        <v>3.52296765277076</v>
      </c>
      <c r="AD164" s="9">
        <v>0.668019</v>
      </c>
      <c r="AE164">
        <v>2.44269919244833</v>
      </c>
      <c r="AH164">
        <v>1.5673</v>
      </c>
      <c r="AI164" s="10">
        <v>0.985348050787979</v>
      </c>
      <c r="AJ164">
        <v>1.65603359192239</v>
      </c>
    </row>
    <row r="165" customFormat="1" spans="1:36">
      <c r="A165" s="1" t="s">
        <v>175</v>
      </c>
      <c r="B165" s="1">
        <v>7700220</v>
      </c>
      <c r="C165" s="2">
        <v>0.000270563</v>
      </c>
      <c r="E165">
        <v>7.372888</v>
      </c>
      <c r="F165">
        <v>1044.396695</v>
      </c>
      <c r="G165" s="3">
        <v>1.044396695</v>
      </c>
      <c r="H165" s="4"/>
      <c r="I165" t="s">
        <v>175</v>
      </c>
      <c r="J165">
        <v>5.45433</v>
      </c>
      <c r="K165" s="5">
        <v>1.4117627646292</v>
      </c>
      <c r="L165">
        <v>1.35174955205043</v>
      </c>
      <c r="O165">
        <v>0.0108592</v>
      </c>
      <c r="P165" s="6">
        <v>0.709096434359806</v>
      </c>
      <c r="Q165" s="4">
        <v>1.99093197514635</v>
      </c>
      <c r="R165" s="4"/>
      <c r="T165">
        <v>14.2</v>
      </c>
      <c r="U165" s="7">
        <v>0.542269014084507</v>
      </c>
      <c r="V165">
        <v>2.60343616906201</v>
      </c>
      <c r="Y165">
        <v>0.00381253</v>
      </c>
      <c r="Z165" s="8">
        <v>2.01971394323454</v>
      </c>
      <c r="AA165">
        <v>0.698991443495351</v>
      </c>
      <c r="AD165" s="9">
        <v>0.716655</v>
      </c>
      <c r="AE165">
        <v>1.96993360072727</v>
      </c>
      <c r="AH165">
        <v>10.3354</v>
      </c>
      <c r="AI165" s="10">
        <v>0.745033573930375</v>
      </c>
      <c r="AJ165">
        <v>1.89489818181151</v>
      </c>
    </row>
    <row r="166" customFormat="1" spans="1:36">
      <c r="A166" s="1" t="s">
        <v>318</v>
      </c>
      <c r="B166" s="1">
        <v>21803520</v>
      </c>
      <c r="C166" s="2">
        <v>0.000281294</v>
      </c>
      <c r="E166">
        <v>17.945209</v>
      </c>
      <c r="F166">
        <v>1215.005071</v>
      </c>
      <c r="G166" s="3">
        <v>1.215005071</v>
      </c>
      <c r="H166" s="4"/>
      <c r="I166" t="s">
        <v>318</v>
      </c>
      <c r="J166">
        <v>17.5404</v>
      </c>
      <c r="K166" s="5">
        <v>1.24304576862557</v>
      </c>
      <c r="L166">
        <v>1.02307866715527</v>
      </c>
      <c r="O166">
        <v>0.0309584</v>
      </c>
      <c r="P166" s="6">
        <v>0.704284459145175</v>
      </c>
      <c r="Q166" s="4">
        <v>1.7649768534355</v>
      </c>
      <c r="R166" s="4"/>
      <c r="T166">
        <v>40.936</v>
      </c>
      <c r="U166" s="7">
        <v>0.532624584717608</v>
      </c>
      <c r="V166">
        <v>2.33381222777132</v>
      </c>
      <c r="Y166">
        <v>0.00602638</v>
      </c>
      <c r="Z166" s="8">
        <v>3.61801280370637</v>
      </c>
      <c r="AA166">
        <v>0.343571412282502</v>
      </c>
      <c r="AD166" s="9">
        <v>0.649947</v>
      </c>
      <c r="AE166">
        <v>1.91253405066193</v>
      </c>
      <c r="AH166">
        <v>25.7927</v>
      </c>
      <c r="AI166" s="10">
        <v>0.845336858878675</v>
      </c>
      <c r="AJ166">
        <v>1.47047387744863</v>
      </c>
    </row>
    <row r="167" customFormat="1" spans="1:36">
      <c r="A167" s="1" t="s">
        <v>493</v>
      </c>
      <c r="B167" s="1">
        <v>99075790</v>
      </c>
      <c r="C167" s="2">
        <v>0.000288809</v>
      </c>
      <c r="E167">
        <v>16.658666</v>
      </c>
      <c r="F167">
        <v>5947.402421</v>
      </c>
      <c r="G167" s="3">
        <v>5.947402421</v>
      </c>
      <c r="H167" s="4"/>
      <c r="I167" t="s">
        <v>493</v>
      </c>
      <c r="J167">
        <v>18.4972</v>
      </c>
      <c r="K167" s="5">
        <v>5.35625878511342</v>
      </c>
      <c r="L167">
        <v>0.900604735640676</v>
      </c>
      <c r="O167">
        <v>0.0169936</v>
      </c>
      <c r="P167" s="6">
        <v>5.83018253930892</v>
      </c>
      <c r="Q167" s="4">
        <v>0.918712021278896</v>
      </c>
      <c r="R167" s="4"/>
      <c r="T167">
        <v>427.548</v>
      </c>
      <c r="U167" s="7">
        <v>0.231730215086961</v>
      </c>
      <c r="V167">
        <v>23.1142010682698</v>
      </c>
      <c r="Y167">
        <v>0.0011836</v>
      </c>
      <c r="Z167" s="8">
        <v>83.707156133829</v>
      </c>
      <c r="AA167">
        <v>0.0639880630581926</v>
      </c>
      <c r="AD167" s="9">
        <v>2.411379</v>
      </c>
      <c r="AE167">
        <v>2.22124302530354</v>
      </c>
      <c r="AH167">
        <v>47.0163</v>
      </c>
      <c r="AI167" s="10">
        <v>2.10726471457771</v>
      </c>
      <c r="AJ167">
        <v>2.54180632744415</v>
      </c>
    </row>
    <row r="168" customFormat="1" spans="1:36">
      <c r="A168" s="1" t="s">
        <v>427</v>
      </c>
      <c r="B168" s="1">
        <v>54370360</v>
      </c>
      <c r="C168" s="2">
        <v>0.000294066</v>
      </c>
      <c r="E168">
        <v>33.070401</v>
      </c>
      <c r="F168">
        <v>1644.079259</v>
      </c>
      <c r="G168" s="3">
        <v>1.644079259</v>
      </c>
      <c r="H168" s="4"/>
      <c r="I168" t="s">
        <v>427</v>
      </c>
      <c r="J168">
        <v>44.6946</v>
      </c>
      <c r="K168" s="5">
        <v>1.21648610794145</v>
      </c>
      <c r="L168">
        <v>0.739919381186872</v>
      </c>
      <c r="O168">
        <v>0.03216</v>
      </c>
      <c r="P168" s="6">
        <v>1.69062064676617</v>
      </c>
      <c r="Q168" s="4">
        <v>0.719550012753219</v>
      </c>
      <c r="R168" s="4"/>
      <c r="T168">
        <v>222.005</v>
      </c>
      <c r="U168" s="7">
        <v>0.244906015630279</v>
      </c>
      <c r="V168">
        <v>4.96715486882084</v>
      </c>
      <c r="Y168">
        <v>0.00750515</v>
      </c>
      <c r="Z168" s="8">
        <v>7.2444068406361</v>
      </c>
      <c r="AA168">
        <v>0.167920733153446</v>
      </c>
      <c r="AD168" s="9">
        <v>1.04595</v>
      </c>
      <c r="AE168">
        <v>1.16304422576744</v>
      </c>
      <c r="AH168">
        <v>73.6118</v>
      </c>
      <c r="AI168" s="10">
        <v>0.738609299052598</v>
      </c>
      <c r="AJ168">
        <v>1.64699538646727</v>
      </c>
    </row>
    <row r="169" customFormat="1" spans="1:36">
      <c r="A169" s="1" t="s">
        <v>146</v>
      </c>
      <c r="B169" s="1">
        <v>6011316</v>
      </c>
      <c r="C169" s="2">
        <v>0.000327439</v>
      </c>
      <c r="E169">
        <v>3.81463</v>
      </c>
      <c r="F169">
        <v>1575.858334</v>
      </c>
      <c r="G169" s="3">
        <v>1.575858334</v>
      </c>
      <c r="H169" s="4"/>
      <c r="I169" t="s">
        <v>146</v>
      </c>
      <c r="J169">
        <v>5.20037</v>
      </c>
      <c r="K169" s="5">
        <v>1.15594005811125</v>
      </c>
      <c r="L169">
        <v>0.733530440631124</v>
      </c>
      <c r="O169">
        <v>0.003464</v>
      </c>
      <c r="P169" s="6">
        <v>1.73536836027714</v>
      </c>
      <c r="Q169" s="4">
        <v>0.666106450117972</v>
      </c>
      <c r="R169" s="4"/>
      <c r="T169">
        <v>12.611</v>
      </c>
      <c r="U169" s="7">
        <v>0.476672428831972</v>
      </c>
      <c r="V169">
        <v>2.42501975820951</v>
      </c>
      <c r="Y169">
        <v>0.00417783</v>
      </c>
      <c r="Z169" s="8">
        <v>1.43886084402668</v>
      </c>
      <c r="AA169">
        <v>0.803371683168698</v>
      </c>
      <c r="AD169" s="9">
        <v>0.937812</v>
      </c>
      <c r="AE169">
        <v>1.23259252186072</v>
      </c>
      <c r="AH169">
        <v>3.8115</v>
      </c>
      <c r="AI169" s="10">
        <v>1.57715230224321</v>
      </c>
      <c r="AJ169">
        <v>0.732928618540604</v>
      </c>
    </row>
    <row r="170" customFormat="1" spans="1:36">
      <c r="A170" s="1" t="s">
        <v>57</v>
      </c>
      <c r="B170" s="1">
        <v>2034652</v>
      </c>
      <c r="C170" s="2">
        <v>0.000328839</v>
      </c>
      <c r="E170">
        <v>1.104128</v>
      </c>
      <c r="F170">
        <v>1842.76891</v>
      </c>
      <c r="G170" s="3">
        <v>1.84276891</v>
      </c>
      <c r="H170" s="4"/>
      <c r="I170" t="s">
        <v>57</v>
      </c>
      <c r="J170">
        <v>0.717454</v>
      </c>
      <c r="K170" s="5">
        <v>2.83593373233685</v>
      </c>
      <c r="L170">
        <v>1.53895245190394</v>
      </c>
      <c r="O170">
        <v>0.0037824</v>
      </c>
      <c r="P170" s="6">
        <v>0.537926184433164</v>
      </c>
      <c r="Q170" s="4">
        <v>5.27197562491811</v>
      </c>
      <c r="R170" s="4"/>
      <c r="T170">
        <v>1.737</v>
      </c>
      <c r="U170" s="7">
        <v>1.17135981577432</v>
      </c>
      <c r="V170">
        <v>2.42106114120208</v>
      </c>
      <c r="Y170">
        <v>0.0018004</v>
      </c>
      <c r="Z170" s="8">
        <v>1.13011108642524</v>
      </c>
      <c r="AA170">
        <v>2.50942917594717</v>
      </c>
      <c r="AD170" s="9">
        <v>1.417593</v>
      </c>
      <c r="AE170">
        <v>2.00052746616049</v>
      </c>
      <c r="AH170">
        <v>1.757</v>
      </c>
      <c r="AI170" s="10">
        <v>1.15802618099032</v>
      </c>
      <c r="AJ170">
        <v>2.44893749285668</v>
      </c>
    </row>
    <row r="171" customFormat="1" spans="1:36">
      <c r="A171" s="1" t="s">
        <v>80</v>
      </c>
      <c r="B171" s="1">
        <v>2763978</v>
      </c>
      <c r="C171" s="2">
        <v>0.000350345</v>
      </c>
      <c r="E171">
        <v>1.589278</v>
      </c>
      <c r="F171">
        <v>1739.140191</v>
      </c>
      <c r="G171" s="3">
        <v>1.739140191</v>
      </c>
      <c r="H171" s="4"/>
      <c r="I171" t="s">
        <v>80</v>
      </c>
      <c r="J171">
        <v>1.09748</v>
      </c>
      <c r="K171" s="5">
        <v>2.51847687429384</v>
      </c>
      <c r="L171">
        <v>1.44811607904117</v>
      </c>
      <c r="O171">
        <v>0.0014848</v>
      </c>
      <c r="P171" s="6">
        <v>1.86151535560345</v>
      </c>
      <c r="Q171" s="4">
        <v>1.35291759303131</v>
      </c>
      <c r="R171" s="4"/>
      <c r="T171">
        <v>9.951</v>
      </c>
      <c r="U171" s="7">
        <v>0.277758818209225</v>
      </c>
      <c r="V171">
        <v>9.0671356197835</v>
      </c>
      <c r="Y171">
        <v>0.00387283</v>
      </c>
      <c r="Z171" s="8">
        <v>0.71368430837398</v>
      </c>
      <c r="AA171">
        <v>3.52883879432883</v>
      </c>
      <c r="AD171" s="9">
        <v>0.973863</v>
      </c>
      <c r="AE171">
        <v>2.5860689586665</v>
      </c>
      <c r="AH171">
        <v>2.6121</v>
      </c>
      <c r="AI171" s="10">
        <v>1.05814402205122</v>
      </c>
      <c r="AJ171">
        <v>2.38008893100558</v>
      </c>
    </row>
    <row r="172" customFormat="1" spans="1:36">
      <c r="A172" s="1" t="s">
        <v>506</v>
      </c>
      <c r="B172" s="1">
        <v>113274026</v>
      </c>
      <c r="C172" s="2">
        <v>0.000371235</v>
      </c>
      <c r="E172">
        <v>22.713908</v>
      </c>
      <c r="F172">
        <v>4986.989729</v>
      </c>
      <c r="G172" s="3">
        <v>4.986989729</v>
      </c>
      <c r="H172" s="4"/>
      <c r="I172" t="s">
        <v>506</v>
      </c>
      <c r="J172">
        <v>43.3928</v>
      </c>
      <c r="K172" s="5">
        <v>2.6104336664147</v>
      </c>
      <c r="L172">
        <v>0.52344877536737</v>
      </c>
      <c r="O172">
        <v>0.0425248</v>
      </c>
      <c r="P172" s="6">
        <v>2.66371684287757</v>
      </c>
      <c r="Q172" s="4">
        <v>0.979996681477111</v>
      </c>
      <c r="R172" s="4"/>
      <c r="T172">
        <v>671.574</v>
      </c>
      <c r="U172" s="7">
        <v>0.168669463082252</v>
      </c>
      <c r="V172">
        <v>15.4766228498737</v>
      </c>
      <c r="Y172">
        <v>0.00136102</v>
      </c>
      <c r="Z172" s="8">
        <v>83.2273045216088</v>
      </c>
      <c r="AA172">
        <v>0.031365111262698</v>
      </c>
      <c r="AD172" s="9">
        <v>1.447191</v>
      </c>
      <c r="AE172">
        <v>1.80379346362346</v>
      </c>
      <c r="AH172">
        <v>88.4872</v>
      </c>
      <c r="AI172" s="10">
        <v>1.28011764413384</v>
      </c>
      <c r="AJ172">
        <v>2.03921387880017</v>
      </c>
    </row>
    <row r="173" customFormat="1" spans="1:36">
      <c r="A173" s="1" t="s">
        <v>505</v>
      </c>
      <c r="B173" s="1">
        <v>113274026</v>
      </c>
      <c r="C173" s="2">
        <v>0.000371235</v>
      </c>
      <c r="E173">
        <v>22.518775</v>
      </c>
      <c r="F173">
        <v>5030.203624</v>
      </c>
      <c r="G173" s="3">
        <v>5.030203624</v>
      </c>
      <c r="H173" s="4"/>
      <c r="I173" t="s">
        <v>505</v>
      </c>
      <c r="J173">
        <v>43.4248</v>
      </c>
      <c r="K173" s="5">
        <v>2.60851002192296</v>
      </c>
      <c r="L173">
        <v>0.518569468933085</v>
      </c>
      <c r="O173">
        <v>0.0430688</v>
      </c>
      <c r="P173" s="6">
        <v>2.63007155992273</v>
      </c>
      <c r="Q173" s="4">
        <v>0.99180191964039</v>
      </c>
      <c r="R173" s="4"/>
      <c r="T173">
        <v>669.241</v>
      </c>
      <c r="U173" s="7">
        <v>0.169257451351606</v>
      </c>
      <c r="V173">
        <v>15.4114929717581</v>
      </c>
      <c r="Y173">
        <v>0.00131594</v>
      </c>
      <c r="Z173" s="8">
        <v>86.0784123896226</v>
      </c>
      <c r="AA173">
        <v>0.0303038816528804</v>
      </c>
      <c r="AD173" s="9">
        <v>1.459686</v>
      </c>
      <c r="AE173">
        <v>1.78703503487939</v>
      </c>
      <c r="AH173">
        <v>91.6266</v>
      </c>
      <c r="AI173" s="10">
        <v>1.23625700397046</v>
      </c>
      <c r="AJ173">
        <v>2.11000626370185</v>
      </c>
    </row>
    <row r="174" customFormat="1" spans="1:36">
      <c r="A174" s="1" t="s">
        <v>276</v>
      </c>
      <c r="B174" s="1">
        <v>16184776</v>
      </c>
      <c r="C174" s="2">
        <v>0.000377624</v>
      </c>
      <c r="E174">
        <v>12.846377</v>
      </c>
      <c r="F174">
        <v>1259.870818</v>
      </c>
      <c r="G174" s="3">
        <v>1.259870818</v>
      </c>
      <c r="H174" s="4"/>
      <c r="I174" t="s">
        <v>276</v>
      </c>
      <c r="J174">
        <v>14.0565</v>
      </c>
      <c r="K174" s="5">
        <v>1.15140867214456</v>
      </c>
      <c r="L174">
        <v>0.913910105460161</v>
      </c>
      <c r="O174">
        <v>0.0237728</v>
      </c>
      <c r="P174" s="6">
        <v>0.68081067438417</v>
      </c>
      <c r="Q174" s="4">
        <v>1.69123181446306</v>
      </c>
      <c r="R174" s="4"/>
      <c r="T174">
        <v>30.658</v>
      </c>
      <c r="U174" s="7">
        <v>0.527913627764368</v>
      </c>
      <c r="V174">
        <v>2.18105502792302</v>
      </c>
      <c r="Y174">
        <v>0.00497185</v>
      </c>
      <c r="Z174" s="8">
        <v>3.25528244013798</v>
      </c>
      <c r="AA174">
        <v>0.353704691779604</v>
      </c>
      <c r="AD174" s="9">
        <v>0.683094</v>
      </c>
      <c r="AE174">
        <v>1.68557866434862</v>
      </c>
      <c r="AH174">
        <v>24.7147</v>
      </c>
      <c r="AI174" s="10">
        <v>0.654864351984851</v>
      </c>
      <c r="AJ174">
        <v>1.75823996016078</v>
      </c>
    </row>
    <row r="175" customFormat="1" spans="1:36">
      <c r="A175" s="1" t="s">
        <v>182</v>
      </c>
      <c r="B175" s="1">
        <v>8293828</v>
      </c>
      <c r="C175" s="2">
        <v>0.000391313</v>
      </c>
      <c r="E175">
        <v>1.569876</v>
      </c>
      <c r="F175">
        <v>5283.110947</v>
      </c>
      <c r="G175" s="3">
        <v>5.283110947</v>
      </c>
      <c r="H175" s="4"/>
      <c r="I175" t="s">
        <v>182</v>
      </c>
      <c r="J175">
        <v>1.25426</v>
      </c>
      <c r="K175" s="5">
        <v>6.61252690829653</v>
      </c>
      <c r="L175">
        <v>1.2516350640055</v>
      </c>
      <c r="O175">
        <v>0.0021312</v>
      </c>
      <c r="P175" s="6">
        <v>3.8916234984985</v>
      </c>
      <c r="Q175" s="4">
        <v>1.69916923125987</v>
      </c>
      <c r="R175" s="4"/>
      <c r="T175">
        <v>9.653</v>
      </c>
      <c r="U175" s="7">
        <v>0.859196933595773</v>
      </c>
      <c r="V175">
        <v>7.69617144770622</v>
      </c>
      <c r="Y175">
        <v>0.00261848</v>
      </c>
      <c r="Z175" s="8">
        <v>3.16742079374294</v>
      </c>
      <c r="AA175">
        <v>2.08766922328704</v>
      </c>
      <c r="AD175" s="9">
        <v>1.830756</v>
      </c>
      <c r="AE175">
        <v>3.61191054859114</v>
      </c>
      <c r="AH175">
        <v>2.4273</v>
      </c>
      <c r="AI175" s="10">
        <v>3.41689449182219</v>
      </c>
      <c r="AJ175">
        <v>1.93524468610974</v>
      </c>
    </row>
    <row r="176" customFormat="1" spans="1:36">
      <c r="A176" s="1" t="s">
        <v>271</v>
      </c>
      <c r="B176" s="1">
        <v>15630000</v>
      </c>
      <c r="C176" s="2">
        <v>0.000441419</v>
      </c>
      <c r="E176">
        <v>13.477427</v>
      </c>
      <c r="F176">
        <v>1159.716908</v>
      </c>
      <c r="G176" s="3">
        <v>1.159716908</v>
      </c>
      <c r="H176" s="4"/>
      <c r="I176" t="s">
        <v>271</v>
      </c>
      <c r="J176">
        <v>11.8998</v>
      </c>
      <c r="K176" s="5">
        <v>1.31346745323451</v>
      </c>
      <c r="L176">
        <v>1.1325759279475</v>
      </c>
      <c r="O176">
        <v>0.0222752</v>
      </c>
      <c r="P176" s="6">
        <v>0.701677201551501</v>
      </c>
      <c r="Q176" s="4">
        <v>1.87189700667238</v>
      </c>
      <c r="R176" s="4"/>
      <c r="T176">
        <v>29.691</v>
      </c>
      <c r="U176" s="7">
        <v>0.526422148125695</v>
      </c>
      <c r="V176">
        <v>2.49508395099077</v>
      </c>
      <c r="Y176">
        <v>0.00504465</v>
      </c>
      <c r="Z176" s="8">
        <v>3.09833189616723</v>
      </c>
      <c r="AA176">
        <v>0.423927292895679</v>
      </c>
      <c r="AD176" s="9">
        <v>0.657924</v>
      </c>
      <c r="AE176">
        <v>1.99638172985711</v>
      </c>
      <c r="AH176">
        <v>14.9934</v>
      </c>
      <c r="AI176" s="10">
        <v>1.04245868182</v>
      </c>
      <c r="AJ176">
        <v>1.25997075581102</v>
      </c>
    </row>
    <row r="177" customFormat="1" spans="1:36">
      <c r="A177" s="1" t="s">
        <v>448</v>
      </c>
      <c r="B177" s="1">
        <v>63644576</v>
      </c>
      <c r="C177" s="2">
        <v>0.000453474</v>
      </c>
      <c r="E177">
        <v>15.775127</v>
      </c>
      <c r="F177">
        <v>4034.488957</v>
      </c>
      <c r="G177" s="3">
        <v>4.034488957</v>
      </c>
      <c r="H177" s="4"/>
      <c r="I177" t="s">
        <v>448</v>
      </c>
      <c r="J177">
        <v>17.3397</v>
      </c>
      <c r="K177" s="5">
        <v>3.67045427544883</v>
      </c>
      <c r="L177">
        <v>0.909769320121806</v>
      </c>
      <c r="O177">
        <v>0.023888</v>
      </c>
      <c r="P177" s="6">
        <v>2.66429068988614</v>
      </c>
      <c r="Q177" s="4">
        <v>1.37764782551025</v>
      </c>
      <c r="R177" s="4"/>
      <c r="T177">
        <v>65.917</v>
      </c>
      <c r="U177" s="7">
        <v>0.965525979641064</v>
      </c>
      <c r="V177">
        <v>3.80150752319821</v>
      </c>
      <c r="Y177">
        <v>0.0200468</v>
      </c>
      <c r="Z177" s="8">
        <v>3.17479976854161</v>
      </c>
      <c r="AA177">
        <v>1.1561215015254</v>
      </c>
      <c r="AD177" s="9">
        <v>1.687974</v>
      </c>
      <c r="AE177">
        <v>2.17447322971137</v>
      </c>
      <c r="AH177">
        <v>24.5876</v>
      </c>
      <c r="AI177" s="10">
        <v>2.58848264979095</v>
      </c>
      <c r="AJ177">
        <v>1.41799454431161</v>
      </c>
    </row>
    <row r="178" customFormat="1" spans="1:36">
      <c r="A178" s="1" t="s">
        <v>54</v>
      </c>
      <c r="B178" s="1">
        <v>1966544</v>
      </c>
      <c r="C178" s="2">
        <v>0.000474327</v>
      </c>
      <c r="E178">
        <v>0.969619</v>
      </c>
      <c r="F178">
        <v>2028.160649</v>
      </c>
      <c r="G178" s="3">
        <v>2.028160649</v>
      </c>
      <c r="H178" s="4"/>
      <c r="I178" t="s">
        <v>54</v>
      </c>
      <c r="J178">
        <v>0.719464</v>
      </c>
      <c r="K178" s="5">
        <v>2.7333459353074</v>
      </c>
      <c r="L178">
        <v>1.34769695716909</v>
      </c>
      <c r="O178">
        <v>0.0007616</v>
      </c>
      <c r="P178" s="6">
        <v>2.5821218487395</v>
      </c>
      <c r="Q178" s="4">
        <v>1.05856582122247</v>
      </c>
      <c r="R178" s="4"/>
      <c r="T178">
        <v>1.719</v>
      </c>
      <c r="U178" s="7">
        <v>1.14400465386853</v>
      </c>
      <c r="V178">
        <v>2.38927868524346</v>
      </c>
      <c r="Y178">
        <v>0.00228198</v>
      </c>
      <c r="Z178" s="8">
        <v>0.861770918237671</v>
      </c>
      <c r="AA178">
        <v>3.17177787908776</v>
      </c>
      <c r="AD178" s="9">
        <v>1.390638</v>
      </c>
      <c r="AE178">
        <v>1.96553375882681</v>
      </c>
      <c r="AH178">
        <v>1.5522</v>
      </c>
      <c r="AI178" s="10">
        <v>1.26693982734184</v>
      </c>
      <c r="AJ178">
        <v>2.15743942712908</v>
      </c>
    </row>
    <row r="179" customFormat="1" spans="1:36">
      <c r="A179" s="1" t="s">
        <v>167</v>
      </c>
      <c r="B179" s="1">
        <v>7158776</v>
      </c>
      <c r="C179" s="2">
        <v>0.000476348</v>
      </c>
      <c r="E179">
        <v>6.916277</v>
      </c>
      <c r="F179">
        <v>1035.062118</v>
      </c>
      <c r="G179" s="3">
        <v>1.035062118</v>
      </c>
      <c r="H179" s="4"/>
      <c r="I179" t="s">
        <v>167</v>
      </c>
      <c r="J179">
        <v>5.58155</v>
      </c>
      <c r="K179" s="5">
        <v>1.28257849522086</v>
      </c>
      <c r="L179">
        <v>1.23913190611122</v>
      </c>
      <c r="O179">
        <v>0.003776</v>
      </c>
      <c r="P179" s="6">
        <v>1.89586228813559</v>
      </c>
      <c r="Q179" s="4">
        <v>0.676514588241618</v>
      </c>
      <c r="R179" s="4"/>
      <c r="T179">
        <v>6.865</v>
      </c>
      <c r="U179" s="7">
        <v>1.0427932993445</v>
      </c>
      <c r="V179">
        <v>1.22994508693822</v>
      </c>
      <c r="Y179">
        <v>0.00343458</v>
      </c>
      <c r="Z179" s="8">
        <v>2.08432355630092</v>
      </c>
      <c r="AA179">
        <v>0.615345199810089</v>
      </c>
      <c r="AD179" s="9">
        <v>1.141404</v>
      </c>
      <c r="AE179">
        <v>1.12368494873056</v>
      </c>
      <c r="AH179">
        <v>9.2455</v>
      </c>
      <c r="AI179" s="10">
        <v>0.774298415445352</v>
      </c>
      <c r="AJ179">
        <v>1.65643951948831</v>
      </c>
    </row>
    <row r="180" customFormat="1" spans="1:36">
      <c r="A180" s="1" t="s">
        <v>297</v>
      </c>
      <c r="B180" s="1">
        <v>18927696</v>
      </c>
      <c r="C180" s="2">
        <v>0.000479407</v>
      </c>
      <c r="E180">
        <v>16.576872</v>
      </c>
      <c r="F180">
        <v>1141.813462</v>
      </c>
      <c r="G180" s="3">
        <v>1.141813462</v>
      </c>
      <c r="H180" s="4"/>
      <c r="I180" t="s">
        <v>297</v>
      </c>
      <c r="J180">
        <v>14.8953</v>
      </c>
      <c r="K180" s="5">
        <v>1.27071599766369</v>
      </c>
      <c r="L180">
        <v>1.1128928147667</v>
      </c>
      <c r="O180">
        <v>0.024416</v>
      </c>
      <c r="P180" s="6">
        <v>0.775216906946265</v>
      </c>
      <c r="Q180" s="4">
        <v>1.63917477325062</v>
      </c>
      <c r="R180" s="4"/>
      <c r="T180">
        <v>35.386</v>
      </c>
      <c r="U180" s="7">
        <v>0.534892217261064</v>
      </c>
      <c r="V180">
        <v>2.37564869455466</v>
      </c>
      <c r="Y180">
        <v>0.00555441</v>
      </c>
      <c r="Z180" s="8">
        <v>3.40768794525431</v>
      </c>
      <c r="AA180">
        <v>0.37289681980222</v>
      </c>
      <c r="AD180" s="9">
        <v>0.681552</v>
      </c>
      <c r="AE180">
        <v>1.86444467577484</v>
      </c>
      <c r="AH180">
        <v>20.472</v>
      </c>
      <c r="AI180" s="10">
        <v>0.924565064478312</v>
      </c>
      <c r="AJ180">
        <v>1.37439326498963</v>
      </c>
    </row>
    <row r="181" customFormat="1" spans="1:36">
      <c r="A181" s="1" t="s">
        <v>44</v>
      </c>
      <c r="B181" s="1">
        <v>1698240</v>
      </c>
      <c r="C181" s="2">
        <v>0.000479846</v>
      </c>
      <c r="E181">
        <v>1.459753</v>
      </c>
      <c r="F181">
        <v>1163.374732</v>
      </c>
      <c r="G181" s="3">
        <v>1.163374732</v>
      </c>
      <c r="H181" s="4"/>
      <c r="I181" t="s">
        <v>44</v>
      </c>
      <c r="J181">
        <v>1.1143</v>
      </c>
      <c r="K181" s="5">
        <v>1.52404199946155</v>
      </c>
      <c r="L181">
        <v>1.31001813735589</v>
      </c>
      <c r="O181">
        <v>0.0014048</v>
      </c>
      <c r="P181" s="6">
        <v>1.20888382687927</v>
      </c>
      <c r="Q181" s="4">
        <v>1.26070178587454</v>
      </c>
      <c r="R181" s="4"/>
      <c r="T181">
        <v>3.195</v>
      </c>
      <c r="U181" s="7">
        <v>0.531530516431925</v>
      </c>
      <c r="V181">
        <v>2.86727093242394</v>
      </c>
      <c r="Y181">
        <v>0.00358856</v>
      </c>
      <c r="Z181" s="8">
        <v>0.473237175914573</v>
      </c>
      <c r="AA181">
        <v>3.22046127613749</v>
      </c>
      <c r="AD181" s="9">
        <v>0.758178</v>
      </c>
      <c r="AE181">
        <v>2.01013746041371</v>
      </c>
      <c r="AH181">
        <v>1.7069</v>
      </c>
      <c r="AI181" s="10">
        <v>0.99492647489601</v>
      </c>
      <c r="AJ181">
        <v>1.53181369469622</v>
      </c>
    </row>
    <row r="182" customFormat="1" spans="1:36">
      <c r="A182" s="1" t="s">
        <v>191</v>
      </c>
      <c r="B182" s="1">
        <v>9574600</v>
      </c>
      <c r="C182" s="2">
        <v>0.000493535</v>
      </c>
      <c r="E182">
        <v>7.316116</v>
      </c>
      <c r="F182">
        <v>1308.699898</v>
      </c>
      <c r="G182" s="3">
        <v>1.308699898</v>
      </c>
      <c r="H182" s="4"/>
      <c r="I182" t="s">
        <v>191</v>
      </c>
      <c r="J182">
        <v>6.55962</v>
      </c>
      <c r="K182" s="5">
        <v>1.45962723450444</v>
      </c>
      <c r="L182">
        <v>1.11532616204455</v>
      </c>
      <c r="O182">
        <v>0.0120848</v>
      </c>
      <c r="P182" s="6">
        <v>0.792284522706209</v>
      </c>
      <c r="Q182" s="4">
        <v>1.8423018406554</v>
      </c>
      <c r="R182" s="4"/>
      <c r="T182">
        <v>22.717</v>
      </c>
      <c r="U182" s="7">
        <v>0.4214729057534</v>
      </c>
      <c r="V182">
        <v>3.46315792683113</v>
      </c>
      <c r="Y182">
        <v>0.0037412</v>
      </c>
      <c r="Z182" s="8">
        <v>2.55923233187213</v>
      </c>
      <c r="AA182">
        <v>0.570337915915861</v>
      </c>
      <c r="AD182" s="9">
        <v>0.734781</v>
      </c>
      <c r="AE182">
        <v>1.98647928362932</v>
      </c>
      <c r="AH182">
        <v>13.543</v>
      </c>
      <c r="AI182" s="10">
        <v>0.70697777449605</v>
      </c>
      <c r="AJ182">
        <v>2.06460130312427</v>
      </c>
    </row>
    <row r="183" customFormat="1" spans="1:36">
      <c r="A183" s="1" t="s">
        <v>123</v>
      </c>
      <c r="B183" s="1">
        <v>4957020</v>
      </c>
      <c r="C183" s="2">
        <v>0.0004995</v>
      </c>
      <c r="E183">
        <v>3.455918</v>
      </c>
      <c r="F183">
        <v>1434.356861</v>
      </c>
      <c r="G183" s="3">
        <v>1.434356861</v>
      </c>
      <c r="H183" s="4"/>
      <c r="I183" t="s">
        <v>123</v>
      </c>
      <c r="J183">
        <v>2.34919</v>
      </c>
      <c r="K183" s="5">
        <v>2.110097522976</v>
      </c>
      <c r="L183">
        <v>1.4711105585711</v>
      </c>
      <c r="O183">
        <v>0.0046608</v>
      </c>
      <c r="P183" s="6">
        <v>1.06355561277034</v>
      </c>
      <c r="Q183" s="4">
        <v>1.98400299677761</v>
      </c>
      <c r="R183" s="4"/>
      <c r="T183">
        <v>8.812</v>
      </c>
      <c r="U183" s="7">
        <v>0.562530640036314</v>
      </c>
      <c r="V183">
        <v>3.75108015954435</v>
      </c>
      <c r="Y183">
        <v>0.0034856</v>
      </c>
      <c r="Z183" s="8">
        <v>1.42214252926325</v>
      </c>
      <c r="AA183">
        <v>1.48374546120152</v>
      </c>
      <c r="AD183" s="9">
        <v>0.868473</v>
      </c>
      <c r="AE183">
        <v>2.42966393080269</v>
      </c>
      <c r="AH183">
        <v>4.2566</v>
      </c>
      <c r="AI183" s="10">
        <v>1.16454917069962</v>
      </c>
      <c r="AJ183">
        <v>1.81194369122974</v>
      </c>
    </row>
    <row r="184" customFormat="1" spans="1:36">
      <c r="A184" s="1" t="s">
        <v>301</v>
      </c>
      <c r="B184" s="1">
        <v>19457552</v>
      </c>
      <c r="C184" s="2">
        <v>0.00056055</v>
      </c>
      <c r="E184">
        <v>15.48001</v>
      </c>
      <c r="F184">
        <v>1256.946969</v>
      </c>
      <c r="G184" s="3">
        <v>1.256946969</v>
      </c>
      <c r="H184" s="4"/>
      <c r="I184" t="s">
        <v>301</v>
      </c>
      <c r="J184">
        <v>14.5995</v>
      </c>
      <c r="K184" s="5">
        <v>1.33275468337957</v>
      </c>
      <c r="L184">
        <v>1.06031098864885</v>
      </c>
      <c r="O184">
        <v>0.0265184</v>
      </c>
      <c r="P184" s="6">
        <v>0.7337377820683</v>
      </c>
      <c r="Q184" s="4">
        <v>1.81639097229357</v>
      </c>
      <c r="R184" s="4"/>
      <c r="T184">
        <v>36.413</v>
      </c>
      <c r="U184" s="7">
        <v>0.534357289978854</v>
      </c>
      <c r="V184">
        <v>2.49412651118189</v>
      </c>
      <c r="Y184">
        <v>0.0055551</v>
      </c>
      <c r="Z184" s="8">
        <v>3.50264657701932</v>
      </c>
      <c r="AA184">
        <v>0.38049933216891</v>
      </c>
      <c r="AD184" s="9">
        <v>0.681054</v>
      </c>
      <c r="AE184">
        <v>1.95690016265901</v>
      </c>
      <c r="AH184">
        <v>22.5546</v>
      </c>
      <c r="AI184" s="10">
        <v>0.862686635985564</v>
      </c>
      <c r="AJ184">
        <v>1.54488852357957</v>
      </c>
    </row>
    <row r="185" customFormat="1" spans="1:36">
      <c r="A185" s="1" t="s">
        <v>269</v>
      </c>
      <c r="B185" s="1">
        <v>15550332</v>
      </c>
      <c r="C185" s="2">
        <v>0.000603696</v>
      </c>
      <c r="E185">
        <v>13.03416</v>
      </c>
      <c r="F185">
        <v>1193.044412</v>
      </c>
      <c r="G185" s="3">
        <v>1.193044412</v>
      </c>
      <c r="H185" s="4"/>
      <c r="I185" t="s">
        <v>269</v>
      </c>
      <c r="J185">
        <v>11.8039</v>
      </c>
      <c r="K185" s="5">
        <v>1.31738933742238</v>
      </c>
      <c r="L185">
        <v>1.10422489236082</v>
      </c>
      <c r="O185">
        <v>0.0242032</v>
      </c>
      <c r="P185" s="6">
        <v>0.642490745025451</v>
      </c>
      <c r="Q185" s="4">
        <v>2.05044095595523</v>
      </c>
      <c r="R185" s="4"/>
      <c r="T185">
        <v>33.126</v>
      </c>
      <c r="U185" s="7">
        <v>0.469429813439594</v>
      </c>
      <c r="V185">
        <v>2.80636060962902</v>
      </c>
      <c r="Y185">
        <v>0.00514872</v>
      </c>
      <c r="Z185" s="8">
        <v>3.02023260150096</v>
      </c>
      <c r="AA185">
        <v>0.436188039546252</v>
      </c>
      <c r="AD185" s="9">
        <v>0.669846</v>
      </c>
      <c r="AE185">
        <v>1.96670479098536</v>
      </c>
      <c r="AH185">
        <v>18.2985</v>
      </c>
      <c r="AI185" s="10">
        <v>0.849814574965161</v>
      </c>
      <c r="AJ185">
        <v>1.55020798210761</v>
      </c>
    </row>
    <row r="186" customFormat="1" spans="1:36">
      <c r="A186" s="1" t="s">
        <v>262</v>
      </c>
      <c r="B186" s="1">
        <v>15017656</v>
      </c>
      <c r="C186" s="2">
        <v>0.000623899</v>
      </c>
      <c r="E186">
        <v>12.790806</v>
      </c>
      <c r="F186">
        <v>1174.097711</v>
      </c>
      <c r="G186" s="3">
        <v>1.174097711</v>
      </c>
      <c r="H186" s="4"/>
      <c r="I186" t="s">
        <v>262</v>
      </c>
      <c r="J186">
        <v>14.9849</v>
      </c>
      <c r="K186" s="5">
        <v>1.00218593384007</v>
      </c>
      <c r="L186">
        <v>0.853579667561473</v>
      </c>
      <c r="O186">
        <v>0.0239824</v>
      </c>
      <c r="P186" s="6">
        <v>0.626194876242578</v>
      </c>
      <c r="Q186" s="4">
        <v>1.60043777402585</v>
      </c>
      <c r="R186" s="4"/>
      <c r="T186">
        <v>28.308</v>
      </c>
      <c r="U186" s="7">
        <v>0.530509255334181</v>
      </c>
      <c r="V186">
        <v>1.88910169570701</v>
      </c>
      <c r="Y186">
        <v>0.00498287</v>
      </c>
      <c r="Z186" s="8">
        <v>3.01385667296157</v>
      </c>
      <c r="AA186">
        <v>0.332526076250092</v>
      </c>
      <c r="AD186" s="9">
        <v>0.668502</v>
      </c>
      <c r="AE186">
        <v>1.49915173603081</v>
      </c>
      <c r="AH186">
        <v>18.97</v>
      </c>
      <c r="AI186" s="10">
        <v>0.791652925672114</v>
      </c>
      <c r="AJ186">
        <v>1.26594104732097</v>
      </c>
    </row>
    <row r="187" customFormat="1" spans="1:36">
      <c r="A187" s="1" t="s">
        <v>483</v>
      </c>
      <c r="B187" s="1">
        <v>93320688</v>
      </c>
      <c r="C187" s="2">
        <v>0.000694001</v>
      </c>
      <c r="E187">
        <v>35.805216</v>
      </c>
      <c r="F187">
        <v>2606.343383</v>
      </c>
      <c r="G187" s="3">
        <v>2.606343383</v>
      </c>
      <c r="H187" s="4"/>
      <c r="I187" t="s">
        <v>483</v>
      </c>
      <c r="J187">
        <v>80.2977</v>
      </c>
      <c r="K187" s="5">
        <v>1.162183823447</v>
      </c>
      <c r="L187">
        <v>0.445905873733829</v>
      </c>
      <c r="O187">
        <v>0.0479536</v>
      </c>
      <c r="P187" s="6">
        <v>1.94606219345367</v>
      </c>
      <c r="Q187" s="4">
        <v>0.597197678140221</v>
      </c>
      <c r="R187" s="4"/>
      <c r="T187">
        <v>309.26</v>
      </c>
      <c r="U187" s="7">
        <v>0.301754795317856</v>
      </c>
      <c r="V187">
        <v>3.85141791109832</v>
      </c>
      <c r="Y187">
        <v>0.00817564</v>
      </c>
      <c r="Z187" s="8">
        <v>11.4144810681488</v>
      </c>
      <c r="AA187">
        <v>0.101816614921723</v>
      </c>
      <c r="AD187" s="9">
        <v>1.364742</v>
      </c>
      <c r="AE187">
        <v>0.851577678013132</v>
      </c>
      <c r="AH187">
        <v>68.184</v>
      </c>
      <c r="AI187" s="10">
        <v>1.36865962689194</v>
      </c>
      <c r="AJ187">
        <v>0.849140137264205</v>
      </c>
    </row>
    <row r="188" customFormat="1" spans="1:36">
      <c r="A188" s="1" t="s">
        <v>59</v>
      </c>
      <c r="B188" s="1">
        <v>2128552</v>
      </c>
      <c r="C188" s="2">
        <v>0.000712885</v>
      </c>
      <c r="E188">
        <v>1.690039</v>
      </c>
      <c r="F188">
        <v>1259.468906</v>
      </c>
      <c r="G188" s="3">
        <v>1.259468906</v>
      </c>
      <c r="H188" s="4"/>
      <c r="I188" t="s">
        <v>59</v>
      </c>
      <c r="J188">
        <v>1.21161</v>
      </c>
      <c r="K188" s="5">
        <v>1.75679632885169</v>
      </c>
      <c r="L188">
        <v>1.39487074312233</v>
      </c>
      <c r="O188">
        <v>0.0017024</v>
      </c>
      <c r="P188" s="6">
        <v>1.2503242481203</v>
      </c>
      <c r="Q188" s="4">
        <v>1.40507258936456</v>
      </c>
      <c r="R188" s="4"/>
      <c r="T188">
        <v>3.989</v>
      </c>
      <c r="U188" s="7">
        <v>0.53360541489095</v>
      </c>
      <c r="V188">
        <v>3.29231353323264</v>
      </c>
      <c r="Y188">
        <v>0.00328137</v>
      </c>
      <c r="Z188" s="8">
        <v>0.648677838829513</v>
      </c>
      <c r="AA188">
        <v>2.70827246391165</v>
      </c>
      <c r="AD188" s="9">
        <v>0.808521</v>
      </c>
      <c r="AE188">
        <v>2.17285182308399</v>
      </c>
      <c r="AH188">
        <v>2.0648</v>
      </c>
      <c r="AI188" s="10">
        <v>1.03087562960093</v>
      </c>
      <c r="AJ188">
        <v>1.70417873738249</v>
      </c>
    </row>
    <row r="189" customFormat="1" spans="1:36">
      <c r="A189" s="1" t="s">
        <v>248</v>
      </c>
      <c r="B189" s="1">
        <v>13880252</v>
      </c>
      <c r="C189" s="2">
        <v>0.00072831</v>
      </c>
      <c r="E189">
        <v>10.884247</v>
      </c>
      <c r="F189">
        <v>1275.260624</v>
      </c>
      <c r="G189" s="3">
        <v>1.275260624</v>
      </c>
      <c r="H189" s="4"/>
      <c r="I189" t="s">
        <v>248</v>
      </c>
      <c r="J189">
        <v>10.3923</v>
      </c>
      <c r="K189" s="5">
        <v>1.33562849417357</v>
      </c>
      <c r="L189">
        <v>1.04733767281563</v>
      </c>
      <c r="O189">
        <v>0.0213712</v>
      </c>
      <c r="P189" s="6">
        <v>0.649483978438272</v>
      </c>
      <c r="Q189" s="4">
        <v>2.05644563763556</v>
      </c>
      <c r="R189" s="4"/>
      <c r="T189">
        <v>25.636</v>
      </c>
      <c r="U189" s="7">
        <v>0.541435949446091</v>
      </c>
      <c r="V189">
        <v>2.46682640031562</v>
      </c>
      <c r="Y189">
        <v>0.00467079</v>
      </c>
      <c r="Z189" s="8">
        <v>2.97171399270787</v>
      </c>
      <c r="AA189">
        <v>0.449447186859502</v>
      </c>
      <c r="AD189" s="9">
        <v>0.672171</v>
      </c>
      <c r="AE189">
        <v>1.98703677215109</v>
      </c>
      <c r="AH189">
        <v>20.6066</v>
      </c>
      <c r="AI189" s="10">
        <v>0.673582832684674</v>
      </c>
      <c r="AJ189">
        <v>1.98287193402808</v>
      </c>
    </row>
    <row r="190" customFormat="1" spans="1:36">
      <c r="A190" s="1" t="s">
        <v>55</v>
      </c>
      <c r="B190" s="1">
        <v>1966544</v>
      </c>
      <c r="C190" s="2">
        <v>0.000742115</v>
      </c>
      <c r="E190">
        <v>0.97058</v>
      </c>
      <c r="F190">
        <v>2026.152928</v>
      </c>
      <c r="G190" s="3">
        <v>2.026152928</v>
      </c>
      <c r="H190" s="4"/>
      <c r="I190" t="s">
        <v>55</v>
      </c>
      <c r="J190">
        <v>0.672354</v>
      </c>
      <c r="K190" s="5">
        <v>2.92486398534106</v>
      </c>
      <c r="L190">
        <v>1.44355539254787</v>
      </c>
      <c r="O190">
        <v>0.0007552</v>
      </c>
      <c r="P190" s="6">
        <v>2.60400423728814</v>
      </c>
      <c r="Q190" s="4">
        <v>1.12321782870333</v>
      </c>
      <c r="R190" s="4"/>
      <c r="T190">
        <v>1.731</v>
      </c>
      <c r="U190" s="7">
        <v>1.13607394569613</v>
      </c>
      <c r="V190">
        <v>2.57453662802631</v>
      </c>
      <c r="Y190">
        <v>0.0022408</v>
      </c>
      <c r="Z190" s="8">
        <v>0.877607997143877</v>
      </c>
      <c r="AA190">
        <v>3.3327681548708</v>
      </c>
      <c r="AD190" s="9">
        <v>1.405965</v>
      </c>
      <c r="AE190">
        <v>2.08032489097599</v>
      </c>
      <c r="AH190">
        <v>1.5877</v>
      </c>
      <c r="AI190" s="10">
        <v>1.23861182843106</v>
      </c>
      <c r="AJ190">
        <v>2.36140485518046</v>
      </c>
    </row>
    <row r="191" customFormat="1" spans="1:36">
      <c r="A191" s="1" t="s">
        <v>161</v>
      </c>
      <c r="B191" s="1">
        <v>6921148</v>
      </c>
      <c r="C191" s="2">
        <v>0.000754148</v>
      </c>
      <c r="E191">
        <v>2.342257</v>
      </c>
      <c r="F191">
        <v>2954.905671</v>
      </c>
      <c r="G191" s="3">
        <v>2.954905671</v>
      </c>
      <c r="H191" s="4"/>
      <c r="I191" t="s">
        <v>161</v>
      </c>
      <c r="J191">
        <v>1.41791</v>
      </c>
      <c r="K191" s="5">
        <v>4.8812322361786</v>
      </c>
      <c r="L191">
        <v>1.65190797259078</v>
      </c>
      <c r="O191">
        <v>0.0029056</v>
      </c>
      <c r="P191" s="6">
        <v>2.38200302863436</v>
      </c>
      <c r="Q191" s="4">
        <v>2.04921327869893</v>
      </c>
      <c r="R191" s="4"/>
      <c r="T191">
        <v>9.701</v>
      </c>
      <c r="U191" s="7">
        <v>0.713446861148335</v>
      </c>
      <c r="V191">
        <v>6.84176005529265</v>
      </c>
      <c r="Y191">
        <v>0.00294531</v>
      </c>
      <c r="Z191" s="8">
        <v>2.34988778770316</v>
      </c>
      <c r="AA191">
        <v>2.07721928754293</v>
      </c>
      <c r="AD191" s="9">
        <v>1.409478</v>
      </c>
      <c r="AE191">
        <v>3.46314893611578</v>
      </c>
      <c r="AH191">
        <v>2.7699</v>
      </c>
      <c r="AI191" s="10">
        <v>2.49869959204303</v>
      </c>
      <c r="AJ191">
        <v>1.95350903795022</v>
      </c>
    </row>
    <row r="192" customFormat="1" spans="1:36">
      <c r="A192" s="1" t="s">
        <v>501</v>
      </c>
      <c r="B192" s="1">
        <v>108569800</v>
      </c>
      <c r="C192" s="2">
        <v>0.000775645</v>
      </c>
      <c r="E192">
        <v>21.720664</v>
      </c>
      <c r="F192">
        <v>4998.456679</v>
      </c>
      <c r="G192" s="3">
        <v>4.998456679</v>
      </c>
      <c r="H192" s="4"/>
      <c r="I192" t="s">
        <v>501</v>
      </c>
      <c r="J192">
        <v>21.3065</v>
      </c>
      <c r="K192" s="5">
        <v>5.09561870790604</v>
      </c>
      <c r="L192">
        <v>1.01943840572116</v>
      </c>
      <c r="O192">
        <v>0.0343296</v>
      </c>
      <c r="P192" s="6">
        <v>3.16257107568978</v>
      </c>
      <c r="Q192" s="4">
        <v>1.61122662098421</v>
      </c>
      <c r="R192" s="4"/>
      <c r="T192">
        <v>131.356</v>
      </c>
      <c r="U192" s="7">
        <v>0.82653095404854</v>
      </c>
      <c r="V192">
        <v>6.16506699833384</v>
      </c>
      <c r="Y192">
        <v>0.0401327</v>
      </c>
      <c r="Z192" s="8">
        <v>2.7052702658929</v>
      </c>
      <c r="AA192">
        <v>1.88358951493676</v>
      </c>
      <c r="AD192" s="9">
        <v>1.477338</v>
      </c>
      <c r="AE192">
        <v>3.44918949347139</v>
      </c>
      <c r="AH192">
        <v>32.9955</v>
      </c>
      <c r="AI192" s="10">
        <v>3.29044263611705</v>
      </c>
      <c r="AJ192">
        <v>1.54861192593809</v>
      </c>
    </row>
    <row r="193" customFormat="1" spans="1:36">
      <c r="A193" s="1" t="s">
        <v>579</v>
      </c>
      <c r="B193" s="1">
        <v>329009580</v>
      </c>
      <c r="C193" s="2">
        <v>0.000786164</v>
      </c>
      <c r="E193">
        <v>26.167314</v>
      </c>
      <c r="F193">
        <v>12573.303423</v>
      </c>
      <c r="G193" s="3">
        <v>12.573303423</v>
      </c>
      <c r="H193" s="4"/>
      <c r="I193" t="s">
        <v>579</v>
      </c>
      <c r="J193">
        <v>14.7814</v>
      </c>
      <c r="K193" s="5">
        <v>22.2583503592353</v>
      </c>
      <c r="L193">
        <v>1.77028658343826</v>
      </c>
      <c r="O193">
        <v>0.0247792</v>
      </c>
      <c r="P193" s="6">
        <v>13.2776514173177</v>
      </c>
      <c r="Q193" s="4">
        <v>1.67637706847795</v>
      </c>
      <c r="R193" s="4"/>
      <c r="T193">
        <v>61.998</v>
      </c>
      <c r="U193" s="7">
        <v>5.30677731539727</v>
      </c>
      <c r="V193">
        <v>4.19432530071576</v>
      </c>
      <c r="Y193">
        <v>0.00827123</v>
      </c>
      <c r="Z193" s="8">
        <v>39.7775880975381</v>
      </c>
      <c r="AA193">
        <v>0.559570135440486</v>
      </c>
      <c r="AD193" s="9">
        <v>3.6843</v>
      </c>
      <c r="AE193">
        <v>6.0414055205155</v>
      </c>
      <c r="AH193">
        <v>23.7782</v>
      </c>
      <c r="AI193" s="10">
        <v>13.8366057985886</v>
      </c>
      <c r="AJ193">
        <v>1.60865682546985</v>
      </c>
    </row>
    <row r="194" customFormat="1" spans="1:36">
      <c r="A194" s="1" t="s">
        <v>196</v>
      </c>
      <c r="B194" s="1">
        <v>9909172</v>
      </c>
      <c r="C194" s="2">
        <v>0.000817355</v>
      </c>
      <c r="E194">
        <v>6.454451</v>
      </c>
      <c r="F194">
        <v>1535.246312</v>
      </c>
      <c r="G194" s="3">
        <v>1.535246312</v>
      </c>
      <c r="H194" s="4"/>
      <c r="I194" t="s">
        <v>196</v>
      </c>
      <c r="J194">
        <v>6.614</v>
      </c>
      <c r="K194" s="5">
        <v>1.49821167221046</v>
      </c>
      <c r="L194">
        <v>0.975877069692295</v>
      </c>
      <c r="O194">
        <v>0.0090112</v>
      </c>
      <c r="P194" s="6">
        <v>1.09965065696023</v>
      </c>
      <c r="Q194" s="4">
        <v>1.36244330208648</v>
      </c>
      <c r="R194" s="4"/>
      <c r="T194">
        <v>17.497</v>
      </c>
      <c r="U194" s="7">
        <v>0.566335486083329</v>
      </c>
      <c r="V194">
        <v>2.64544904747505</v>
      </c>
      <c r="Y194">
        <v>0.00580338</v>
      </c>
      <c r="Z194" s="8">
        <v>1.70748288066609</v>
      </c>
      <c r="AA194">
        <v>0.877438766253402</v>
      </c>
      <c r="AD194" s="9">
        <v>0.820797</v>
      </c>
      <c r="AE194">
        <v>1.82531328965684</v>
      </c>
      <c r="AH194">
        <v>11.4158</v>
      </c>
      <c r="AI194" s="10">
        <v>0.86802256521663</v>
      </c>
      <c r="AJ194">
        <v>1.7260054429997</v>
      </c>
    </row>
    <row r="195" customFormat="1" spans="1:36">
      <c r="A195" s="1" t="s">
        <v>235</v>
      </c>
      <c r="B195" s="1">
        <v>12042262</v>
      </c>
      <c r="C195" s="2">
        <v>0.000832865</v>
      </c>
      <c r="E195">
        <v>12.694511</v>
      </c>
      <c r="F195">
        <v>948.619606</v>
      </c>
      <c r="G195" s="3">
        <v>0.948619606</v>
      </c>
      <c r="H195" s="4"/>
      <c r="I195" t="s">
        <v>235</v>
      </c>
      <c r="J195">
        <v>11.9448</v>
      </c>
      <c r="K195" s="5">
        <v>1.00815936641886</v>
      </c>
      <c r="L195">
        <v>1.06276463193705</v>
      </c>
      <c r="O195">
        <v>0.0266768</v>
      </c>
      <c r="P195" s="6">
        <v>0.451413287950579</v>
      </c>
      <c r="Q195" s="4">
        <v>2.23334003080839</v>
      </c>
      <c r="R195" s="4"/>
      <c r="T195">
        <v>66.798</v>
      </c>
      <c r="U195" s="7">
        <v>0.18027878080182</v>
      </c>
      <c r="V195">
        <v>5.59222423146474</v>
      </c>
      <c r="Y195">
        <v>0.0206999</v>
      </c>
      <c r="Z195" s="8">
        <v>0.581754597848299</v>
      </c>
      <c r="AA195">
        <v>1.73296329783672</v>
      </c>
      <c r="AD195" s="9">
        <v>0.429114</v>
      </c>
      <c r="AE195">
        <v>2.34939751771991</v>
      </c>
      <c r="AH195">
        <v>19.1727</v>
      </c>
      <c r="AI195" s="10">
        <v>0.628094217298555</v>
      </c>
      <c r="AJ195">
        <v>1.60510849909584</v>
      </c>
    </row>
    <row r="196" customFormat="1" spans="1:36">
      <c r="A196" s="1" t="s">
        <v>304</v>
      </c>
      <c r="B196" s="1">
        <v>19712276</v>
      </c>
      <c r="C196" s="2">
        <v>0.000850812</v>
      </c>
      <c r="E196">
        <v>17.325643</v>
      </c>
      <c r="F196">
        <v>1137.751468</v>
      </c>
      <c r="G196" s="3">
        <v>1.137751468</v>
      </c>
      <c r="H196" s="4"/>
      <c r="I196" t="s">
        <v>304</v>
      </c>
      <c r="J196">
        <v>15.7802</v>
      </c>
      <c r="K196" s="5">
        <v>1.24917783044575</v>
      </c>
      <c r="L196">
        <v>1.09793559101411</v>
      </c>
      <c r="O196">
        <v>0.0297872</v>
      </c>
      <c r="P196" s="6">
        <v>0.661770022022882</v>
      </c>
      <c r="Q196" s="4">
        <v>1.88763133547103</v>
      </c>
      <c r="R196" s="4"/>
      <c r="T196">
        <v>37.015</v>
      </c>
      <c r="U196" s="7">
        <v>0.532548318249358</v>
      </c>
      <c r="V196">
        <v>2.34566101823805</v>
      </c>
      <c r="Y196">
        <v>0.00566343</v>
      </c>
      <c r="Z196" s="8">
        <v>3.480624992275</v>
      </c>
      <c r="AA196">
        <v>0.358894690815072</v>
      </c>
      <c r="AD196" s="9">
        <v>0.635508</v>
      </c>
      <c r="AE196">
        <v>1.96563667246636</v>
      </c>
      <c r="AH196">
        <v>19.4465</v>
      </c>
      <c r="AI196" s="10">
        <v>1.01366703519914</v>
      </c>
      <c r="AJ196">
        <v>1.23233545835921</v>
      </c>
    </row>
    <row r="197" customFormat="1" spans="1:36">
      <c r="A197" s="1" t="s">
        <v>252</v>
      </c>
      <c r="B197" s="1">
        <v>14271848</v>
      </c>
      <c r="C197" s="2">
        <v>0.000890525</v>
      </c>
      <c r="E197">
        <v>13.905207</v>
      </c>
      <c r="F197">
        <v>1026.367199</v>
      </c>
      <c r="G197" s="3">
        <v>1.026367199</v>
      </c>
      <c r="H197" s="4"/>
      <c r="I197" t="s">
        <v>252</v>
      </c>
      <c r="J197">
        <v>10.4603</v>
      </c>
      <c r="K197" s="5">
        <v>1.36438228349091</v>
      </c>
      <c r="L197">
        <v>1.32933153438676</v>
      </c>
      <c r="O197">
        <v>0.020456</v>
      </c>
      <c r="P197" s="6">
        <v>0.697685177942902</v>
      </c>
      <c r="Q197" s="4">
        <v>1.95558444786478</v>
      </c>
      <c r="R197" s="4"/>
      <c r="T197">
        <v>36.904</v>
      </c>
      <c r="U197" s="7">
        <v>0.386729026663776</v>
      </c>
      <c r="V197">
        <v>3.52800588893244</v>
      </c>
      <c r="Y197">
        <v>0.00450134</v>
      </c>
      <c r="Z197" s="8">
        <v>3.17057765021083</v>
      </c>
      <c r="AA197">
        <v>0.430326090073898</v>
      </c>
      <c r="AD197" s="9">
        <v>0.711729</v>
      </c>
      <c r="AE197">
        <v>1.9169968955753</v>
      </c>
      <c r="AH197">
        <v>30.1474</v>
      </c>
      <c r="AI197" s="10">
        <v>0.473402283447329</v>
      </c>
      <c r="AJ197">
        <v>2.88207795187518</v>
      </c>
    </row>
    <row r="198" customFormat="1" spans="1:36">
      <c r="A198" s="1" t="s">
        <v>117</v>
      </c>
      <c r="B198" s="1">
        <v>4782408</v>
      </c>
      <c r="C198" s="2">
        <v>0.000944485</v>
      </c>
      <c r="E198">
        <v>2.811162</v>
      </c>
      <c r="F198">
        <v>1701.221181</v>
      </c>
      <c r="G198" s="3">
        <v>1.701221181</v>
      </c>
      <c r="H198" s="4"/>
      <c r="I198" t="s">
        <v>117</v>
      </c>
      <c r="J198">
        <v>2.29379</v>
      </c>
      <c r="K198" s="5">
        <v>2.08493715640926</v>
      </c>
      <c r="L198">
        <v>1.22555325532904</v>
      </c>
      <c r="O198">
        <v>0.0046032</v>
      </c>
      <c r="P198" s="6">
        <v>1.03893117831074</v>
      </c>
      <c r="Q198" s="4">
        <v>2.00680969051221</v>
      </c>
      <c r="R198" s="4"/>
      <c r="T198">
        <v>8.578</v>
      </c>
      <c r="U198" s="7">
        <v>0.557520167871299</v>
      </c>
      <c r="V198">
        <v>3.73966230561647</v>
      </c>
      <c r="Y198">
        <v>0.00492643</v>
      </c>
      <c r="Z198" s="8">
        <v>0.970765442724245</v>
      </c>
      <c r="AA198">
        <v>2.14772494430615</v>
      </c>
      <c r="AD198" s="9">
        <v>0.897951</v>
      </c>
      <c r="AE198">
        <v>2.32188299407124</v>
      </c>
      <c r="AH198">
        <v>3.9182</v>
      </c>
      <c r="AI198" s="10">
        <v>1.22056250319024</v>
      </c>
      <c r="AJ198">
        <v>1.70817729609075</v>
      </c>
    </row>
    <row r="199" customFormat="1" spans="1:36">
      <c r="A199" s="1" t="s">
        <v>184</v>
      </c>
      <c r="B199" s="1">
        <v>8449686</v>
      </c>
      <c r="C199" s="2">
        <v>0.000950344</v>
      </c>
      <c r="E199">
        <v>2.06431</v>
      </c>
      <c r="F199">
        <v>4093.226096</v>
      </c>
      <c r="G199" s="3">
        <v>4.093226096</v>
      </c>
      <c r="H199" s="4"/>
      <c r="I199" t="s">
        <v>184</v>
      </c>
      <c r="J199">
        <v>2.79421</v>
      </c>
      <c r="K199" s="5">
        <v>3.02399819627014</v>
      </c>
      <c r="L199">
        <v>0.738781128954804</v>
      </c>
      <c r="O199">
        <v>0.00204</v>
      </c>
      <c r="P199" s="6">
        <v>4.14200294117647</v>
      </c>
      <c r="Q199" s="4">
        <v>0.730081132055214</v>
      </c>
      <c r="R199" s="4"/>
      <c r="T199">
        <v>37.656</v>
      </c>
      <c r="U199" s="7">
        <v>0.224391491395794</v>
      </c>
      <c r="V199">
        <v>13.4764387787604</v>
      </c>
      <c r="Y199">
        <v>0.000846021</v>
      </c>
      <c r="Z199" s="8">
        <v>9.98756059246756</v>
      </c>
      <c r="AA199">
        <v>0.302776455599257</v>
      </c>
      <c r="AD199" s="9">
        <v>1.673961</v>
      </c>
      <c r="AE199">
        <v>1.80649262215198</v>
      </c>
      <c r="AH199">
        <v>3.6196</v>
      </c>
      <c r="AI199" s="10">
        <v>2.3344253508675</v>
      </c>
      <c r="AJ199">
        <v>1.29539297332699</v>
      </c>
    </row>
    <row r="200" customFormat="1" spans="1:36">
      <c r="A200" s="1" t="s">
        <v>648</v>
      </c>
      <c r="B200" s="1">
        <v>18118741894</v>
      </c>
      <c r="C200" s="2">
        <v>0.000968914</v>
      </c>
      <c r="E200">
        <v>2866.791755</v>
      </c>
      <c r="F200">
        <v>6320.215572</v>
      </c>
      <c r="G200" s="3">
        <v>6.320215572</v>
      </c>
      <c r="H200" s="4"/>
      <c r="I200" t="s">
        <v>648</v>
      </c>
      <c r="J200">
        <v>7.53153</v>
      </c>
      <c r="K200" s="5">
        <v>2405.71861149063</v>
      </c>
      <c r="L200">
        <v>380.638695640147</v>
      </c>
      <c r="O200">
        <v>0.0092624</v>
      </c>
      <c r="P200" s="6">
        <v>1956.16059487822</v>
      </c>
      <c r="Q200" s="4">
        <v>1.22981651802489</v>
      </c>
      <c r="R200" s="4"/>
      <c r="T200">
        <v>2520.316</v>
      </c>
      <c r="U200" s="7">
        <v>7.18907545482392</v>
      </c>
      <c r="V200">
        <v>334.635326421059</v>
      </c>
      <c r="Y200">
        <v>0.00757832</v>
      </c>
      <c r="Z200" s="8">
        <v>2390.86524374795</v>
      </c>
      <c r="AA200">
        <v>1.00621254911021</v>
      </c>
      <c r="AD200" s="9">
        <v>1.4652</v>
      </c>
      <c r="AE200">
        <v>1641.90459424695</v>
      </c>
      <c r="AH200">
        <v>9.0218</v>
      </c>
      <c r="AI200" s="10">
        <v>2008.32892482653</v>
      </c>
      <c r="AJ200">
        <v>1.19787081774885</v>
      </c>
    </row>
    <row r="201" customFormat="1" spans="1:36">
      <c r="A201" s="1" t="s">
        <v>450</v>
      </c>
      <c r="B201" s="1">
        <v>64631728</v>
      </c>
      <c r="C201" s="2">
        <v>0.00101209</v>
      </c>
      <c r="E201">
        <v>33.099175</v>
      </c>
      <c r="F201">
        <v>1952.668851</v>
      </c>
      <c r="G201" s="3">
        <v>1.952668851</v>
      </c>
      <c r="H201" s="4"/>
      <c r="I201" t="s">
        <v>450</v>
      </c>
      <c r="J201">
        <v>71.8839</v>
      </c>
      <c r="K201" s="5">
        <v>0.89911270813075</v>
      </c>
      <c r="L201">
        <v>0.460453244629931</v>
      </c>
      <c r="O201">
        <v>0.0376128</v>
      </c>
      <c r="P201" s="6">
        <v>1.71834396801089</v>
      </c>
      <c r="Q201" s="4">
        <v>0.523243730515456</v>
      </c>
      <c r="R201" s="4"/>
      <c r="T201">
        <v>194.406</v>
      </c>
      <c r="U201" s="7">
        <v>0.332457475592317</v>
      </c>
      <c r="V201">
        <v>2.70444424968595</v>
      </c>
      <c r="Y201">
        <v>0.00567059</v>
      </c>
      <c r="Z201" s="8">
        <v>11.3977078222901</v>
      </c>
      <c r="AA201">
        <v>0.0788853971473445</v>
      </c>
      <c r="AD201" s="9">
        <v>1.036011</v>
      </c>
      <c r="AE201">
        <v>0.867860194660819</v>
      </c>
      <c r="AH201">
        <v>64.7809</v>
      </c>
      <c r="AI201" s="10">
        <v>0.997697284230383</v>
      </c>
      <c r="AJ201">
        <v>0.901187887691124</v>
      </c>
    </row>
    <row r="202" customFormat="1" spans="1:36">
      <c r="A202" s="1" t="s">
        <v>480</v>
      </c>
      <c r="B202" s="1">
        <v>88934448</v>
      </c>
      <c r="C202" s="2">
        <v>0.00105718</v>
      </c>
      <c r="E202">
        <v>35.800816</v>
      </c>
      <c r="F202">
        <v>2484.145838</v>
      </c>
      <c r="G202" s="3">
        <v>2.484145838</v>
      </c>
      <c r="H202" s="4"/>
      <c r="I202" t="s">
        <v>480</v>
      </c>
      <c r="J202">
        <v>112.69</v>
      </c>
      <c r="K202" s="5">
        <v>0.789195563049073</v>
      </c>
      <c r="L202">
        <v>0.31769292727373</v>
      </c>
      <c r="O202">
        <v>0.0501616</v>
      </c>
      <c r="P202" s="6">
        <v>1.77295875729642</v>
      </c>
      <c r="Q202" s="4">
        <v>0.445129115271985</v>
      </c>
      <c r="R202" s="4"/>
      <c r="T202">
        <v>511.578</v>
      </c>
      <c r="U202" s="7">
        <v>0.173843378722306</v>
      </c>
      <c r="V202">
        <v>4.53969296299583</v>
      </c>
      <c r="Y202">
        <v>0.00799005</v>
      </c>
      <c r="Z202" s="8">
        <v>11.1306497456211</v>
      </c>
      <c r="AA202">
        <v>0.0709029195137102</v>
      </c>
      <c r="AD202" s="9">
        <v>1.129134</v>
      </c>
      <c r="AE202">
        <v>0.698938800044169</v>
      </c>
      <c r="AH202">
        <v>79.1518</v>
      </c>
      <c r="AI202" s="10">
        <v>1.12359350008465</v>
      </c>
      <c r="AJ202">
        <v>0.702385304818529</v>
      </c>
    </row>
    <row r="203" customFormat="1" spans="1:36">
      <c r="A203" s="1" t="s">
        <v>477</v>
      </c>
      <c r="B203" s="1">
        <v>85714394</v>
      </c>
      <c r="C203" s="2">
        <v>0.00126626</v>
      </c>
      <c r="E203">
        <v>21.603593</v>
      </c>
      <c r="F203">
        <v>3967.598976</v>
      </c>
      <c r="G203" s="3">
        <v>3.967598976</v>
      </c>
      <c r="H203" s="4"/>
      <c r="I203" t="s">
        <v>477</v>
      </c>
      <c r="J203">
        <v>17.6768</v>
      </c>
      <c r="K203" s="5">
        <v>4.84897685101376</v>
      </c>
      <c r="L203">
        <v>1.22214389114051</v>
      </c>
      <c r="O203">
        <v>0.0246656</v>
      </c>
      <c r="P203" s="6">
        <v>3.4750581376492</v>
      </c>
      <c r="Q203" s="4">
        <v>1.39536567704562</v>
      </c>
      <c r="R203" s="4"/>
      <c r="T203">
        <v>58.067</v>
      </c>
      <c r="U203" s="7">
        <v>1.47612919558441</v>
      </c>
      <c r="V203">
        <v>3.28492713613324</v>
      </c>
      <c r="Y203">
        <v>0.00719852</v>
      </c>
      <c r="Z203" s="8">
        <v>11.9072245406</v>
      </c>
      <c r="AA203">
        <v>0.407229815351195</v>
      </c>
      <c r="AD203" s="9">
        <v>2.486616</v>
      </c>
      <c r="AE203">
        <v>1.95003042327957</v>
      </c>
      <c r="AH203">
        <v>18.4639</v>
      </c>
      <c r="AI203" s="10">
        <v>4.64226918473345</v>
      </c>
      <c r="AJ203">
        <v>1.04452729000724</v>
      </c>
    </row>
    <row r="204" customFormat="1" spans="1:36">
      <c r="A204" s="1" t="s">
        <v>476</v>
      </c>
      <c r="B204" s="1">
        <v>85714394</v>
      </c>
      <c r="C204" s="2">
        <v>0.00126626</v>
      </c>
      <c r="E204">
        <v>21.653056</v>
      </c>
      <c r="F204">
        <v>3958.535729</v>
      </c>
      <c r="G204" s="3">
        <v>3.958535729</v>
      </c>
      <c r="H204" s="4"/>
      <c r="I204" t="s">
        <v>476</v>
      </c>
      <c r="J204">
        <v>18.7673</v>
      </c>
      <c r="K204" s="5">
        <v>4.56722032471373</v>
      </c>
      <c r="L204">
        <v>1.15376508825083</v>
      </c>
      <c r="O204">
        <v>0.0192224</v>
      </c>
      <c r="P204" s="6">
        <v>4.45908908356917</v>
      </c>
      <c r="Q204" s="4">
        <v>1.02424962567871</v>
      </c>
      <c r="R204" s="4"/>
      <c r="T204">
        <v>58.36</v>
      </c>
      <c r="U204" s="7">
        <v>1.46871819739548</v>
      </c>
      <c r="V204">
        <v>3.10966414987771</v>
      </c>
      <c r="Y204">
        <v>0.00725954</v>
      </c>
      <c r="Z204" s="8">
        <v>11.8071384688286</v>
      </c>
      <c r="AA204">
        <v>0.386818562073394</v>
      </c>
      <c r="AD204" s="9">
        <v>2.485164</v>
      </c>
      <c r="AE204">
        <v>1.83779433659659</v>
      </c>
      <c r="AH204">
        <v>18.9027</v>
      </c>
      <c r="AI204" s="10">
        <v>4.53450533521666</v>
      </c>
      <c r="AJ204">
        <v>1.00721467659173</v>
      </c>
    </row>
    <row r="205" customFormat="1" spans="1:36">
      <c r="A205" s="1" t="s">
        <v>227</v>
      </c>
      <c r="B205" s="1">
        <v>11039332</v>
      </c>
      <c r="C205" s="2">
        <v>0.00136599</v>
      </c>
      <c r="E205">
        <v>9.351134</v>
      </c>
      <c r="F205">
        <v>1180.534052</v>
      </c>
      <c r="G205" s="3">
        <v>1.180534052</v>
      </c>
      <c r="H205" s="4"/>
      <c r="I205" t="s">
        <v>227</v>
      </c>
      <c r="J205">
        <v>9.16243</v>
      </c>
      <c r="K205" s="5">
        <v>1.20484762230107</v>
      </c>
      <c r="L205">
        <v>1.02059539939562</v>
      </c>
      <c r="O205">
        <v>0.015184</v>
      </c>
      <c r="P205" s="6">
        <v>0.727037144362487</v>
      </c>
      <c r="Q205" s="4">
        <v>1.65720229240496</v>
      </c>
      <c r="R205" s="4"/>
      <c r="T205">
        <v>20.452</v>
      </c>
      <c r="U205" s="7">
        <v>0.539767846665363</v>
      </c>
      <c r="V205">
        <v>2.23215893600279</v>
      </c>
      <c r="Y205">
        <v>0.00422523</v>
      </c>
      <c r="Z205" s="8">
        <v>2.61271741419994</v>
      </c>
      <c r="AA205">
        <v>0.461147315723012</v>
      </c>
      <c r="AD205" s="9">
        <v>0.684606</v>
      </c>
      <c r="AE205">
        <v>1.75991391004617</v>
      </c>
      <c r="AH205">
        <v>15.5083</v>
      </c>
      <c r="AI205" s="10">
        <v>0.711833792227388</v>
      </c>
      <c r="AJ205">
        <v>1.69259683293624</v>
      </c>
    </row>
    <row r="206" customFormat="1" spans="1:36">
      <c r="A206" s="1" t="s">
        <v>47</v>
      </c>
      <c r="B206" s="1">
        <v>1807160</v>
      </c>
      <c r="C206" s="2">
        <v>0.00144058</v>
      </c>
      <c r="E206">
        <v>1.476059</v>
      </c>
      <c r="F206">
        <v>1224.314017</v>
      </c>
      <c r="G206" s="3">
        <v>1.224314017</v>
      </c>
      <c r="H206" s="4"/>
      <c r="I206" t="s">
        <v>47</v>
      </c>
      <c r="J206">
        <v>1.05115</v>
      </c>
      <c r="K206" s="5">
        <v>1.7192218046901</v>
      </c>
      <c r="L206">
        <v>1.40423272201261</v>
      </c>
      <c r="O206">
        <v>0.0017024</v>
      </c>
      <c r="P206" s="6">
        <v>1.06153665413534</v>
      </c>
      <c r="Q206" s="4">
        <v>1.61955953003853</v>
      </c>
      <c r="R206" s="4"/>
      <c r="T206">
        <v>3.547</v>
      </c>
      <c r="U206" s="7">
        <v>0.509489709613758</v>
      </c>
      <c r="V206">
        <v>3.37439946725015</v>
      </c>
      <c r="Y206">
        <v>0.00301396</v>
      </c>
      <c r="Z206" s="8">
        <v>0.599596544081541</v>
      </c>
      <c r="AA206">
        <v>2.86729772154307</v>
      </c>
      <c r="AD206" s="9">
        <v>0.80544</v>
      </c>
      <c r="AE206">
        <v>2.13451257038401</v>
      </c>
      <c r="AH206">
        <v>1.9692</v>
      </c>
      <c r="AI206" s="10">
        <v>0.917712776762137</v>
      </c>
      <c r="AJ206">
        <v>1.87337677781477</v>
      </c>
    </row>
    <row r="207" customFormat="1" spans="1:36">
      <c r="A207" s="1" t="s">
        <v>309</v>
      </c>
      <c r="B207" s="1">
        <v>20213852</v>
      </c>
      <c r="C207" s="2">
        <v>0.00147677</v>
      </c>
      <c r="E207">
        <v>15.627028</v>
      </c>
      <c r="F207">
        <v>1293.518649</v>
      </c>
      <c r="G207" s="3">
        <v>1.293518649</v>
      </c>
      <c r="H207" s="4"/>
      <c r="I207" t="s">
        <v>309</v>
      </c>
      <c r="J207">
        <v>14.5426</v>
      </c>
      <c r="K207" s="5">
        <v>1.38997510761487</v>
      </c>
      <c r="L207">
        <v>1.07456905139283</v>
      </c>
      <c r="O207">
        <v>0.025296</v>
      </c>
      <c r="P207" s="6">
        <v>0.799092820999367</v>
      </c>
      <c r="Q207" s="4">
        <v>1.73944136536795</v>
      </c>
      <c r="R207" s="4"/>
      <c r="T207">
        <v>44.687</v>
      </c>
      <c r="U207" s="7">
        <v>0.452343008033656</v>
      </c>
      <c r="V207">
        <v>3.07283429373014</v>
      </c>
      <c r="Y207">
        <v>0.00570883</v>
      </c>
      <c r="Z207" s="8">
        <v>3.54080468327135</v>
      </c>
      <c r="AA207">
        <v>0.392559102223811</v>
      </c>
      <c r="AD207" s="9">
        <v>0.695154</v>
      </c>
      <c r="AE207">
        <v>1.99952112426149</v>
      </c>
      <c r="AH207">
        <v>21.9674</v>
      </c>
      <c r="AI207" s="10">
        <v>0.92017498657101</v>
      </c>
      <c r="AJ207">
        <v>1.5105551964573</v>
      </c>
    </row>
    <row r="208" customFormat="1" spans="1:36">
      <c r="A208" s="1" t="s">
        <v>649</v>
      </c>
      <c r="B208" s="1">
        <v>7294707574</v>
      </c>
      <c r="C208" s="2">
        <v>0.00156339</v>
      </c>
      <c r="E208">
        <v>1625.116543</v>
      </c>
      <c r="F208">
        <v>4488.728888</v>
      </c>
      <c r="G208" s="3">
        <v>4.488728888</v>
      </c>
      <c r="H208" s="4"/>
      <c r="I208" t="s">
        <v>649</v>
      </c>
      <c r="J208">
        <v>3.0447</v>
      </c>
      <c r="K208" s="5">
        <v>2395.87071764049</v>
      </c>
      <c r="L208">
        <v>533.752600662856</v>
      </c>
      <c r="O208">
        <v>0.003032</v>
      </c>
      <c r="P208" s="6">
        <v>2405.90619195251</v>
      </c>
      <c r="Q208" s="4">
        <v>0.995828817289059</v>
      </c>
      <c r="R208" s="4"/>
      <c r="T208">
        <v>1022.611</v>
      </c>
      <c r="U208" s="7">
        <v>7.13341395115053</v>
      </c>
      <c r="V208">
        <v>335.865930962</v>
      </c>
      <c r="Y208">
        <v>0.00532386</v>
      </c>
      <c r="Z208" s="8">
        <v>1370.19147272843</v>
      </c>
      <c r="AA208">
        <v>1.74856636121785</v>
      </c>
      <c r="AD208" s="9">
        <v>1.510563</v>
      </c>
      <c r="AE208">
        <v>1586.07798393082</v>
      </c>
      <c r="AH208">
        <v>5.1999</v>
      </c>
      <c r="AI208" s="10">
        <v>1402.85535760303</v>
      </c>
      <c r="AJ208">
        <v>1.70785299044241</v>
      </c>
    </row>
    <row r="209" customFormat="1" spans="1:36">
      <c r="A209" s="1" t="s">
        <v>348</v>
      </c>
      <c r="B209" s="1">
        <v>26845174</v>
      </c>
      <c r="C209" s="2">
        <v>0.00161752</v>
      </c>
      <c r="E209">
        <v>10.707589</v>
      </c>
      <c r="F209">
        <v>2507.116489</v>
      </c>
      <c r="G209" s="3">
        <v>2.507116489</v>
      </c>
      <c r="H209" s="4"/>
      <c r="I209" t="s">
        <v>348</v>
      </c>
      <c r="J209">
        <v>8.71507</v>
      </c>
      <c r="K209" s="5">
        <v>3.08031650921909</v>
      </c>
      <c r="L209">
        <v>1.22862919323215</v>
      </c>
      <c r="O209">
        <v>0.0085504</v>
      </c>
      <c r="P209" s="6">
        <v>3.13963954902695</v>
      </c>
      <c r="Q209" s="4">
        <v>0.981105143160066</v>
      </c>
      <c r="R209" s="4"/>
      <c r="T209">
        <v>264.688</v>
      </c>
      <c r="U209" s="7">
        <v>0.101421953394185</v>
      </c>
      <c r="V209">
        <v>30.371299369942</v>
      </c>
      <c r="Y209">
        <v>0.00121593</v>
      </c>
      <c r="Z209" s="8">
        <v>22.0778942866777</v>
      </c>
      <c r="AA209">
        <v>0.139520393984214</v>
      </c>
      <c r="AD209" s="9">
        <v>1.513083</v>
      </c>
      <c r="AE209">
        <v>2.03578819484396</v>
      </c>
      <c r="AH209">
        <v>22.3244</v>
      </c>
      <c r="AI209" s="10">
        <v>1.20250371790507</v>
      </c>
      <c r="AJ209">
        <v>2.56158585071606</v>
      </c>
    </row>
    <row r="210" customFormat="1" spans="1:36">
      <c r="A210" s="1" t="s">
        <v>453</v>
      </c>
      <c r="B210" s="1">
        <v>67360030</v>
      </c>
      <c r="C210" s="2">
        <v>0.00178547</v>
      </c>
      <c r="E210">
        <v>18.230356</v>
      </c>
      <c r="F210">
        <v>3694.937818</v>
      </c>
      <c r="G210" s="3">
        <v>3.694937818</v>
      </c>
      <c r="H210" s="4"/>
      <c r="I210" t="s">
        <v>453</v>
      </c>
      <c r="J210">
        <v>23.7388</v>
      </c>
      <c r="K210" s="5">
        <v>2.83754991827725</v>
      </c>
      <c r="L210">
        <v>0.767956068016637</v>
      </c>
      <c r="O210">
        <v>0.0340496</v>
      </c>
      <c r="P210" s="6">
        <v>1.97829137493539</v>
      </c>
      <c r="Q210" s="4">
        <v>1.43434377474851</v>
      </c>
      <c r="R210" s="4"/>
      <c r="T210">
        <v>1118.782</v>
      </c>
      <c r="U210" s="7">
        <v>0.0602083605206376</v>
      </c>
      <c r="V210">
        <v>47.1288354929482</v>
      </c>
      <c r="Y210">
        <v>0.0576725</v>
      </c>
      <c r="Z210" s="8">
        <v>1.16797485803459</v>
      </c>
      <c r="AA210">
        <v>2.42946147235749</v>
      </c>
      <c r="AD210" s="9">
        <v>1.269789</v>
      </c>
      <c r="AE210">
        <v>2.23466254494034</v>
      </c>
      <c r="AH210">
        <v>64.7628</v>
      </c>
      <c r="AI210" s="10">
        <v>1.04010373238958</v>
      </c>
      <c r="AJ210">
        <v>2.72814127083088</v>
      </c>
    </row>
    <row r="211" customFormat="1" spans="1:36">
      <c r="A211" s="1" t="s">
        <v>120</v>
      </c>
      <c r="B211" s="1">
        <v>4855132</v>
      </c>
      <c r="C211" s="2">
        <v>0.00197726</v>
      </c>
      <c r="E211">
        <v>4.541167</v>
      </c>
      <c r="F211">
        <v>1069.137561</v>
      </c>
      <c r="G211" s="3">
        <v>1.069137561</v>
      </c>
      <c r="H211" s="4"/>
      <c r="I211" t="s">
        <v>120</v>
      </c>
      <c r="J211">
        <v>3.07119</v>
      </c>
      <c r="K211" s="5">
        <v>1.58086344381168</v>
      </c>
      <c r="L211">
        <v>1.47863427633489</v>
      </c>
      <c r="O211">
        <v>0.0055856</v>
      </c>
      <c r="P211" s="6">
        <v>0.869223002005156</v>
      </c>
      <c r="Q211" s="4">
        <v>1.81870870900205</v>
      </c>
      <c r="R211" s="4"/>
      <c r="T211">
        <v>9.033</v>
      </c>
      <c r="U211" s="7">
        <v>0.537488320602236</v>
      </c>
      <c r="V211">
        <v>2.94120520059</v>
      </c>
      <c r="Y211">
        <v>0.00355517</v>
      </c>
      <c r="Z211" s="8">
        <v>1.36565396310162</v>
      </c>
      <c r="AA211">
        <v>1.15758712420918</v>
      </c>
      <c r="AD211" s="9">
        <v>0.763383</v>
      </c>
      <c r="AE211">
        <v>2.07086540283407</v>
      </c>
      <c r="AH211">
        <v>9.1775</v>
      </c>
      <c r="AI211" s="10">
        <v>0.529025551620812</v>
      </c>
      <c r="AJ211">
        <v>2.98825536681221</v>
      </c>
    </row>
    <row r="212" customFormat="1" spans="1:36">
      <c r="A212" s="1" t="s">
        <v>84</v>
      </c>
      <c r="B212" s="1">
        <v>3082948</v>
      </c>
      <c r="C212" s="2">
        <v>0.00216259</v>
      </c>
      <c r="E212">
        <v>1.941428</v>
      </c>
      <c r="F212">
        <v>1587.979335</v>
      </c>
      <c r="G212" s="3">
        <v>1.587979335</v>
      </c>
      <c r="H212" s="4"/>
      <c r="I212" t="s">
        <v>84</v>
      </c>
      <c r="J212">
        <v>1.72542</v>
      </c>
      <c r="K212" s="5">
        <v>1.78678118950748</v>
      </c>
      <c r="L212">
        <v>1.12519171385028</v>
      </c>
      <c r="M212"/>
      <c r="O212">
        <v>0.0014352</v>
      </c>
      <c r="P212" s="6">
        <v>2.14809643255295</v>
      </c>
      <c r="Q212" s="4">
        <v>0.831797475397295</v>
      </c>
      <c r="R212" s="4"/>
      <c r="T212">
        <v>3.302</v>
      </c>
      <c r="U212" s="7">
        <v>0.933660811629316</v>
      </c>
      <c r="V212">
        <v>1.91373694520754</v>
      </c>
      <c r="W212"/>
      <c r="Y212">
        <v>0.00392738</v>
      </c>
      <c r="Z212" s="8">
        <v>0.784988465592838</v>
      </c>
      <c r="AA212">
        <v>2.27618782673204</v>
      </c>
      <c r="AB212"/>
      <c r="AD212" s="9">
        <v>1.293903</v>
      </c>
      <c r="AE212">
        <v>1.38092360053843</v>
      </c>
      <c r="AF212"/>
      <c r="AH212">
        <v>2.7825</v>
      </c>
      <c r="AI212" s="10">
        <v>1.1079777178796</v>
      </c>
      <c r="AJ212">
        <v>1.6126508328407</v>
      </c>
    </row>
    <row r="213" customFormat="1" spans="1:36">
      <c r="A213" s="1" t="s">
        <v>524</v>
      </c>
      <c r="B213" s="1">
        <v>143404670</v>
      </c>
      <c r="C213" s="2">
        <v>0.00220178</v>
      </c>
      <c r="E213">
        <v>40.870784</v>
      </c>
      <c r="F213">
        <v>3508.733072</v>
      </c>
      <c r="G213" s="3">
        <v>3.508733072</v>
      </c>
      <c r="H213" s="4"/>
      <c r="I213" t="s">
        <v>524</v>
      </c>
      <c r="J213">
        <v>48.5385</v>
      </c>
      <c r="K213" s="5">
        <v>2.95445203292232</v>
      </c>
      <c r="L213">
        <v>0.842028154406816</v>
      </c>
      <c r="O213">
        <v>0.0458992</v>
      </c>
      <c r="P213" s="6">
        <v>3.12433920416914</v>
      </c>
      <c r="Q213" s="4">
        <v>0.945624607270517</v>
      </c>
      <c r="R213" s="4"/>
      <c r="T213">
        <v>807.747</v>
      </c>
      <c r="U213" s="7">
        <v>0.177536617282392</v>
      </c>
      <c r="V213">
        <v>16.6413671621496</v>
      </c>
      <c r="Y213">
        <v>0.001449</v>
      </c>
      <c r="Z213" s="8">
        <v>98.9680262249827</v>
      </c>
      <c r="AA213">
        <v>0.0298525912420038</v>
      </c>
      <c r="AD213" s="9">
        <v>1.474527</v>
      </c>
      <c r="AE213">
        <v>2.00366085729344</v>
      </c>
      <c r="AH213">
        <v>101.8325</v>
      </c>
      <c r="AI213" s="10">
        <v>1.40824068936734</v>
      </c>
      <c r="AJ213">
        <v>2.09797377339638</v>
      </c>
    </row>
    <row r="214" customFormat="1" spans="1:36">
      <c r="A214" s="1" t="s">
        <v>525</v>
      </c>
      <c r="B214" s="1">
        <v>143404670</v>
      </c>
      <c r="C214" s="2">
        <v>0.00221041</v>
      </c>
      <c r="E214">
        <v>41.11483</v>
      </c>
      <c r="F214">
        <v>3487.906154</v>
      </c>
      <c r="G214" s="3">
        <v>3.487906154</v>
      </c>
      <c r="H214" s="4"/>
      <c r="I214" t="s">
        <v>525</v>
      </c>
      <c r="J214">
        <v>45.0677</v>
      </c>
      <c r="K214" s="5">
        <v>3.18198332730536</v>
      </c>
      <c r="L214">
        <v>0.9122904077153</v>
      </c>
      <c r="O214">
        <v>0.0458272</v>
      </c>
      <c r="P214" s="6">
        <v>3.12924791390266</v>
      </c>
      <c r="Q214" s="4">
        <v>1.01685242424175</v>
      </c>
      <c r="R214" s="4"/>
      <c r="T214">
        <v>805.379</v>
      </c>
      <c r="U214" s="7">
        <v>0.178058615881467</v>
      </c>
      <c r="V214">
        <v>17.8704260479235</v>
      </c>
      <c r="Y214">
        <v>0.00142498</v>
      </c>
      <c r="Z214" s="8">
        <v>100.636268579208</v>
      </c>
      <c r="AA214">
        <v>0.0316186537143009</v>
      </c>
      <c r="AD214" s="9">
        <v>1.487997</v>
      </c>
      <c r="AE214">
        <v>2.13843396680596</v>
      </c>
      <c r="AH214">
        <v>102.116</v>
      </c>
      <c r="AI214" s="10">
        <v>1.40433105487877</v>
      </c>
      <c r="AJ214">
        <v>2.26583562063296</v>
      </c>
    </row>
    <row r="215" customFormat="1" spans="1:36">
      <c r="A215" s="1" t="s">
        <v>388</v>
      </c>
      <c r="B215" s="1">
        <v>38173744</v>
      </c>
      <c r="C215" s="2">
        <v>0.00241607</v>
      </c>
      <c r="E215">
        <v>6.500335</v>
      </c>
      <c r="F215">
        <v>5872.581079</v>
      </c>
      <c r="G215" s="3">
        <v>5.872581079</v>
      </c>
      <c r="H215" s="4"/>
      <c r="I215" t="s">
        <v>388</v>
      </c>
      <c r="J215">
        <v>5.2828</v>
      </c>
      <c r="K215" s="5">
        <v>7.22604376467025</v>
      </c>
      <c r="L215">
        <v>1.23047151967133</v>
      </c>
      <c r="O215">
        <v>0.0056688</v>
      </c>
      <c r="P215" s="6">
        <v>6.73400790290714</v>
      </c>
      <c r="Q215" s="4">
        <v>1.07306731278867</v>
      </c>
      <c r="R215" s="4"/>
      <c r="T215">
        <v>35.23</v>
      </c>
      <c r="U215" s="7">
        <v>1.08355787680954</v>
      </c>
      <c r="V215">
        <v>6.66881199363974</v>
      </c>
      <c r="Y215">
        <v>0.00936836</v>
      </c>
      <c r="Z215" s="8">
        <v>4.07475203770991</v>
      </c>
      <c r="AA215">
        <v>1.77337018247899</v>
      </c>
      <c r="AD215" s="9">
        <v>1.731063</v>
      </c>
      <c r="AE215">
        <v>4.17433898400593</v>
      </c>
      <c r="AH215">
        <v>7.7396</v>
      </c>
      <c r="AI215" s="10">
        <v>4.93226316605509</v>
      </c>
      <c r="AJ215">
        <v>1.46505640947982</v>
      </c>
    </row>
    <row r="216" customFormat="1" spans="1:36">
      <c r="A216" s="1" t="s">
        <v>224</v>
      </c>
      <c r="B216" s="1">
        <v>10836444</v>
      </c>
      <c r="C216" s="2">
        <v>0.00256749</v>
      </c>
      <c r="E216">
        <v>8.519236</v>
      </c>
      <c r="F216">
        <v>1271.997174</v>
      </c>
      <c r="G216" s="3">
        <v>1.271997174</v>
      </c>
      <c r="H216" s="4"/>
      <c r="I216" t="s">
        <v>224</v>
      </c>
      <c r="J216">
        <v>7.96985</v>
      </c>
      <c r="K216" s="5">
        <v>1.3596797932207</v>
      </c>
      <c r="L216">
        <v>1.06893302989422</v>
      </c>
      <c r="O216">
        <v>0.01284</v>
      </c>
      <c r="P216" s="6">
        <v>0.843959813084112</v>
      </c>
      <c r="Q216" s="4">
        <v>1.61107172656951</v>
      </c>
      <c r="R216" s="4"/>
      <c r="T216">
        <v>19.631</v>
      </c>
      <c r="U216" s="7">
        <v>0.552006724058886</v>
      </c>
      <c r="V216">
        <v>2.46315802681355</v>
      </c>
      <c r="Y216">
        <v>0.00406333</v>
      </c>
      <c r="Z216" s="8">
        <v>2.66688750359926</v>
      </c>
      <c r="AA216">
        <v>0.509837700835022</v>
      </c>
      <c r="AD216" s="9">
        <v>0.729492</v>
      </c>
      <c r="AE216">
        <v>1.863872109935</v>
      </c>
      <c r="AH216">
        <v>16.7419</v>
      </c>
      <c r="AI216" s="10">
        <v>0.647264886303227</v>
      </c>
      <c r="AJ216">
        <v>2.10065434104782</v>
      </c>
    </row>
    <row r="217" customFormat="1" spans="1:36">
      <c r="A217" s="1" t="s">
        <v>650</v>
      </c>
      <c r="B217" s="1">
        <v>7480842800</v>
      </c>
      <c r="C217" s="2">
        <v>0.0027833</v>
      </c>
      <c r="E217">
        <v>769.61957</v>
      </c>
      <c r="F217">
        <v>9720.182666</v>
      </c>
      <c r="G217" s="3">
        <v>9.720182666</v>
      </c>
      <c r="H217" s="4"/>
      <c r="I217" t="s">
        <v>650</v>
      </c>
      <c r="J217">
        <v>8.14</v>
      </c>
      <c r="K217" s="5">
        <v>919.022457002457</v>
      </c>
      <c r="L217">
        <v>94.547858675237</v>
      </c>
      <c r="O217">
        <v>0.0132768</v>
      </c>
      <c r="P217" s="6">
        <v>563.452247529525</v>
      </c>
      <c r="Q217" s="4">
        <v>1.63105651105651</v>
      </c>
      <c r="R217" s="4"/>
      <c r="T217">
        <v>844.466</v>
      </c>
      <c r="U217" s="7">
        <v>8.85866666035104</v>
      </c>
      <c r="V217">
        <v>103.742751842752</v>
      </c>
      <c r="Y217">
        <v>0.011998</v>
      </c>
      <c r="Z217" s="8">
        <v>623.507484580763</v>
      </c>
      <c r="AA217">
        <v>1.47395577395577</v>
      </c>
      <c r="AD217" s="9">
        <v>1.384545</v>
      </c>
      <c r="AE217">
        <v>663.772182921073</v>
      </c>
      <c r="AH217">
        <v>13.9824</v>
      </c>
      <c r="AI217" s="10">
        <v>535.018508982721</v>
      </c>
      <c r="AJ217">
        <v>1.71773955773956</v>
      </c>
    </row>
    <row r="218" customFormat="1" spans="1:36">
      <c r="A218" s="1" t="s">
        <v>107</v>
      </c>
      <c r="B218" s="1">
        <v>4344174</v>
      </c>
      <c r="C218" s="2">
        <v>0.00292969</v>
      </c>
      <c r="E218">
        <v>3.000045</v>
      </c>
      <c r="F218">
        <v>1448.03632</v>
      </c>
      <c r="G218" s="3">
        <v>1.44803632</v>
      </c>
      <c r="H218" s="4"/>
      <c r="I218" t="s">
        <v>107</v>
      </c>
      <c r="J218">
        <v>2.62646</v>
      </c>
      <c r="K218" s="5">
        <v>1.65400348758405</v>
      </c>
      <c r="L218">
        <v>1.14223895128822</v>
      </c>
      <c r="O218">
        <v>0.0016976</v>
      </c>
      <c r="P218" s="6">
        <v>2.55900918944392</v>
      </c>
      <c r="Q218" s="4">
        <v>0.646345270820801</v>
      </c>
      <c r="R218" s="4"/>
      <c r="T218">
        <v>8.272</v>
      </c>
      <c r="U218" s="7">
        <v>0.525166102514507</v>
      </c>
      <c r="V218">
        <v>3.14948638090814</v>
      </c>
      <c r="Y218">
        <v>0.00447717</v>
      </c>
      <c r="Z218" s="8">
        <v>0.970294628079791</v>
      </c>
      <c r="AA218">
        <v>1.7046404666357</v>
      </c>
      <c r="AD218" s="9">
        <v>1.561518</v>
      </c>
      <c r="AE218">
        <v>1.05922793562677</v>
      </c>
      <c r="AH218">
        <v>2.0406</v>
      </c>
      <c r="AI218" s="10">
        <v>2.12887092031755</v>
      </c>
      <c r="AJ218">
        <v>0.776939302330894</v>
      </c>
    </row>
    <row r="219" customFormat="1" spans="1:36">
      <c r="A219" s="1" t="s">
        <v>109</v>
      </c>
      <c r="B219" s="1">
        <v>4449732</v>
      </c>
      <c r="C219" s="2">
        <v>0.00349528</v>
      </c>
      <c r="E219">
        <v>2.282899</v>
      </c>
      <c r="F219">
        <v>1949.158453</v>
      </c>
      <c r="G219" s="3">
        <v>1.949158453</v>
      </c>
      <c r="H219" s="4"/>
      <c r="I219" t="s">
        <v>109</v>
      </c>
      <c r="J219">
        <v>1.80263</v>
      </c>
      <c r="K219" s="5">
        <v>2.46846662931384</v>
      </c>
      <c r="L219">
        <v>1.26642686515022</v>
      </c>
      <c r="O219">
        <v>0.0021984</v>
      </c>
      <c r="P219" s="6">
        <v>2.02407751091703</v>
      </c>
      <c r="Q219" s="4">
        <v>1.21955143318374</v>
      </c>
      <c r="R219" s="4"/>
      <c r="T219">
        <v>10.181</v>
      </c>
      <c r="U219" s="7">
        <v>0.437062371083391</v>
      </c>
      <c r="V219">
        <v>5.64785896162829</v>
      </c>
      <c r="Y219">
        <v>0.00234041</v>
      </c>
      <c r="Z219" s="8">
        <v>1.90126174473703</v>
      </c>
      <c r="AA219">
        <v>1.29833077226053</v>
      </c>
      <c r="AD219" s="9">
        <v>1.342269</v>
      </c>
      <c r="AE219">
        <v>1.83902528428641</v>
      </c>
      <c r="AH219">
        <v>2.3858</v>
      </c>
      <c r="AI219" s="10">
        <v>1.86509011652276</v>
      </c>
      <c r="AJ219">
        <v>1.3235106483305</v>
      </c>
    </row>
    <row r="220" customFormat="1" spans="1:36">
      <c r="A220" s="1" t="s">
        <v>190</v>
      </c>
      <c r="B220" s="1">
        <v>9566300</v>
      </c>
      <c r="C220" s="2">
        <v>0.00350877</v>
      </c>
      <c r="E220">
        <v>2.046648</v>
      </c>
      <c r="F220">
        <v>4674.130061</v>
      </c>
      <c r="G220" s="3">
        <v>4.674130061</v>
      </c>
      <c r="H220" s="4"/>
      <c r="I220" t="s">
        <v>190</v>
      </c>
      <c r="J220">
        <v>1.09216</v>
      </c>
      <c r="K220" s="5">
        <v>8.75906460591855</v>
      </c>
      <c r="L220">
        <v>1.87394541692419</v>
      </c>
      <c r="O220">
        <v>0.0015264</v>
      </c>
      <c r="P220" s="6">
        <v>6.26723008385744</v>
      </c>
      <c r="Q220" s="4">
        <v>1.39759742162321</v>
      </c>
      <c r="R220" s="4"/>
      <c r="T220">
        <v>6.666</v>
      </c>
      <c r="U220" s="7">
        <v>1.43508850885089</v>
      </c>
      <c r="V220">
        <v>6.10350131848813</v>
      </c>
      <c r="Y220">
        <v>0.0024833</v>
      </c>
      <c r="Z220" s="8">
        <v>3.85225305037652</v>
      </c>
      <c r="AA220">
        <v>2.27375109874011</v>
      </c>
      <c r="AD220" s="9">
        <v>2.892873</v>
      </c>
      <c r="AE220">
        <v>3.02780820517131</v>
      </c>
      <c r="AH220">
        <v>1.4722</v>
      </c>
      <c r="AI220" s="10">
        <v>6.4979622333922</v>
      </c>
      <c r="AJ220">
        <v>1.34797099326106</v>
      </c>
    </row>
    <row r="221" customFormat="1" spans="1:36">
      <c r="A221" s="1" t="s">
        <v>651</v>
      </c>
      <c r="B221" s="1">
        <v>1007338054</v>
      </c>
      <c r="C221" s="2">
        <v>0.00374357</v>
      </c>
      <c r="E221">
        <v>54.275473</v>
      </c>
      <c r="F221">
        <v>18559.728582</v>
      </c>
      <c r="G221" s="3">
        <v>18.559728582</v>
      </c>
      <c r="H221" s="4"/>
      <c r="I221" t="s">
        <v>651</v>
      </c>
      <c r="J221">
        <v>1.84581</v>
      </c>
      <c r="K221" s="5">
        <v>545.743090567285</v>
      </c>
      <c r="L221">
        <v>29.4046913539764</v>
      </c>
      <c r="O221">
        <v>0.0010464</v>
      </c>
      <c r="P221" s="6">
        <v>962.670158639144</v>
      </c>
      <c r="Q221" s="4">
        <v>0.566905586165423</v>
      </c>
      <c r="R221" s="4"/>
      <c r="T221">
        <v>145.245</v>
      </c>
      <c r="U221" s="7">
        <v>6.9354404902062</v>
      </c>
      <c r="V221">
        <v>78.6890308319925</v>
      </c>
      <c r="Y221">
        <v>0.00259158</v>
      </c>
      <c r="Z221" s="8">
        <v>388.696491715479</v>
      </c>
      <c r="AA221">
        <v>1.40403400133275</v>
      </c>
      <c r="AD221" s="9">
        <v>1.514625</v>
      </c>
      <c r="AE221">
        <v>360.315649462596</v>
      </c>
      <c r="AH221">
        <v>1.7132</v>
      </c>
      <c r="AI221" s="10">
        <v>587.986256128882</v>
      </c>
      <c r="AJ221">
        <v>0.928156202426035</v>
      </c>
    </row>
    <row r="222" customFormat="1" spans="1:36">
      <c r="A222" s="1" t="s">
        <v>329</v>
      </c>
      <c r="B222" s="1">
        <v>23587180</v>
      </c>
      <c r="C222" s="2">
        <v>0.00432172</v>
      </c>
      <c r="E222">
        <v>11.683066</v>
      </c>
      <c r="F222">
        <v>2018.920395</v>
      </c>
      <c r="G222" s="3">
        <v>2.018920395</v>
      </c>
      <c r="H222" s="4"/>
      <c r="I222" t="s">
        <v>329</v>
      </c>
      <c r="J222">
        <v>13.7945</v>
      </c>
      <c r="K222" s="5">
        <v>1.70989742288593</v>
      </c>
      <c r="L222">
        <v>0.846936524649816</v>
      </c>
      <c r="O222">
        <v>0.0100048</v>
      </c>
      <c r="P222" s="6">
        <v>2.3575863585479</v>
      </c>
      <c r="Q222" s="4">
        <v>0.725274565950198</v>
      </c>
      <c r="R222" s="4"/>
      <c r="T222">
        <v>165.863</v>
      </c>
      <c r="U222" s="7">
        <v>0.142208810886093</v>
      </c>
      <c r="V222">
        <v>12.0238500851789</v>
      </c>
      <c r="Y222">
        <v>0.0027467</v>
      </c>
      <c r="Z222" s="8">
        <v>8.58746131721702</v>
      </c>
      <c r="AA222">
        <v>0.199115589546558</v>
      </c>
      <c r="AD222" s="9">
        <v>1.37919</v>
      </c>
      <c r="AE222">
        <v>1.23978380272909</v>
      </c>
      <c r="AH222">
        <v>21.9198</v>
      </c>
      <c r="AI222" s="10">
        <v>1.07606729988412</v>
      </c>
      <c r="AJ222">
        <v>1.58902461125811</v>
      </c>
    </row>
    <row r="223" customFormat="1" spans="1:36">
      <c r="A223" s="1" t="s">
        <v>247</v>
      </c>
      <c r="B223" s="1">
        <v>13781034</v>
      </c>
      <c r="C223" s="2">
        <v>0.00448766</v>
      </c>
      <c r="E223">
        <v>3.636262</v>
      </c>
      <c r="F223">
        <v>3789.89027</v>
      </c>
      <c r="G223" s="3">
        <v>3.78989027</v>
      </c>
      <c r="H223" s="4"/>
      <c r="I223" t="s">
        <v>247</v>
      </c>
      <c r="J223">
        <v>1.65692</v>
      </c>
      <c r="K223" s="5">
        <v>8.31725973492987</v>
      </c>
      <c r="L223">
        <v>2.19459117346157</v>
      </c>
      <c r="O223">
        <v>0.0021648</v>
      </c>
      <c r="P223" s="6">
        <v>6.36596175166297</v>
      </c>
      <c r="Q223" s="4">
        <v>1.30652053207155</v>
      </c>
      <c r="R223" s="4"/>
      <c r="T223">
        <v>8.559</v>
      </c>
      <c r="U223" s="7">
        <v>1.61012197686646</v>
      </c>
      <c r="V223">
        <v>5.16560847838157</v>
      </c>
      <c r="Y223">
        <v>0.00443295</v>
      </c>
      <c r="Z223" s="8">
        <v>3.10877271343011</v>
      </c>
      <c r="AA223">
        <v>2.67541583178427</v>
      </c>
      <c r="AD223" s="9">
        <v>2.378442</v>
      </c>
      <c r="AE223">
        <v>3.49693611823617</v>
      </c>
      <c r="AH223">
        <v>2.7183</v>
      </c>
      <c r="AI223" s="10">
        <v>5.06972519589449</v>
      </c>
      <c r="AJ223">
        <v>1.64057407720349</v>
      </c>
    </row>
    <row r="224" customFormat="1" spans="1:36">
      <c r="A224" s="1" t="s">
        <v>652</v>
      </c>
      <c r="B224" s="1">
        <v>5193707762</v>
      </c>
      <c r="C224" s="2">
        <v>0.00481963</v>
      </c>
      <c r="E224">
        <v>440.351509</v>
      </c>
      <c r="F224">
        <v>11794.45887</v>
      </c>
      <c r="G224" s="3">
        <v>11.79445887</v>
      </c>
      <c r="H224" s="4"/>
      <c r="I224" t="s">
        <v>652</v>
      </c>
      <c r="J224">
        <v>6.26683</v>
      </c>
      <c r="K224" s="5">
        <v>828.761552810592</v>
      </c>
      <c r="L224">
        <v>70.267026401576</v>
      </c>
      <c r="O224">
        <v>0.003728</v>
      </c>
      <c r="P224" s="6">
        <v>1393.16195332618</v>
      </c>
      <c r="Q224" s="4">
        <v>0.594878112219416</v>
      </c>
      <c r="R224" s="4"/>
      <c r="T224">
        <v>643.512</v>
      </c>
      <c r="U224" s="7">
        <v>8.07087942726787</v>
      </c>
      <c r="V224">
        <v>102.685408731368</v>
      </c>
      <c r="Y224">
        <v>0.0076394</v>
      </c>
      <c r="Z224" s="8">
        <v>679.858072885305</v>
      </c>
      <c r="AA224">
        <v>1.21902141912259</v>
      </c>
      <c r="AD224" s="9">
        <v>1.374396</v>
      </c>
      <c r="AE224">
        <v>603.000556470327</v>
      </c>
      <c r="AH224">
        <v>13.6796</v>
      </c>
      <c r="AI224" s="10">
        <v>379.668101552677</v>
      </c>
      <c r="AJ224">
        <v>2.18285799997766</v>
      </c>
    </row>
    <row r="225" customFormat="1" spans="1:36">
      <c r="A225" s="1" t="s">
        <v>484</v>
      </c>
      <c r="B225" s="1">
        <v>93473284</v>
      </c>
      <c r="C225" s="2">
        <v>0.00484925</v>
      </c>
      <c r="E225">
        <v>26.065416</v>
      </c>
      <c r="F225">
        <v>3586.103699</v>
      </c>
      <c r="G225" s="3">
        <v>3.586103699</v>
      </c>
      <c r="H225" s="4"/>
      <c r="I225" t="s">
        <v>484</v>
      </c>
      <c r="J225">
        <v>29.9704</v>
      </c>
      <c r="K225" s="5">
        <v>3.11885340202333</v>
      </c>
      <c r="L225">
        <v>0.869705302413044</v>
      </c>
      <c r="O225">
        <v>0.0201552</v>
      </c>
      <c r="P225" s="6">
        <v>4.63767583551639</v>
      </c>
      <c r="Q225" s="4">
        <v>0.672503536822999</v>
      </c>
      <c r="R225" s="4"/>
      <c r="T225">
        <v>167.52</v>
      </c>
      <c r="U225" s="7">
        <v>0.557982831900669</v>
      </c>
      <c r="V225">
        <v>5.58951498812161</v>
      </c>
      <c r="Y225">
        <v>0.011037</v>
      </c>
      <c r="Z225" s="8">
        <v>8.46908435263206</v>
      </c>
      <c r="AA225">
        <v>0.368263353175133</v>
      </c>
      <c r="AD225" s="9">
        <v>2.383545</v>
      </c>
      <c r="AE225">
        <v>1.3084936101577</v>
      </c>
      <c r="AH225">
        <v>27.4894</v>
      </c>
      <c r="AI225" s="10">
        <v>3.40033918528596</v>
      </c>
      <c r="AJ225">
        <v>0.917218322077783</v>
      </c>
    </row>
    <row r="226" customFormat="1" spans="1:36">
      <c r="A226" s="1" t="s">
        <v>367</v>
      </c>
      <c r="B226" s="1">
        <v>33294908</v>
      </c>
      <c r="C226" s="2">
        <v>0.00487409</v>
      </c>
      <c r="E226">
        <v>7.273109</v>
      </c>
      <c r="F226">
        <v>4577.809615</v>
      </c>
      <c r="G226" s="3">
        <v>4.577809615</v>
      </c>
      <c r="H226" s="4"/>
      <c r="I226" t="s">
        <v>367</v>
      </c>
      <c r="J226">
        <v>5.13843</v>
      </c>
      <c r="K226" s="5">
        <v>6.47958773399657</v>
      </c>
      <c r="L226">
        <v>1.41543407850887</v>
      </c>
      <c r="O226">
        <v>0.0053824</v>
      </c>
      <c r="P226" s="6">
        <v>6.18588510701546</v>
      </c>
      <c r="Q226" s="4">
        <v>1.04747948303276</v>
      </c>
      <c r="R226" s="4"/>
      <c r="T226">
        <v>20.022</v>
      </c>
      <c r="U226" s="7">
        <v>1.66291619218859</v>
      </c>
      <c r="V226">
        <v>3.89652092176015</v>
      </c>
      <c r="Y226">
        <v>0.0108229</v>
      </c>
      <c r="Z226" s="8">
        <v>3.07633887405409</v>
      </c>
      <c r="AA226">
        <v>2.10626592169203</v>
      </c>
      <c r="AD226" s="9">
        <v>2.329542</v>
      </c>
      <c r="AE226">
        <v>2.7814856886017</v>
      </c>
      <c r="AH226">
        <v>10.5148</v>
      </c>
      <c r="AI226" s="10">
        <v>3.16648038954616</v>
      </c>
      <c r="AJ226">
        <v>2.04630597283606</v>
      </c>
    </row>
    <row r="227" customFormat="1" spans="1:36">
      <c r="A227" s="1" t="s">
        <v>263</v>
      </c>
      <c r="B227" s="1">
        <v>15113794</v>
      </c>
      <c r="C227" s="2">
        <v>0.00491152</v>
      </c>
      <c r="E227">
        <v>11.417765</v>
      </c>
      <c r="F227">
        <v>1323.70865</v>
      </c>
      <c r="G227" s="3">
        <v>1.32370865</v>
      </c>
      <c r="H227" s="4"/>
      <c r="I227" t="s">
        <v>263</v>
      </c>
      <c r="J227">
        <v>12.9154</v>
      </c>
      <c r="K227" s="5">
        <v>1.17021493720675</v>
      </c>
      <c r="L227">
        <v>0.884042676012388</v>
      </c>
      <c r="O227">
        <v>0.0206368</v>
      </c>
      <c r="P227" s="6">
        <v>0.732371007132889</v>
      </c>
      <c r="Q227" s="4">
        <v>1.59784443377673</v>
      </c>
      <c r="R227" s="4"/>
      <c r="T227">
        <v>52.364</v>
      </c>
      <c r="U227" s="7">
        <v>0.288629478267512</v>
      </c>
      <c r="V227">
        <v>4.05438468804683</v>
      </c>
      <c r="Y227">
        <v>0.0179867</v>
      </c>
      <c r="Z227" s="8">
        <v>0.840276092890858</v>
      </c>
      <c r="AA227">
        <v>1.39265527974356</v>
      </c>
      <c r="AD227" s="9">
        <v>0.901641</v>
      </c>
      <c r="AE227">
        <v>1.29787236517277</v>
      </c>
      <c r="AH227">
        <v>21.8488</v>
      </c>
      <c r="AI227" s="10">
        <v>0.691744809783604</v>
      </c>
      <c r="AJ227">
        <v>1.69168589435867</v>
      </c>
    </row>
    <row r="228" customFormat="1" spans="1:36">
      <c r="A228" s="1" t="s">
        <v>611</v>
      </c>
      <c r="B228" s="1">
        <v>1165401468</v>
      </c>
      <c r="C228" s="2">
        <v>0.00497225</v>
      </c>
      <c r="E228">
        <v>1666.480107</v>
      </c>
      <c r="F228">
        <v>699.31916</v>
      </c>
      <c r="G228" s="3">
        <v>0.69931916</v>
      </c>
      <c r="H228" s="4"/>
      <c r="I228" t="s">
        <v>611</v>
      </c>
      <c r="J228">
        <v>921.176</v>
      </c>
      <c r="K228" s="5">
        <v>1.26512356813465</v>
      </c>
      <c r="L228">
        <v>1.80907894491929</v>
      </c>
      <c r="O228">
        <v>0.615192</v>
      </c>
      <c r="P228" s="6">
        <v>1.89437032341123</v>
      </c>
      <c r="Q228" s="4">
        <v>0.667833291358003</v>
      </c>
      <c r="R228" s="4"/>
      <c r="T228">
        <v>11333.133</v>
      </c>
      <c r="U228" s="7">
        <v>0.10283135898961</v>
      </c>
      <c r="V228">
        <v>12.3028965148897</v>
      </c>
      <c r="Y228">
        <v>0.0582325</v>
      </c>
      <c r="Z228" s="8">
        <v>20.0129046151204</v>
      </c>
      <c r="AA228">
        <v>0.0632153898929195</v>
      </c>
      <c r="AD228" s="9">
        <v>0.967644</v>
      </c>
      <c r="AE228">
        <v>1.30742666531766</v>
      </c>
      <c r="AH228">
        <v>1056.6</v>
      </c>
      <c r="AI228" s="10">
        <v>1.10297318568995</v>
      </c>
      <c r="AJ228">
        <v>1.14701208021051</v>
      </c>
    </row>
    <row r="229" customFormat="1" spans="1:36">
      <c r="A229" s="1" t="s">
        <v>366</v>
      </c>
      <c r="B229" s="1">
        <v>33294908</v>
      </c>
      <c r="C229" s="2">
        <v>0.00499806</v>
      </c>
      <c r="E229">
        <v>7.193502</v>
      </c>
      <c r="F229">
        <v>4628.470022</v>
      </c>
      <c r="G229" s="3">
        <v>4.628470022</v>
      </c>
      <c r="H229" s="4"/>
      <c r="I229" t="s">
        <v>366</v>
      </c>
      <c r="J229">
        <v>4.78688</v>
      </c>
      <c r="K229" s="5">
        <v>6.9554507320008</v>
      </c>
      <c r="L229">
        <v>1.50275376073308</v>
      </c>
      <c r="O229">
        <v>0.005368</v>
      </c>
      <c r="P229" s="6">
        <v>6.20247913561848</v>
      </c>
      <c r="Q229" s="4">
        <v>1.12139848920382</v>
      </c>
      <c r="R229" s="4"/>
      <c r="T229">
        <v>19.402</v>
      </c>
      <c r="U229" s="7">
        <v>1.71605545820019</v>
      </c>
      <c r="V229">
        <v>4.05316197606792</v>
      </c>
      <c r="Y229">
        <v>0.0114859</v>
      </c>
      <c r="Z229" s="8">
        <v>2.8987635274554</v>
      </c>
      <c r="AA229">
        <v>2.39945434186777</v>
      </c>
      <c r="AD229" s="9">
        <v>2.358852</v>
      </c>
      <c r="AE229">
        <v>2.94865923423801</v>
      </c>
      <c r="AH229">
        <v>10.712</v>
      </c>
      <c r="AI229" s="10">
        <v>3.10818782673637</v>
      </c>
      <c r="AJ229">
        <v>2.23778327428304</v>
      </c>
    </row>
    <row r="230" customFormat="1" spans="1:36">
      <c r="A230" s="1" t="s">
        <v>451</v>
      </c>
      <c r="B230" s="1">
        <v>66596856</v>
      </c>
      <c r="C230" s="2">
        <v>0.00503488</v>
      </c>
      <c r="E230">
        <v>13.981347</v>
      </c>
      <c r="F230">
        <v>4763.264808</v>
      </c>
      <c r="G230" s="3">
        <v>4.763264808</v>
      </c>
      <c r="H230" s="4"/>
      <c r="I230" t="s">
        <v>451</v>
      </c>
      <c r="J230">
        <v>9.70436</v>
      </c>
      <c r="K230" s="5">
        <v>6.86257063835225</v>
      </c>
      <c r="L230">
        <v>1.44072834809151</v>
      </c>
      <c r="O230">
        <v>0.0180848</v>
      </c>
      <c r="P230" s="6">
        <v>3.68247677607715</v>
      </c>
      <c r="Q230" s="4">
        <v>1.86357472311415</v>
      </c>
      <c r="R230" s="4"/>
      <c r="T230">
        <v>38.577</v>
      </c>
      <c r="U230" s="7">
        <v>1.72633579594059</v>
      </c>
      <c r="V230">
        <v>3.97522350778413</v>
      </c>
      <c r="Y230">
        <v>0.0212935</v>
      </c>
      <c r="Z230" s="8">
        <v>3.12756737971681</v>
      </c>
      <c r="AA230">
        <v>2.19421991764526</v>
      </c>
      <c r="AD230" s="9">
        <v>2.272299</v>
      </c>
      <c r="AE230">
        <v>3.02010018855452</v>
      </c>
      <c r="AH230">
        <v>17.6991</v>
      </c>
      <c r="AI230" s="10">
        <v>3.76272556231673</v>
      </c>
      <c r="AJ230">
        <v>1.82382970128891</v>
      </c>
    </row>
    <row r="231" customFormat="1" spans="1:36">
      <c r="A231" s="1" t="s">
        <v>282</v>
      </c>
      <c r="B231" s="1">
        <v>16644806</v>
      </c>
      <c r="C231" s="2">
        <v>0.005064</v>
      </c>
      <c r="E231">
        <v>4.289914</v>
      </c>
      <c r="F231">
        <v>3879.985693</v>
      </c>
      <c r="G231" s="3">
        <v>3.879985693</v>
      </c>
      <c r="H231" s="4"/>
      <c r="I231" t="s">
        <v>282</v>
      </c>
      <c r="J231">
        <v>2.13076</v>
      </c>
      <c r="K231" s="5">
        <v>7.81167564624829</v>
      </c>
      <c r="L231">
        <v>2.01332588940768</v>
      </c>
      <c r="O231">
        <v>0.0065792</v>
      </c>
      <c r="P231" s="6">
        <v>2.52991336332685</v>
      </c>
      <c r="Q231" s="4">
        <v>3.08772456775986</v>
      </c>
      <c r="R231" s="4"/>
      <c r="T231">
        <v>14.26</v>
      </c>
      <c r="U231" s="7">
        <v>1.16723744740533</v>
      </c>
      <c r="V231">
        <v>6.69244776511667</v>
      </c>
      <c r="Y231">
        <v>0.00548947</v>
      </c>
      <c r="Z231" s="8">
        <v>3.03213352108673</v>
      </c>
      <c r="AA231">
        <v>2.57629672041901</v>
      </c>
      <c r="AD231" s="9">
        <v>2.388369</v>
      </c>
      <c r="AE231">
        <v>3.27071555787581</v>
      </c>
      <c r="AH231">
        <v>5.0905</v>
      </c>
      <c r="AI231" s="10">
        <v>3.26977821432079</v>
      </c>
      <c r="AJ231">
        <v>2.38905367099063</v>
      </c>
    </row>
    <row r="232" customFormat="1" spans="1:36">
      <c r="A232" s="1" t="s">
        <v>281</v>
      </c>
      <c r="B232" s="1">
        <v>16644806</v>
      </c>
      <c r="C232" s="2">
        <v>0.00508559</v>
      </c>
      <c r="E232">
        <v>3.456146</v>
      </c>
      <c r="F232">
        <v>4816.002032</v>
      </c>
      <c r="G232" s="3">
        <v>4.816002032</v>
      </c>
      <c r="H232" s="4"/>
      <c r="I232" t="s">
        <v>281</v>
      </c>
      <c r="J232">
        <v>1.99521</v>
      </c>
      <c r="K232" s="5">
        <v>8.34238300730249</v>
      </c>
      <c r="L232">
        <v>1.7322216543663</v>
      </c>
      <c r="O232">
        <v>0.0025456</v>
      </c>
      <c r="P232" s="6">
        <v>6.53865729101194</v>
      </c>
      <c r="Q232" s="4">
        <v>1.27585567434004</v>
      </c>
      <c r="R232" s="4"/>
      <c r="T232">
        <v>9.776</v>
      </c>
      <c r="U232" s="7">
        <v>1.70261927168576</v>
      </c>
      <c r="V232">
        <v>4.89973486500168</v>
      </c>
      <c r="Y232">
        <v>0.00812482</v>
      </c>
      <c r="Z232" s="8">
        <v>2.04863689287886</v>
      </c>
      <c r="AA232">
        <v>4.0721628299778</v>
      </c>
      <c r="AD232" s="9">
        <v>2.39271</v>
      </c>
      <c r="AE232">
        <v>3.48658341683802</v>
      </c>
      <c r="AH232">
        <v>5.1109</v>
      </c>
      <c r="AI232" s="10">
        <v>3.25672699524546</v>
      </c>
      <c r="AJ232">
        <v>2.56158499606558</v>
      </c>
    </row>
    <row r="233" customFormat="1" spans="1:36">
      <c r="A233" s="1" t="s">
        <v>452</v>
      </c>
      <c r="B233" s="1">
        <v>66596856</v>
      </c>
      <c r="C233" s="2">
        <v>0.00528817</v>
      </c>
      <c r="E233">
        <v>13.870465</v>
      </c>
      <c r="F233">
        <v>4801.342714</v>
      </c>
      <c r="G233" s="3">
        <v>4.801342714</v>
      </c>
      <c r="H233" s="4"/>
      <c r="I233" t="s">
        <v>452</v>
      </c>
      <c r="J233">
        <v>9.52017</v>
      </c>
      <c r="K233" s="5">
        <v>6.99534315038492</v>
      </c>
      <c r="L233">
        <v>1.45695559910513</v>
      </c>
      <c r="O233">
        <v>0.0176704</v>
      </c>
      <c r="P233" s="6">
        <v>3.76883692502716</v>
      </c>
      <c r="Q233" s="4">
        <v>1.85610130911528</v>
      </c>
      <c r="R233" s="4"/>
      <c r="T233">
        <v>38.985</v>
      </c>
      <c r="U233" s="7">
        <v>1.70826871873798</v>
      </c>
      <c r="V233">
        <v>4.09498990039043</v>
      </c>
      <c r="Y233">
        <v>0.0204087</v>
      </c>
      <c r="Z233" s="8">
        <v>3.26316012288877</v>
      </c>
      <c r="AA233">
        <v>2.1437327274618</v>
      </c>
      <c r="AD233" s="9">
        <v>2.202696</v>
      </c>
      <c r="AE233">
        <v>3.17580962165679</v>
      </c>
      <c r="AH233">
        <v>17.6896</v>
      </c>
      <c r="AI233" s="10">
        <v>3.76474629160637</v>
      </c>
      <c r="AJ233">
        <v>1.8581180798242</v>
      </c>
    </row>
    <row r="234" customFormat="1" spans="1:36">
      <c r="A234" s="1" t="s">
        <v>203</v>
      </c>
      <c r="B234" s="1">
        <v>10215038</v>
      </c>
      <c r="C234" s="2">
        <v>0.00540906</v>
      </c>
      <c r="E234">
        <v>3.875724</v>
      </c>
      <c r="F234">
        <v>2635.646672</v>
      </c>
      <c r="G234" s="3">
        <v>2.635646672</v>
      </c>
      <c r="H234" s="4"/>
      <c r="I234" t="s">
        <v>203</v>
      </c>
      <c r="J234">
        <v>1.30592</v>
      </c>
      <c r="K234" s="5">
        <v>7.82210089438863</v>
      </c>
      <c r="L234">
        <v>2.96781088963378</v>
      </c>
      <c r="O234">
        <v>0.0015936</v>
      </c>
      <c r="P234" s="6">
        <v>6.41003890562249</v>
      </c>
      <c r="Q234" s="4">
        <v>1.22028914481745</v>
      </c>
      <c r="R234" s="4"/>
      <c r="T234">
        <v>6.186</v>
      </c>
      <c r="U234" s="7">
        <v>1.65131555124475</v>
      </c>
      <c r="V234">
        <v>4.73689046802254</v>
      </c>
      <c r="Y234">
        <v>0.0037909</v>
      </c>
      <c r="Z234" s="8">
        <v>2.69462080244797</v>
      </c>
      <c r="AA234">
        <v>2.90285775545209</v>
      </c>
      <c r="AD234" s="9">
        <v>2.410701</v>
      </c>
      <c r="AE234">
        <v>3.24474121609799</v>
      </c>
      <c r="AH234">
        <v>2.0771</v>
      </c>
      <c r="AI234" s="10">
        <v>4.91793269462231</v>
      </c>
      <c r="AJ234">
        <v>1.59052621906395</v>
      </c>
    </row>
    <row r="235" customFormat="1" spans="1:36">
      <c r="A235" s="1" t="s">
        <v>201</v>
      </c>
      <c r="B235" s="1">
        <v>10200858</v>
      </c>
      <c r="C235" s="2">
        <v>0.0058651</v>
      </c>
      <c r="E235">
        <v>2.361811</v>
      </c>
      <c r="F235">
        <v>4319.083538</v>
      </c>
      <c r="G235" s="3">
        <v>4.319083538</v>
      </c>
      <c r="H235" s="4"/>
      <c r="I235" t="s">
        <v>201</v>
      </c>
      <c r="J235">
        <v>1.22282</v>
      </c>
      <c r="K235" s="5">
        <v>8.34207651166975</v>
      </c>
      <c r="L235">
        <v>1.93144597419216</v>
      </c>
      <c r="O235">
        <v>0.002368</v>
      </c>
      <c r="P235" s="6">
        <v>4.30779476351351</v>
      </c>
      <c r="Q235" s="4">
        <v>1.93650741728137</v>
      </c>
      <c r="R235" s="4"/>
      <c r="T235">
        <v>6.152</v>
      </c>
      <c r="U235" s="7">
        <v>1.65813686605982</v>
      </c>
      <c r="V235">
        <v>5.03099393205868</v>
      </c>
      <c r="Y235">
        <v>0.00374446</v>
      </c>
      <c r="Z235" s="8">
        <v>2.72425343040118</v>
      </c>
      <c r="AA235">
        <v>3.06215142048707</v>
      </c>
      <c r="AD235" s="9">
        <v>2.230428</v>
      </c>
      <c r="AE235">
        <v>3.74012364966264</v>
      </c>
      <c r="AH235">
        <v>2.0818</v>
      </c>
      <c r="AI235" s="10">
        <v>4.90001825343453</v>
      </c>
      <c r="AJ235">
        <v>1.70245825223663</v>
      </c>
    </row>
    <row r="236" customFormat="1" spans="1:36">
      <c r="A236" s="1" t="s">
        <v>482</v>
      </c>
      <c r="B236" s="1">
        <v>92311172</v>
      </c>
      <c r="C236" s="2">
        <v>0.00652123</v>
      </c>
      <c r="E236">
        <v>48.890291</v>
      </c>
      <c r="F236">
        <v>1888.128932</v>
      </c>
      <c r="G236" s="3">
        <v>1.888128932</v>
      </c>
      <c r="H236" s="4"/>
      <c r="I236" t="s">
        <v>482</v>
      </c>
      <c r="J236">
        <v>54.9637</v>
      </c>
      <c r="K236" s="5">
        <v>1.67949341110588</v>
      </c>
      <c r="L236">
        <v>0.889501443805997</v>
      </c>
      <c r="O236">
        <v>0.0992096</v>
      </c>
      <c r="P236" s="6">
        <v>0.930466124246041</v>
      </c>
      <c r="Q236" s="4">
        <v>1.80500221054987</v>
      </c>
      <c r="R236" s="4"/>
      <c r="T236">
        <v>200.408</v>
      </c>
      <c r="U236" s="7">
        <v>0.46061620294599</v>
      </c>
      <c r="V236">
        <v>3.64618830246144</v>
      </c>
      <c r="Y236">
        <v>0.0135036</v>
      </c>
      <c r="Z236" s="8">
        <v>6.83604164815309</v>
      </c>
      <c r="AA236">
        <v>0.245682150219145</v>
      </c>
      <c r="AD236" s="9">
        <v>0.802929</v>
      </c>
      <c r="AE236">
        <v>2.09170849615081</v>
      </c>
      <c r="AH236">
        <v>80.4604</v>
      </c>
      <c r="AI236" s="10">
        <v>1.14728701323881</v>
      </c>
      <c r="AJ236">
        <v>1.46388252610359</v>
      </c>
    </row>
    <row r="237" customFormat="1" spans="1:36">
      <c r="A237" s="1" t="s">
        <v>543</v>
      </c>
      <c r="B237" s="1">
        <v>186742056</v>
      </c>
      <c r="C237" s="2">
        <v>0.00662983</v>
      </c>
      <c r="E237">
        <v>7.578009</v>
      </c>
      <c r="F237">
        <v>24642.62716</v>
      </c>
      <c r="G237" s="3">
        <v>24.64262716</v>
      </c>
      <c r="H237" s="4"/>
      <c r="I237" t="s">
        <v>543</v>
      </c>
      <c r="J237">
        <v>3.04381</v>
      </c>
      <c r="K237" s="5">
        <v>61.3514168098534</v>
      </c>
      <c r="L237">
        <v>2.48964594608806</v>
      </c>
      <c r="O237">
        <v>0.004032</v>
      </c>
      <c r="P237" s="6">
        <v>46.3149940476191</v>
      </c>
      <c r="Q237" s="4">
        <v>1.32465561253823</v>
      </c>
      <c r="R237" s="4"/>
      <c r="T237">
        <v>26.711</v>
      </c>
      <c r="U237" s="7">
        <v>6.9912042229793</v>
      </c>
      <c r="V237">
        <v>8.77551489744761</v>
      </c>
      <c r="Y237">
        <v>0.00607058</v>
      </c>
      <c r="Z237" s="8">
        <v>30.7618145218414</v>
      </c>
      <c r="AA237">
        <v>1.99440175306606</v>
      </c>
      <c r="AD237" s="9">
        <v>3.36222</v>
      </c>
      <c r="AE237">
        <v>18.2472939932109</v>
      </c>
      <c r="AH237">
        <v>3.6276</v>
      </c>
      <c r="AI237" s="10">
        <v>51.4781276877274</v>
      </c>
      <c r="AJ237">
        <v>1.19179580854258</v>
      </c>
    </row>
    <row r="238" customFormat="1" spans="1:36">
      <c r="A238" s="1" t="s">
        <v>246</v>
      </c>
      <c r="B238" s="1">
        <v>13781034</v>
      </c>
      <c r="C238" s="2">
        <v>0.00664717</v>
      </c>
      <c r="E238">
        <v>3.236319</v>
      </c>
      <c r="F238">
        <v>4258.243505</v>
      </c>
      <c r="G238" s="3">
        <v>4.258243505</v>
      </c>
      <c r="H238" s="4"/>
      <c r="I238" t="s">
        <v>246</v>
      </c>
      <c r="J238">
        <v>1.65504</v>
      </c>
      <c r="K238" s="5">
        <v>8.32670751160093</v>
      </c>
      <c r="L238">
        <v>1.95543244575463</v>
      </c>
      <c r="O238">
        <v>0.002144</v>
      </c>
      <c r="P238" s="6">
        <v>6.42772108208955</v>
      </c>
      <c r="Q238" s="4">
        <v>1.2954369682908</v>
      </c>
      <c r="R238" s="4"/>
      <c r="T238">
        <v>8.134</v>
      </c>
      <c r="U238" s="7">
        <v>1.69425055323334</v>
      </c>
      <c r="V238">
        <v>4.91468484145398</v>
      </c>
      <c r="Y238">
        <v>0.00499945</v>
      </c>
      <c r="Z238" s="8">
        <v>2.75651001610177</v>
      </c>
      <c r="AA238">
        <v>3.02074270108275</v>
      </c>
      <c r="AD238" s="9">
        <v>2.420784</v>
      </c>
      <c r="AE238">
        <v>3.43967388730301</v>
      </c>
      <c r="AH238">
        <v>2.7099</v>
      </c>
      <c r="AI238" s="10">
        <v>5.08544005313849</v>
      </c>
      <c r="AJ238">
        <v>1.63736223897912</v>
      </c>
    </row>
    <row r="239" customFormat="1" spans="1:36">
      <c r="A239" s="1" t="s">
        <v>335</v>
      </c>
      <c r="B239" s="1">
        <v>25449704</v>
      </c>
      <c r="C239" s="2">
        <v>0.00679852</v>
      </c>
      <c r="E239">
        <v>6.309088</v>
      </c>
      <c r="F239">
        <v>4033.81647</v>
      </c>
      <c r="G239" s="3">
        <v>4.03381647</v>
      </c>
      <c r="H239" s="4"/>
      <c r="I239" t="s">
        <v>335</v>
      </c>
      <c r="J239">
        <v>5.27046</v>
      </c>
      <c r="K239" s="5">
        <v>4.82874436007483</v>
      </c>
      <c r="L239">
        <v>1.19706595379012</v>
      </c>
      <c r="O239">
        <v>0.0057952</v>
      </c>
      <c r="P239" s="6">
        <v>4.391514356709</v>
      </c>
      <c r="Q239" s="4">
        <v>1.09956246703324</v>
      </c>
      <c r="R239" s="4"/>
      <c r="T239">
        <v>33.743</v>
      </c>
      <c r="U239" s="7">
        <v>0.754221734878345</v>
      </c>
      <c r="V239">
        <v>6.40228746636916</v>
      </c>
      <c r="Y239">
        <v>0.00920529</v>
      </c>
      <c r="Z239" s="8">
        <v>2.76468248148619</v>
      </c>
      <c r="AA239">
        <v>1.74658189228265</v>
      </c>
      <c r="AD239" s="9">
        <v>1.830855</v>
      </c>
      <c r="AE239">
        <v>2.637425880299</v>
      </c>
      <c r="AH239">
        <v>5.6053</v>
      </c>
      <c r="AI239" s="10">
        <v>4.54029293704173</v>
      </c>
      <c r="AJ239">
        <v>1.06353145645731</v>
      </c>
    </row>
    <row r="240" customFormat="1" spans="1:36">
      <c r="A240" s="1" t="s">
        <v>134</v>
      </c>
      <c r="B240" s="1">
        <v>5299604</v>
      </c>
      <c r="C240" s="2">
        <v>0.00698975</v>
      </c>
      <c r="E240">
        <v>3.197613</v>
      </c>
      <c r="F240">
        <v>1657.362558</v>
      </c>
      <c r="G240" s="3">
        <v>1.657362558</v>
      </c>
      <c r="H240" s="4"/>
      <c r="I240" t="s">
        <v>134</v>
      </c>
      <c r="J240">
        <v>2.76607</v>
      </c>
      <c r="K240" s="5">
        <v>1.91593271319959</v>
      </c>
      <c r="L240">
        <v>1.15601303043289</v>
      </c>
      <c r="O240">
        <v>0.0031472</v>
      </c>
      <c r="P240" s="6">
        <v>1.68391077783427</v>
      </c>
      <c r="Q240" s="4">
        <v>1.1377875469529</v>
      </c>
      <c r="R240" s="4"/>
      <c r="T240">
        <v>11.553</v>
      </c>
      <c r="U240" s="7">
        <v>0.458721024842032</v>
      </c>
      <c r="V240">
        <v>4.17668388724797</v>
      </c>
      <c r="Y240">
        <v>0.00370687</v>
      </c>
      <c r="Z240" s="8">
        <v>1.42967085438658</v>
      </c>
      <c r="AA240">
        <v>1.34012154428485</v>
      </c>
      <c r="AD240" s="9">
        <v>1.101078</v>
      </c>
      <c r="AE240">
        <v>1.74005176127358</v>
      </c>
      <c r="AH240">
        <v>2.9588</v>
      </c>
      <c r="AI240" s="10">
        <v>1.79113289171286</v>
      </c>
      <c r="AJ240">
        <v>1.06967647239585</v>
      </c>
    </row>
    <row r="241" customFormat="1" spans="1:36">
      <c r="A241" s="1" t="s">
        <v>472</v>
      </c>
      <c r="B241" s="1">
        <v>83192416</v>
      </c>
      <c r="C241" s="2">
        <v>0.00723104</v>
      </c>
      <c r="E241">
        <v>48.282901</v>
      </c>
      <c r="F241">
        <v>1723.020233</v>
      </c>
      <c r="G241" s="3">
        <v>1.723020233</v>
      </c>
      <c r="H241" s="4"/>
      <c r="I241" t="s">
        <v>472</v>
      </c>
      <c r="J241">
        <v>63.2829</v>
      </c>
      <c r="K241" s="5">
        <v>1.31461130890019</v>
      </c>
      <c r="L241">
        <v>0.762969165261214</v>
      </c>
      <c r="O241">
        <v>0.0895888</v>
      </c>
      <c r="P241" s="6">
        <v>0.92860286107192</v>
      </c>
      <c r="Q241" s="4">
        <v>1.41568733417716</v>
      </c>
      <c r="R241" s="4"/>
      <c r="T241">
        <v>211.82</v>
      </c>
      <c r="U241" s="7">
        <v>0.392750524029837</v>
      </c>
      <c r="V241">
        <v>3.34719173742038</v>
      </c>
      <c r="Y241">
        <v>0.014594</v>
      </c>
      <c r="Z241" s="8">
        <v>5.7004533369878</v>
      </c>
      <c r="AA241">
        <v>0.230615221489533</v>
      </c>
      <c r="AD241" s="9">
        <v>0.710547</v>
      </c>
      <c r="AE241">
        <v>1.85013983438139</v>
      </c>
      <c r="AH241">
        <v>72.958</v>
      </c>
      <c r="AI241" s="10">
        <v>1.14027818745031</v>
      </c>
      <c r="AJ241">
        <v>1.15288648276233</v>
      </c>
    </row>
    <row r="242" customFormat="1" spans="1:36">
      <c r="A242" s="1" t="s">
        <v>204</v>
      </c>
      <c r="B242" s="1">
        <v>10215038</v>
      </c>
      <c r="C242" s="2">
        <v>0.00735474</v>
      </c>
      <c r="E242">
        <v>2.219989</v>
      </c>
      <c r="F242">
        <v>4601.391245</v>
      </c>
      <c r="G242" s="3">
        <v>4.601391245</v>
      </c>
      <c r="H242" s="4"/>
      <c r="I242" t="s">
        <v>204</v>
      </c>
      <c r="J242">
        <v>1.30281</v>
      </c>
      <c r="K242" s="5">
        <v>7.84077340517804</v>
      </c>
      <c r="L242">
        <v>1.70400059192924</v>
      </c>
      <c r="O242">
        <v>0.0017968</v>
      </c>
      <c r="P242" s="6">
        <v>5.68512800534283</v>
      </c>
      <c r="Q242" s="4">
        <v>1.37917271129328</v>
      </c>
      <c r="R242" s="4"/>
      <c r="T242">
        <v>6.19</v>
      </c>
      <c r="U242" s="7">
        <v>1.65024846526656</v>
      </c>
      <c r="V242">
        <v>4.75126841212456</v>
      </c>
      <c r="Y242">
        <v>0.0037505</v>
      </c>
      <c r="Z242" s="8">
        <v>2.72364698040261</v>
      </c>
      <c r="AA242">
        <v>2.87877741190197</v>
      </c>
      <c r="AD242" s="9">
        <v>2.330175</v>
      </c>
      <c r="AE242">
        <v>3.36488607301084</v>
      </c>
      <c r="AH242">
        <v>2.0385</v>
      </c>
      <c r="AI242" s="10">
        <v>5.01105616875153</v>
      </c>
      <c r="AJ242">
        <v>1.56469477513989</v>
      </c>
    </row>
    <row r="243" customFormat="1" spans="1:36">
      <c r="A243" s="1" t="s">
        <v>170</v>
      </c>
      <c r="B243" s="1">
        <v>7428020</v>
      </c>
      <c r="C243" s="2">
        <v>0.00753067</v>
      </c>
      <c r="E243">
        <v>4.057845</v>
      </c>
      <c r="F243">
        <v>1830.533387</v>
      </c>
      <c r="G243" s="3">
        <v>1.830533387</v>
      </c>
      <c r="H243" s="4"/>
      <c r="I243" t="s">
        <v>170</v>
      </c>
      <c r="J243">
        <v>7.38875</v>
      </c>
      <c r="K243" s="5">
        <v>1.00531483674505</v>
      </c>
      <c r="L243">
        <v>0.549192297657367</v>
      </c>
      <c r="O243">
        <v>0.003744</v>
      </c>
      <c r="P243" s="6">
        <v>1.9839797008547</v>
      </c>
      <c r="Q243" s="4">
        <v>0.506716291659618</v>
      </c>
      <c r="R243" s="4"/>
      <c r="T243">
        <v>35.135</v>
      </c>
      <c r="U243" s="7">
        <v>0.211413690052654</v>
      </c>
      <c r="V243">
        <v>4.75520216545424</v>
      </c>
      <c r="Y243">
        <v>0.0034012</v>
      </c>
      <c r="Z243" s="8">
        <v>2.18394096201341</v>
      </c>
      <c r="AA243">
        <v>0.460321434613432</v>
      </c>
      <c r="AD243" s="9">
        <v>1.148577</v>
      </c>
      <c r="AE243">
        <v>0.875269865881914</v>
      </c>
      <c r="AH243">
        <v>7.0702</v>
      </c>
      <c r="AI243" s="10">
        <v>1.05060960085995</v>
      </c>
      <c r="AJ243">
        <v>0.956887159533074</v>
      </c>
    </row>
    <row r="244" customFormat="1" spans="1:36">
      <c r="A244" s="1" t="s">
        <v>70</v>
      </c>
      <c r="B244" s="1">
        <v>2397676</v>
      </c>
      <c r="C244" s="2">
        <v>0.00795848</v>
      </c>
      <c r="E244">
        <v>1.397559</v>
      </c>
      <c r="F244">
        <v>1715.616901</v>
      </c>
      <c r="G244" s="3">
        <v>1.715616901</v>
      </c>
      <c r="H244" s="4"/>
      <c r="I244" t="s">
        <v>70</v>
      </c>
      <c r="J244">
        <v>0.859172</v>
      </c>
      <c r="K244" s="5">
        <v>2.79068219169154</v>
      </c>
      <c r="L244">
        <v>1.62663482159968</v>
      </c>
      <c r="O244">
        <v>0.0009488</v>
      </c>
      <c r="P244" s="6">
        <v>2.52706155143339</v>
      </c>
      <c r="Q244" s="4">
        <v>1.10431904205444</v>
      </c>
      <c r="R244" s="4"/>
      <c r="T244">
        <v>3.582</v>
      </c>
      <c r="U244" s="7">
        <v>0.669367950865438</v>
      </c>
      <c r="V244">
        <v>4.1691302789197</v>
      </c>
      <c r="Y244">
        <v>0.00245693</v>
      </c>
      <c r="Z244" s="8">
        <v>0.975882910787039</v>
      </c>
      <c r="AA244">
        <v>2.85964859190011</v>
      </c>
      <c r="AD244" s="9">
        <v>1.573131</v>
      </c>
      <c r="AE244">
        <v>1.77396681629917</v>
      </c>
      <c r="AH244">
        <v>1.5212</v>
      </c>
      <c r="AI244" s="10">
        <v>1.57617407310018</v>
      </c>
      <c r="AJ244">
        <v>1.77054187054513</v>
      </c>
    </row>
    <row r="245" customFormat="1" spans="1:36">
      <c r="A245" s="1" t="s">
        <v>461</v>
      </c>
      <c r="B245" s="1">
        <v>74735032</v>
      </c>
      <c r="C245" s="2">
        <v>0.00803272</v>
      </c>
      <c r="E245">
        <v>29.949741</v>
      </c>
      <c r="F245">
        <v>2495.348225</v>
      </c>
      <c r="G245" s="3">
        <v>2.495348225</v>
      </c>
      <c r="H245" s="4"/>
      <c r="I245" t="s">
        <v>461</v>
      </c>
      <c r="J245">
        <v>35.4088</v>
      </c>
      <c r="K245" s="5">
        <v>2.11063441856262</v>
      </c>
      <c r="L245">
        <v>0.845827607312249</v>
      </c>
      <c r="O245">
        <v>0.0553376</v>
      </c>
      <c r="P245" s="6">
        <v>1.35052897126005</v>
      </c>
      <c r="Q245" s="4">
        <v>1.56282054178622</v>
      </c>
      <c r="R245" s="4"/>
      <c r="T245">
        <v>159.538</v>
      </c>
      <c r="U245" s="7">
        <v>0.46844658952726</v>
      </c>
      <c r="V245">
        <v>4.50560312690631</v>
      </c>
      <c r="Y245">
        <v>0.00953747</v>
      </c>
      <c r="Z245" s="8">
        <v>7.83593888106594</v>
      </c>
      <c r="AA245">
        <v>0.269353098664739</v>
      </c>
      <c r="AD245" s="9">
        <v>1.003758</v>
      </c>
      <c r="AE245">
        <v>2.10273235038985</v>
      </c>
      <c r="AH245">
        <v>57.7224</v>
      </c>
      <c r="AI245" s="10">
        <v>1.29473188917994</v>
      </c>
      <c r="AJ245">
        <v>1.63017103093016</v>
      </c>
    </row>
    <row r="246" customFormat="1" spans="1:36">
      <c r="A246" s="1" t="s">
        <v>202</v>
      </c>
      <c r="B246" s="1">
        <v>10200858</v>
      </c>
      <c r="C246" s="2">
        <v>0.00808436</v>
      </c>
      <c r="E246">
        <v>2.392818</v>
      </c>
      <c r="F246">
        <v>4263.114687</v>
      </c>
      <c r="G246" s="3">
        <v>4.263114687</v>
      </c>
      <c r="H246" s="4"/>
      <c r="I246" t="s">
        <v>202</v>
      </c>
      <c r="J246">
        <v>3.20763</v>
      </c>
      <c r="K246" s="5">
        <v>3.1801853705072</v>
      </c>
      <c r="L246">
        <v>0.745976968483841</v>
      </c>
      <c r="O246">
        <v>0.0016336</v>
      </c>
      <c r="P246" s="6">
        <v>6.24440377081293</v>
      </c>
      <c r="Q246" s="4">
        <v>0.509285671975883</v>
      </c>
      <c r="R246" s="4"/>
      <c r="T246">
        <v>6.105</v>
      </c>
      <c r="U246" s="7">
        <v>1.67090221130221</v>
      </c>
      <c r="V246">
        <v>1.90327438014983</v>
      </c>
      <c r="Y246">
        <v>0.00377864</v>
      </c>
      <c r="Z246" s="8">
        <v>2.69961097114306</v>
      </c>
      <c r="AA246">
        <v>1.17801616770014</v>
      </c>
      <c r="AD246" s="9">
        <v>2.340966</v>
      </c>
      <c r="AE246">
        <v>1.35849276346055</v>
      </c>
      <c r="AH246">
        <v>2.0812</v>
      </c>
      <c r="AI246" s="10">
        <v>4.90143090524697</v>
      </c>
      <c r="AJ246">
        <v>0.648827950854681</v>
      </c>
    </row>
    <row r="247" customFormat="1" spans="1:36">
      <c r="A247" s="1" t="s">
        <v>518</v>
      </c>
      <c r="B247" s="1">
        <v>138494868</v>
      </c>
      <c r="C247" s="2">
        <v>0.00818621</v>
      </c>
      <c r="E247">
        <v>18.789737</v>
      </c>
      <c r="F247">
        <v>7370.772145</v>
      </c>
      <c r="G247" s="3">
        <v>7.370772145</v>
      </c>
      <c r="H247" s="4"/>
      <c r="I247" t="s">
        <v>518</v>
      </c>
      <c r="J247">
        <v>27.0307</v>
      </c>
      <c r="K247" s="5">
        <v>5.12361381688229</v>
      </c>
      <c r="L247">
        <v>0.695125790906169</v>
      </c>
      <c r="O247">
        <v>0.04348</v>
      </c>
      <c r="P247" s="6">
        <v>3.18525455381785</v>
      </c>
      <c r="Q247" s="4">
        <v>1.60854139922385</v>
      </c>
      <c r="R247" s="4"/>
      <c r="T247">
        <v>243.628</v>
      </c>
      <c r="U247" s="7">
        <v>0.568468599668347</v>
      </c>
      <c r="V247">
        <v>9.01301113178719</v>
      </c>
      <c r="Y247">
        <v>0.0461448</v>
      </c>
      <c r="Z247" s="8">
        <v>3.00131039683778</v>
      </c>
      <c r="AA247">
        <v>1.70712560163074</v>
      </c>
      <c r="AD247" s="9">
        <v>1.824408</v>
      </c>
      <c r="AE247">
        <v>2.80837061495142</v>
      </c>
      <c r="AH247">
        <v>53.43</v>
      </c>
      <c r="AI247" s="10">
        <v>2.59208062886019</v>
      </c>
      <c r="AJ247">
        <v>1.97664137443721</v>
      </c>
    </row>
    <row r="248" customFormat="1" spans="1:36">
      <c r="A248" s="1" t="s">
        <v>160</v>
      </c>
      <c r="B248" s="1">
        <v>6855086</v>
      </c>
      <c r="C248" s="2">
        <v>0.00912281</v>
      </c>
      <c r="E248">
        <v>3.726656</v>
      </c>
      <c r="F248">
        <v>1839.473992</v>
      </c>
      <c r="G248" s="3">
        <v>1.839473992</v>
      </c>
      <c r="H248" s="4"/>
      <c r="I248" t="s">
        <v>160</v>
      </c>
      <c r="J248">
        <v>0.884436</v>
      </c>
      <c r="K248" s="5">
        <v>7.75079937949156</v>
      </c>
      <c r="L248">
        <v>4.21359552415545</v>
      </c>
      <c r="O248">
        <v>0.0012304</v>
      </c>
      <c r="P248" s="6">
        <v>5.57142880364109</v>
      </c>
      <c r="Q248" s="4">
        <v>1.39116906141315</v>
      </c>
      <c r="R248" s="4"/>
      <c r="T248">
        <v>4.307</v>
      </c>
      <c r="U248" s="7">
        <v>1.59161504527513</v>
      </c>
      <c r="V248">
        <v>4.86977011338299</v>
      </c>
      <c r="Y248">
        <v>0.00348837</v>
      </c>
      <c r="Z248" s="8">
        <v>1.96512583240883</v>
      </c>
      <c r="AA248">
        <v>3.94417459262174</v>
      </c>
      <c r="AD248" s="9">
        <v>2.466513</v>
      </c>
      <c r="AE248">
        <v>3.14241172841642</v>
      </c>
      <c r="AH248">
        <v>1.5931</v>
      </c>
      <c r="AI248" s="10">
        <v>4.30298537442722</v>
      </c>
      <c r="AJ248">
        <v>1.80126091656152</v>
      </c>
    </row>
    <row r="249" customFormat="1" spans="1:36">
      <c r="A249" s="1" t="s">
        <v>285</v>
      </c>
      <c r="B249" s="1">
        <v>17352626</v>
      </c>
      <c r="C249" s="2">
        <v>0.00912369</v>
      </c>
      <c r="E249">
        <v>10.272301</v>
      </c>
      <c r="F249">
        <v>1689.263746</v>
      </c>
      <c r="G249" s="3">
        <v>1.689263746</v>
      </c>
      <c r="H249" s="4"/>
      <c r="I249" t="s">
        <v>285</v>
      </c>
      <c r="J249">
        <v>11.9207</v>
      </c>
      <c r="K249" s="5">
        <v>1.45567173068696</v>
      </c>
      <c r="L249">
        <v>0.861719630302749</v>
      </c>
      <c r="O249">
        <v>0.014592</v>
      </c>
      <c r="P249" s="6">
        <v>1.1891876370614</v>
      </c>
      <c r="Q249" s="4">
        <v>1.22408918939324</v>
      </c>
      <c r="R249" s="4"/>
      <c r="T249">
        <v>42.57</v>
      </c>
      <c r="U249" s="7">
        <v>0.407625698848955</v>
      </c>
      <c r="V249">
        <v>3.57109901264188</v>
      </c>
      <c r="Y249">
        <v>0.0161811</v>
      </c>
      <c r="Z249" s="8">
        <v>1.07240088745512</v>
      </c>
      <c r="AA249">
        <v>1.35739511941413</v>
      </c>
      <c r="AD249" s="9">
        <v>0.852267</v>
      </c>
      <c r="AE249">
        <v>1.70799964176362</v>
      </c>
      <c r="AH249">
        <v>20.1083</v>
      </c>
      <c r="AI249" s="10">
        <v>0.862958380370295</v>
      </c>
      <c r="AJ249">
        <v>1.68683886013405</v>
      </c>
    </row>
    <row r="250" customFormat="1" spans="1:36">
      <c r="A250" s="1" t="s">
        <v>45</v>
      </c>
      <c r="B250" s="1">
        <v>1704556</v>
      </c>
      <c r="C250" s="2">
        <v>0.00913061</v>
      </c>
      <c r="E250">
        <v>1.204852</v>
      </c>
      <c r="F250">
        <v>1414.742956</v>
      </c>
      <c r="G250" s="3">
        <v>1.414742956</v>
      </c>
      <c r="H250" s="4"/>
      <c r="I250" t="s">
        <v>45</v>
      </c>
      <c r="J250">
        <v>0.60006</v>
      </c>
      <c r="K250" s="5">
        <v>2.84064260240643</v>
      </c>
      <c r="L250">
        <v>2.00788601940664</v>
      </c>
      <c r="O250">
        <v>0.0007456</v>
      </c>
      <c r="P250" s="6">
        <v>2.28615343347639</v>
      </c>
      <c r="Q250" s="4">
        <v>1.24254241242542</v>
      </c>
      <c r="R250" s="4"/>
      <c r="T250">
        <v>1.651</v>
      </c>
      <c r="U250" s="7">
        <v>1.03243852210781</v>
      </c>
      <c r="V250">
        <v>2.75139152751391</v>
      </c>
      <c r="Y250">
        <v>0.00158242</v>
      </c>
      <c r="Z250" s="8">
        <v>1.07718304874812</v>
      </c>
      <c r="AA250">
        <v>2.63710295637103</v>
      </c>
      <c r="AD250" s="9">
        <v>1.671906</v>
      </c>
      <c r="AE250">
        <v>1.69904444532553</v>
      </c>
      <c r="AH250">
        <v>0.8917</v>
      </c>
      <c r="AI250" s="10">
        <v>1.91158012784569</v>
      </c>
      <c r="AJ250">
        <v>1.48601806486018</v>
      </c>
    </row>
    <row r="251" customFormat="1" spans="1:36">
      <c r="A251" s="1" t="s">
        <v>460</v>
      </c>
      <c r="B251" s="1">
        <v>74599276</v>
      </c>
      <c r="C251" s="2">
        <v>0.0102403</v>
      </c>
      <c r="E251">
        <v>18.773335</v>
      </c>
      <c r="F251">
        <v>3973.68271</v>
      </c>
      <c r="G251" s="3">
        <v>3.97368271</v>
      </c>
      <c r="H251" s="4"/>
      <c r="I251" t="s">
        <v>460</v>
      </c>
      <c r="J251">
        <v>12.1896</v>
      </c>
      <c r="K251" s="5">
        <v>6.11991172803045</v>
      </c>
      <c r="L251">
        <v>1.54011081776342</v>
      </c>
      <c r="O251">
        <v>0.017864</v>
      </c>
      <c r="P251" s="6">
        <v>4.17595588893865</v>
      </c>
      <c r="Q251" s="4">
        <v>1.46551158364507</v>
      </c>
      <c r="R251" s="4"/>
      <c r="T251">
        <v>112.36</v>
      </c>
      <c r="U251" s="7">
        <v>0.663930900676397</v>
      </c>
      <c r="V251">
        <v>9.21769377173984</v>
      </c>
      <c r="Y251">
        <v>0.00464188</v>
      </c>
      <c r="Z251" s="8">
        <v>16.0709186795005</v>
      </c>
      <c r="AA251">
        <v>0.3808065892236</v>
      </c>
      <c r="AD251" s="9">
        <v>2.261967</v>
      </c>
      <c r="AE251">
        <v>2.70557073910913</v>
      </c>
      <c r="AH251">
        <v>23.7683</v>
      </c>
      <c r="AI251" s="10">
        <v>3.13860377056836</v>
      </c>
      <c r="AJ251">
        <v>1.94988350725208</v>
      </c>
    </row>
    <row r="252" customFormat="1" spans="1:36">
      <c r="A252" s="1" t="s">
        <v>381</v>
      </c>
      <c r="B252" s="1">
        <v>35562618</v>
      </c>
      <c r="C252" s="2">
        <v>0.0105084</v>
      </c>
      <c r="E252">
        <v>5.183106</v>
      </c>
      <c r="F252">
        <v>6861.255815</v>
      </c>
      <c r="G252" s="3">
        <v>6.861255815</v>
      </c>
      <c r="H252" s="4"/>
      <c r="I252" t="s">
        <v>381</v>
      </c>
      <c r="J252">
        <v>5.60409</v>
      </c>
      <c r="K252" s="5">
        <v>6.34583277570489</v>
      </c>
      <c r="L252">
        <v>0.924879198037143</v>
      </c>
      <c r="O252">
        <v>0.0044384</v>
      </c>
      <c r="P252" s="6">
        <v>8.01248603100216</v>
      </c>
      <c r="Q252" s="4">
        <v>0.791992990833481</v>
      </c>
      <c r="R252" s="4"/>
      <c r="T252">
        <v>62.045</v>
      </c>
      <c r="U252" s="7">
        <v>0.573174599081312</v>
      </c>
      <c r="V252">
        <v>11.071378225546</v>
      </c>
      <c r="Y252">
        <v>0.000821452</v>
      </c>
      <c r="Z252" s="8">
        <v>43.2923871388712</v>
      </c>
      <c r="AA252">
        <v>0.146580800807981</v>
      </c>
      <c r="AD252" s="9">
        <v>2.7324</v>
      </c>
      <c r="AE252">
        <v>2.32243916546073</v>
      </c>
      <c r="AH252">
        <v>5.0896</v>
      </c>
      <c r="AI252" s="10">
        <v>6.98731098711097</v>
      </c>
      <c r="AJ252">
        <v>0.90819383700119</v>
      </c>
    </row>
    <row r="253" customFormat="1" spans="1:36">
      <c r="A253" s="1" t="s">
        <v>27</v>
      </c>
      <c r="B253" s="1">
        <v>1076636</v>
      </c>
      <c r="C253" s="2">
        <v>0.0106072</v>
      </c>
      <c r="E253">
        <v>2.011751</v>
      </c>
      <c r="F253">
        <v>535.173671</v>
      </c>
      <c r="G253" s="3">
        <v>0.535173671</v>
      </c>
      <c r="H253" s="4"/>
      <c r="I253" t="s">
        <v>27</v>
      </c>
      <c r="J253">
        <v>1.40945</v>
      </c>
      <c r="K253" s="5">
        <v>0.763869594522686</v>
      </c>
      <c r="L253">
        <v>1.42733029652852</v>
      </c>
      <c r="O253">
        <v>0.0011088</v>
      </c>
      <c r="P253" s="6">
        <v>0.970992063492063</v>
      </c>
      <c r="Q253" s="4">
        <v>0.786689843555997</v>
      </c>
      <c r="R253" s="4"/>
      <c r="T253">
        <v>3.371</v>
      </c>
      <c r="U253" s="7">
        <v>0.319381785820231</v>
      </c>
      <c r="V253">
        <v>2.39171307957004</v>
      </c>
      <c r="Y253">
        <v>0.00361721</v>
      </c>
      <c r="Z253" s="8">
        <v>0.297642658291888</v>
      </c>
      <c r="AA253">
        <v>2.5663982404484</v>
      </c>
      <c r="AD253" s="9">
        <v>0.585888</v>
      </c>
      <c r="AE253">
        <v>1.30378091806401</v>
      </c>
      <c r="AH253">
        <v>2.2117</v>
      </c>
      <c r="AI253" s="10">
        <v>0.486791156124248</v>
      </c>
      <c r="AJ253">
        <v>1.56919365710029</v>
      </c>
    </row>
    <row r="254" customFormat="1" spans="1:36">
      <c r="A254" s="1" t="s">
        <v>533</v>
      </c>
      <c r="B254" s="1">
        <v>157618374</v>
      </c>
      <c r="C254" s="2">
        <v>0.0106718</v>
      </c>
      <c r="E254">
        <v>34.815992</v>
      </c>
      <c r="F254">
        <v>4527.183189</v>
      </c>
      <c r="G254" s="3">
        <v>4.527183189</v>
      </c>
      <c r="H254" s="4"/>
      <c r="I254" t="s">
        <v>533</v>
      </c>
      <c r="J254">
        <v>45.0193</v>
      </c>
      <c r="K254" s="5">
        <v>3.50112893803324</v>
      </c>
      <c r="L254">
        <v>0.773357028392438</v>
      </c>
      <c r="O254">
        <v>0.044528</v>
      </c>
      <c r="P254" s="6">
        <v>3.53975866870284</v>
      </c>
      <c r="Q254" s="4">
        <v>0.989086902728386</v>
      </c>
      <c r="R254" s="4"/>
      <c r="T254">
        <v>354.789</v>
      </c>
      <c r="U254" s="7">
        <v>0.444259472531561</v>
      </c>
      <c r="V254">
        <v>7.88082000386501</v>
      </c>
      <c r="Y254">
        <v>0.00130274</v>
      </c>
      <c r="Z254" s="8">
        <v>120.989893608855</v>
      </c>
      <c r="AA254">
        <v>0.0289373668626567</v>
      </c>
      <c r="AD254" s="9">
        <v>1.714527</v>
      </c>
      <c r="AE254">
        <v>2.04203779703279</v>
      </c>
      <c r="AH254">
        <v>94.4071</v>
      </c>
      <c r="AI254" s="10">
        <v>1.66956059448919</v>
      </c>
      <c r="AJ254">
        <v>2.09703616004691</v>
      </c>
    </row>
    <row r="255" customFormat="1" spans="1:36">
      <c r="A255" s="1" t="s">
        <v>64</v>
      </c>
      <c r="B255" s="1">
        <v>2329272</v>
      </c>
      <c r="C255" s="2">
        <v>0.0106727</v>
      </c>
      <c r="E255">
        <v>1.676757</v>
      </c>
      <c r="F255">
        <v>1389.152889</v>
      </c>
      <c r="G255" s="3">
        <v>1.389152889</v>
      </c>
      <c r="H255" s="4"/>
      <c r="I255" t="s">
        <v>64</v>
      </c>
      <c r="J255">
        <v>1.02513</v>
      </c>
      <c r="K255" s="5">
        <v>2.27217230985338</v>
      </c>
      <c r="L255">
        <v>1.63565315801131</v>
      </c>
      <c r="O255">
        <v>0.0007792</v>
      </c>
      <c r="P255" s="6">
        <v>2.98931211498973</v>
      </c>
      <c r="Q255" s="4">
        <v>0.760098719186835</v>
      </c>
      <c r="R255" s="4"/>
      <c r="T255">
        <v>1.997</v>
      </c>
      <c r="U255" s="7">
        <v>1.16638557836755</v>
      </c>
      <c r="V255">
        <v>1.94804561372704</v>
      </c>
      <c r="Y255">
        <v>0.00074021</v>
      </c>
      <c r="Z255" s="8">
        <v>3.14677186203915</v>
      </c>
      <c r="AA255">
        <v>0.722064518646416</v>
      </c>
      <c r="AD255" s="9">
        <v>1.525221</v>
      </c>
      <c r="AE255">
        <v>1.48973316644171</v>
      </c>
      <c r="AH255">
        <v>2.164</v>
      </c>
      <c r="AI255" s="10">
        <v>1.07637338262477</v>
      </c>
      <c r="AJ255">
        <v>2.11095178172524</v>
      </c>
    </row>
    <row r="256" customFormat="1" spans="1:36">
      <c r="A256" s="1" t="s">
        <v>653</v>
      </c>
      <c r="B256" s="1">
        <v>2957731562</v>
      </c>
      <c r="C256" s="2">
        <v>0.0110073</v>
      </c>
      <c r="E256">
        <v>235.437003</v>
      </c>
      <c r="F256">
        <v>12562.730256</v>
      </c>
      <c r="G256" s="3">
        <v>12.562730256</v>
      </c>
      <c r="H256" s="4"/>
      <c r="I256" t="s">
        <v>653</v>
      </c>
      <c r="J256">
        <v>2.50795</v>
      </c>
      <c r="K256" s="5">
        <v>1179.34231623437</v>
      </c>
      <c r="L256">
        <v>93.8762746793132</v>
      </c>
      <c r="O256">
        <v>0.0025056</v>
      </c>
      <c r="P256" s="6">
        <v>1180.44842033844</v>
      </c>
      <c r="Q256" s="4">
        <v>0.999062979724476</v>
      </c>
      <c r="R256" s="4"/>
      <c r="T256">
        <v>372.284</v>
      </c>
      <c r="U256" s="7">
        <v>7.94482589098645</v>
      </c>
      <c r="V256">
        <v>148.441555852389</v>
      </c>
      <c r="Y256">
        <v>0.00581543</v>
      </c>
      <c r="Z256" s="8">
        <v>508.600664439259</v>
      </c>
      <c r="AA256">
        <v>2.31879822165514</v>
      </c>
      <c r="AD256" s="9">
        <v>1.462365</v>
      </c>
      <c r="AE256">
        <v>806.462351214898</v>
      </c>
      <c r="AH256">
        <v>4.1651</v>
      </c>
      <c r="AI256" s="10">
        <v>710.122580970445</v>
      </c>
      <c r="AJ256">
        <v>1.66075878705716</v>
      </c>
    </row>
    <row r="257" customFormat="1" spans="1:36">
      <c r="A257" s="1" t="s">
        <v>256</v>
      </c>
      <c r="B257" s="1">
        <v>14486894</v>
      </c>
      <c r="C257" s="2">
        <v>0.0125889</v>
      </c>
      <c r="E257">
        <v>6.767922</v>
      </c>
      <c r="F257">
        <v>2140.523306</v>
      </c>
      <c r="G257" s="3">
        <v>2.140523306</v>
      </c>
      <c r="H257" s="4"/>
      <c r="I257" t="s">
        <v>256</v>
      </c>
      <c r="J257">
        <v>4.4757</v>
      </c>
      <c r="K257" s="5">
        <v>3.23678843532855</v>
      </c>
      <c r="L257">
        <v>1.51214818649984</v>
      </c>
      <c r="O257">
        <v>0.0055968</v>
      </c>
      <c r="P257" s="6">
        <v>2.58842445683248</v>
      </c>
      <c r="Q257" s="4">
        <v>1.25048595750385</v>
      </c>
      <c r="R257" s="4"/>
      <c r="T257">
        <v>22.067</v>
      </c>
      <c r="U257" s="7">
        <v>0.656495853536956</v>
      </c>
      <c r="V257">
        <v>4.93040194829859</v>
      </c>
      <c r="Y257">
        <v>0.00474178</v>
      </c>
      <c r="Z257" s="8">
        <v>3.05515945488825</v>
      </c>
      <c r="AA257">
        <v>1.05944991844851</v>
      </c>
      <c r="AD257" s="9">
        <v>1.383807</v>
      </c>
      <c r="AE257">
        <v>2.3390461497366</v>
      </c>
      <c r="AH257">
        <v>6.9455</v>
      </c>
      <c r="AI257" s="10">
        <v>2.08579569505435</v>
      </c>
      <c r="AJ257">
        <v>1.55182429564091</v>
      </c>
    </row>
    <row r="258" customFormat="1" spans="1:36">
      <c r="A258" s="1" t="s">
        <v>159</v>
      </c>
      <c r="B258" s="1">
        <v>6855086</v>
      </c>
      <c r="C258" s="2">
        <v>0.012844</v>
      </c>
      <c r="E258">
        <v>1.646151</v>
      </c>
      <c r="F258">
        <v>4164.312727</v>
      </c>
      <c r="G258" s="3">
        <v>4.164312727</v>
      </c>
      <c r="H258" s="4"/>
      <c r="I258" t="s">
        <v>159</v>
      </c>
      <c r="J258">
        <v>0.892442</v>
      </c>
      <c r="K258" s="5">
        <v>7.68126780227735</v>
      </c>
      <c r="L258">
        <v>1.8445463407382</v>
      </c>
      <c r="O258">
        <v>0.0011472</v>
      </c>
      <c r="P258" s="6">
        <v>5.97549337517434</v>
      </c>
      <c r="Q258" s="4">
        <v>1.28546168826658</v>
      </c>
      <c r="R258" s="4"/>
      <c r="T258">
        <v>6.371</v>
      </c>
      <c r="U258" s="7">
        <v>1.07598273426464</v>
      </c>
      <c r="V258">
        <v>7.13883927470917</v>
      </c>
      <c r="Y258">
        <v>0.00349292</v>
      </c>
      <c r="Z258" s="8">
        <v>1.96256599063248</v>
      </c>
      <c r="AA258">
        <v>3.9138902023885</v>
      </c>
      <c r="AD258" s="9">
        <v>2.459979</v>
      </c>
      <c r="AE258">
        <v>3.12249324172172</v>
      </c>
      <c r="AH258">
        <v>1.6095</v>
      </c>
      <c r="AI258" s="10">
        <v>4.25914010562286</v>
      </c>
      <c r="AJ258">
        <v>1.80347854538446</v>
      </c>
    </row>
    <row r="259" customFormat="1" spans="1:36">
      <c r="A259" s="1" t="s">
        <v>103</v>
      </c>
      <c r="B259" s="1">
        <v>4123318</v>
      </c>
      <c r="C259" s="2">
        <v>0.0130902</v>
      </c>
      <c r="E259">
        <v>3.424334</v>
      </c>
      <c r="F259">
        <v>1204.122705</v>
      </c>
      <c r="G259" s="3">
        <v>1.204122705</v>
      </c>
      <c r="H259" s="4"/>
      <c r="I259" t="s">
        <v>103</v>
      </c>
      <c r="J259">
        <v>2.77971</v>
      </c>
      <c r="K259" s="5">
        <v>1.48336265293862</v>
      </c>
      <c r="L259">
        <v>1.23190323276781</v>
      </c>
      <c r="O259">
        <v>0.0044912</v>
      </c>
      <c r="P259" s="6">
        <v>0.918088261489134</v>
      </c>
      <c r="Q259" s="4">
        <v>1.61570811343629</v>
      </c>
      <c r="R259" s="4"/>
      <c r="T259">
        <v>6.387</v>
      </c>
      <c r="U259" s="7">
        <v>0.645579771410678</v>
      </c>
      <c r="V259">
        <v>2.29772170478215</v>
      </c>
      <c r="Y259">
        <v>0.00290018</v>
      </c>
      <c r="Z259" s="8">
        <v>1.42174554682813</v>
      </c>
      <c r="AA259">
        <v>1.04333905335449</v>
      </c>
      <c r="AD259" s="9">
        <v>0.935511</v>
      </c>
      <c r="AE259">
        <v>1.58561754264634</v>
      </c>
      <c r="AH259">
        <v>5.5223</v>
      </c>
      <c r="AI259" s="10">
        <v>0.746666787389312</v>
      </c>
      <c r="AJ259">
        <v>1.98664608898051</v>
      </c>
    </row>
    <row r="260" customFormat="1" spans="1:36">
      <c r="A260" s="1" t="s">
        <v>127</v>
      </c>
      <c r="B260" s="1">
        <v>5075784</v>
      </c>
      <c r="C260" s="2">
        <v>0.0132516</v>
      </c>
      <c r="E260">
        <v>2.708524</v>
      </c>
      <c r="F260">
        <v>1874.003669</v>
      </c>
      <c r="G260" s="3">
        <v>1.874003669</v>
      </c>
      <c r="H260" s="4"/>
      <c r="I260" t="s">
        <v>127</v>
      </c>
      <c r="J260">
        <v>3.12858</v>
      </c>
      <c r="K260" s="5">
        <v>1.62239226741845</v>
      </c>
      <c r="L260">
        <v>0.865735907701921</v>
      </c>
      <c r="O260">
        <v>0.0029456</v>
      </c>
      <c r="P260" s="6">
        <v>1.72317490494297</v>
      </c>
      <c r="Q260" s="4">
        <v>0.941513402246387</v>
      </c>
      <c r="R260" s="4"/>
      <c r="T260">
        <v>13.291</v>
      </c>
      <c r="U260" s="7">
        <v>0.381896320818599</v>
      </c>
      <c r="V260">
        <v>4.24825320113278</v>
      </c>
      <c r="Y260">
        <v>0.00324735</v>
      </c>
      <c r="Z260" s="8">
        <v>1.56305418264123</v>
      </c>
      <c r="AA260">
        <v>1.03796290969066</v>
      </c>
      <c r="AD260" s="9">
        <v>0.942585</v>
      </c>
      <c r="AE260">
        <v>1.72121587699618</v>
      </c>
      <c r="AH260">
        <v>4.2396</v>
      </c>
      <c r="AI260" s="10">
        <v>1.19723181432211</v>
      </c>
      <c r="AJ260">
        <v>1.35511957501486</v>
      </c>
    </row>
    <row r="261" customFormat="1" spans="1:36">
      <c r="A261" s="1" t="s">
        <v>177</v>
      </c>
      <c r="B261" s="1">
        <v>7720716</v>
      </c>
      <c r="C261" s="2">
        <v>0.0134042</v>
      </c>
      <c r="E261">
        <v>4.636242</v>
      </c>
      <c r="F261">
        <v>1665.296283</v>
      </c>
      <c r="G261" s="3">
        <v>1.665296283</v>
      </c>
      <c r="H261" s="4"/>
      <c r="I261" t="s">
        <v>177</v>
      </c>
      <c r="J261">
        <v>10.5819</v>
      </c>
      <c r="K261" s="5">
        <v>0.729615286479744</v>
      </c>
      <c r="L261">
        <v>0.43812941512447</v>
      </c>
      <c r="O261">
        <v>0.0031136</v>
      </c>
      <c r="P261" s="6">
        <v>2.47967497430627</v>
      </c>
      <c r="Q261" s="4">
        <v>0.294238274789972</v>
      </c>
      <c r="R261" s="4"/>
      <c r="T261">
        <v>38.495</v>
      </c>
      <c r="U261" s="7">
        <v>0.200564125211066</v>
      </c>
      <c r="V261">
        <v>3.63781551517213</v>
      </c>
      <c r="Y261">
        <v>0.00424925</v>
      </c>
      <c r="Z261" s="8">
        <v>1.81695969877037</v>
      </c>
      <c r="AA261">
        <v>0.401558321284458</v>
      </c>
      <c r="AD261" s="9">
        <v>1.112796</v>
      </c>
      <c r="AE261">
        <v>0.655659515742098</v>
      </c>
      <c r="AH261">
        <v>7.0081</v>
      </c>
      <c r="AI261" s="10">
        <v>1.10168462208016</v>
      </c>
      <c r="AJ261">
        <v>0.662272370746274</v>
      </c>
    </row>
    <row r="262" customFormat="1" spans="1:36">
      <c r="A262" s="1" t="s">
        <v>422</v>
      </c>
      <c r="B262" s="1">
        <v>52477872</v>
      </c>
      <c r="C262" s="2">
        <v>0.0137664</v>
      </c>
      <c r="E262">
        <v>9.268887</v>
      </c>
      <c r="F262">
        <v>5661.723215</v>
      </c>
      <c r="G262" s="3">
        <v>5.661723215</v>
      </c>
      <c r="H262" s="4"/>
      <c r="I262" t="s">
        <v>422</v>
      </c>
      <c r="J262">
        <v>15.8295</v>
      </c>
      <c r="K262" s="5">
        <v>3.31519454183644</v>
      </c>
      <c r="L262">
        <v>0.585545145169454</v>
      </c>
      <c r="O262">
        <v>0.029632</v>
      </c>
      <c r="P262" s="6">
        <v>1.77098650107991</v>
      </c>
      <c r="Q262" s="4">
        <v>1.87194794529202</v>
      </c>
      <c r="R262" s="4"/>
      <c r="T262">
        <v>1764.519</v>
      </c>
      <c r="U262" s="7">
        <v>0.029740610330634</v>
      </c>
      <c r="V262">
        <v>111.470292807732</v>
      </c>
      <c r="Y262">
        <v>0.0511911</v>
      </c>
      <c r="Z262" s="8">
        <v>1.02513663507914</v>
      </c>
      <c r="AA262">
        <v>3.23390505069648</v>
      </c>
      <c r="AD262" s="9">
        <v>1.252101</v>
      </c>
      <c r="AE262">
        <v>2.64770537028278</v>
      </c>
      <c r="AH262">
        <v>68.9355</v>
      </c>
      <c r="AI262" s="10">
        <v>0.761260482625062</v>
      </c>
      <c r="AJ262">
        <v>4.35487539088411</v>
      </c>
    </row>
    <row r="263" customFormat="1" spans="1:36">
      <c r="A263" s="1" t="s">
        <v>48</v>
      </c>
      <c r="B263" s="1">
        <v>1817500</v>
      </c>
      <c r="C263" s="2">
        <v>0.0142065</v>
      </c>
      <c r="E263">
        <v>2.057114</v>
      </c>
      <c r="F263">
        <v>883.519394</v>
      </c>
      <c r="G263" s="3">
        <v>0.883519394</v>
      </c>
      <c r="H263" s="4"/>
      <c r="I263" t="s">
        <v>48</v>
      </c>
      <c r="J263">
        <v>1.70339</v>
      </c>
      <c r="K263" s="5">
        <v>1.06698994358309</v>
      </c>
      <c r="L263">
        <v>1.20765876881599</v>
      </c>
      <c r="O263">
        <v>0.0027616</v>
      </c>
      <c r="P263" s="6">
        <v>0.658132966396292</v>
      </c>
      <c r="Q263" s="4">
        <v>1.62123764962809</v>
      </c>
      <c r="R263" s="4"/>
      <c r="T263">
        <v>3.509</v>
      </c>
      <c r="U263" s="7">
        <v>0.517953833000855</v>
      </c>
      <c r="V263">
        <v>2.06000974527266</v>
      </c>
      <c r="Y263">
        <v>0.00302358</v>
      </c>
      <c r="Z263" s="8">
        <v>0.601108619583408</v>
      </c>
      <c r="AA263">
        <v>1.77503683830479</v>
      </c>
      <c r="AD263" s="9">
        <v>0.622251</v>
      </c>
      <c r="AE263">
        <v>1.71472596039716</v>
      </c>
      <c r="AH263">
        <v>6.2762</v>
      </c>
      <c r="AI263" s="10">
        <v>0.289586055256365</v>
      </c>
      <c r="AJ263">
        <v>3.68453495676269</v>
      </c>
    </row>
    <row r="264" customFormat="1" spans="1:36">
      <c r="A264" s="1" t="s">
        <v>431</v>
      </c>
      <c r="B264" s="1">
        <v>54901212</v>
      </c>
      <c r="C264" s="2">
        <v>0.0145166</v>
      </c>
      <c r="E264">
        <v>21.868896</v>
      </c>
      <c r="F264">
        <v>2510.470264</v>
      </c>
      <c r="G264" s="3">
        <v>2.510470264</v>
      </c>
      <c r="H264" s="4"/>
      <c r="I264" t="s">
        <v>431</v>
      </c>
      <c r="J264">
        <v>18.9398</v>
      </c>
      <c r="K264" s="5">
        <v>2.89872184500364</v>
      </c>
      <c r="L264">
        <v>1.15465292960094</v>
      </c>
      <c r="O264">
        <v>0.0341792</v>
      </c>
      <c r="P264" s="6">
        <v>1.60627551259245</v>
      </c>
      <c r="Q264" s="4">
        <v>1.8046230688814</v>
      </c>
      <c r="R264" s="4"/>
      <c r="T264">
        <v>73.656</v>
      </c>
      <c r="U264" s="7">
        <v>0.745373248615184</v>
      </c>
      <c r="V264">
        <v>3.88895342083866</v>
      </c>
      <c r="Y264">
        <v>0.011764</v>
      </c>
      <c r="Z264" s="8">
        <v>4.66688303298198</v>
      </c>
      <c r="AA264">
        <v>0.621125883061067</v>
      </c>
      <c r="AD264" s="9">
        <v>1.16052</v>
      </c>
      <c r="AE264">
        <v>2.49777844845728</v>
      </c>
      <c r="AH264">
        <v>29.8564</v>
      </c>
      <c r="AI264" s="10">
        <v>1.8388423252636</v>
      </c>
      <c r="AJ264">
        <v>1.57638412232442</v>
      </c>
    </row>
    <row r="265" customFormat="1" spans="1:36">
      <c r="A265" s="1" t="s">
        <v>46</v>
      </c>
      <c r="B265" s="1">
        <v>1807022</v>
      </c>
      <c r="C265" s="2">
        <v>0.0148248</v>
      </c>
      <c r="E265">
        <v>1.226945</v>
      </c>
      <c r="F265">
        <v>1472.781625</v>
      </c>
      <c r="G265" s="3">
        <v>1.472781625</v>
      </c>
      <c r="H265" s="4"/>
      <c r="I265" t="s">
        <v>46</v>
      </c>
      <c r="J265">
        <v>0.57279</v>
      </c>
      <c r="K265" s="5">
        <v>3.15477225510222</v>
      </c>
      <c r="L265">
        <v>2.14205025480422</v>
      </c>
      <c r="O265">
        <v>0.0007328</v>
      </c>
      <c r="P265" s="6">
        <v>2.46591430131004</v>
      </c>
      <c r="Q265" s="4">
        <v>1.27935194399344</v>
      </c>
      <c r="R265" s="4"/>
      <c r="T265">
        <v>1.746</v>
      </c>
      <c r="U265" s="7">
        <v>1.03494959908362</v>
      </c>
      <c r="V265">
        <v>3.04823757397999</v>
      </c>
      <c r="Y265">
        <v>0.00173408</v>
      </c>
      <c r="Z265" s="8">
        <v>1.04206380328474</v>
      </c>
      <c r="AA265">
        <v>3.02742715480368</v>
      </c>
      <c r="AD265" s="9">
        <v>1.738812</v>
      </c>
      <c r="AE265">
        <v>1.81432624982012</v>
      </c>
      <c r="AH265">
        <v>0.9883</v>
      </c>
      <c r="AI265" s="10">
        <v>1.82841444905393</v>
      </c>
      <c r="AJ265">
        <v>1.72541420066691</v>
      </c>
    </row>
    <row r="266" customFormat="1" spans="1:36">
      <c r="A266" s="1" t="s">
        <v>97</v>
      </c>
      <c r="B266" s="1">
        <v>3646748</v>
      </c>
      <c r="C266" s="2">
        <v>0.0151286</v>
      </c>
      <c r="E266">
        <v>1.800269</v>
      </c>
      <c r="F266">
        <v>2025.668407</v>
      </c>
      <c r="G266" s="3">
        <v>2.025668407</v>
      </c>
      <c r="H266" s="4"/>
      <c r="I266" t="s">
        <v>97</v>
      </c>
      <c r="J266">
        <v>1.07175</v>
      </c>
      <c r="K266" s="5">
        <v>3.40261068346163</v>
      </c>
      <c r="L266">
        <v>1.67974712529622</v>
      </c>
      <c r="O266">
        <v>0.0018016</v>
      </c>
      <c r="P266" s="6">
        <v>2.02417184724689</v>
      </c>
      <c r="Q266" s="4">
        <v>1.68098903662235</v>
      </c>
      <c r="R266" s="4"/>
      <c r="T266">
        <v>6.278</v>
      </c>
      <c r="U266" s="7">
        <v>0.580877349474355</v>
      </c>
      <c r="V266">
        <v>5.85770935386051</v>
      </c>
      <c r="Y266">
        <v>0.00414512</v>
      </c>
      <c r="Z266" s="8">
        <v>0.87976898135639</v>
      </c>
      <c r="AA266">
        <v>3.86761838115232</v>
      </c>
      <c r="AD266" s="9">
        <v>1.244349</v>
      </c>
      <c r="AE266">
        <v>2.73445045036531</v>
      </c>
      <c r="AH266">
        <v>1.8834</v>
      </c>
      <c r="AI266" s="10">
        <v>1.93625783158118</v>
      </c>
      <c r="AJ266">
        <v>1.75731280615815</v>
      </c>
    </row>
    <row r="267" customFormat="1" spans="1:36">
      <c r="A267" s="1" t="s">
        <v>470</v>
      </c>
      <c r="B267" s="1">
        <v>81776492</v>
      </c>
      <c r="C267" s="2">
        <v>0.0156377</v>
      </c>
      <c r="E267">
        <v>32.975859</v>
      </c>
      <c r="F267">
        <v>2479.889638</v>
      </c>
      <c r="G267" s="3">
        <v>2.479889638</v>
      </c>
      <c r="H267" s="4"/>
      <c r="I267" t="s">
        <v>470</v>
      </c>
      <c r="J267">
        <v>71.6725</v>
      </c>
      <c r="K267" s="5">
        <v>1.14097446021835</v>
      </c>
      <c r="L267">
        <v>0.460090821274827</v>
      </c>
      <c r="O267">
        <v>0.0645216</v>
      </c>
      <c r="P267" s="6">
        <v>1.26742814809304</v>
      </c>
      <c r="Q267" s="4">
        <v>0.900228120966898</v>
      </c>
      <c r="R267" s="4"/>
      <c r="T267">
        <v>498.115</v>
      </c>
      <c r="U267" s="7">
        <v>0.16417191210865</v>
      </c>
      <c r="V267">
        <v>6.94987617286965</v>
      </c>
      <c r="Y267">
        <v>0.0066736</v>
      </c>
      <c r="Z267" s="8">
        <v>12.2537299208823</v>
      </c>
      <c r="AA267">
        <v>0.093112421082005</v>
      </c>
      <c r="AD267" s="9">
        <v>1.033656</v>
      </c>
      <c r="AE267">
        <v>1.10382415447533</v>
      </c>
      <c r="AH267">
        <v>80.2344</v>
      </c>
      <c r="AI267" s="10">
        <v>1.01921983588087</v>
      </c>
      <c r="AJ267">
        <v>1.11945864871464</v>
      </c>
    </row>
    <row r="268" customFormat="1" spans="1:36">
      <c r="A268" s="1" t="s">
        <v>50</v>
      </c>
      <c r="B268" s="1">
        <v>1883016</v>
      </c>
      <c r="C268" s="2">
        <v>0.0166799</v>
      </c>
      <c r="E268">
        <v>1.357548</v>
      </c>
      <c r="F268">
        <v>1387.071173</v>
      </c>
      <c r="G268" s="3">
        <v>1.387071173</v>
      </c>
      <c r="H268" s="4"/>
      <c r="I268" t="s">
        <v>50</v>
      </c>
      <c r="J268">
        <v>0.634657</v>
      </c>
      <c r="K268" s="5">
        <v>2.96698216516953</v>
      </c>
      <c r="L268">
        <v>2.13902662164945</v>
      </c>
      <c r="O268">
        <v>0.0007472</v>
      </c>
      <c r="P268" s="6">
        <v>2.52009635974304</v>
      </c>
      <c r="Q268" s="4">
        <v>1.17732885637439</v>
      </c>
      <c r="R268" s="4"/>
      <c r="T268">
        <v>1.783</v>
      </c>
      <c r="U268" s="7">
        <v>1.05609422321929</v>
      </c>
      <c r="V268">
        <v>2.80939152959788</v>
      </c>
      <c r="Y268">
        <v>0.00184502</v>
      </c>
      <c r="Z268" s="8">
        <v>1.0205938147012</v>
      </c>
      <c r="AA268">
        <v>2.90711360624715</v>
      </c>
      <c r="AD268" s="9">
        <v>1.700163</v>
      </c>
      <c r="AE268">
        <v>1.74511630071324</v>
      </c>
      <c r="AH268">
        <v>0.9186</v>
      </c>
      <c r="AI268" s="10">
        <v>2.04987589810581</v>
      </c>
      <c r="AJ268">
        <v>1.44739599500202</v>
      </c>
    </row>
    <row r="269" customFormat="1" spans="1:36">
      <c r="A269" s="1" t="s">
        <v>423</v>
      </c>
      <c r="B269" s="1">
        <v>52477872</v>
      </c>
      <c r="C269" s="2">
        <v>0.0170809</v>
      </c>
      <c r="E269">
        <v>9.625138</v>
      </c>
      <c r="F269">
        <v>5452.168498</v>
      </c>
      <c r="G269" s="3">
        <v>5.452168498</v>
      </c>
      <c r="H269" s="4"/>
      <c r="I269" t="s">
        <v>423</v>
      </c>
      <c r="J269">
        <v>18.0265</v>
      </c>
      <c r="K269" s="5">
        <v>2.91115147144482</v>
      </c>
      <c r="L269">
        <v>0.533943782645878</v>
      </c>
      <c r="O269">
        <v>0.0240976</v>
      </c>
      <c r="P269" s="6">
        <v>2.17772193081469</v>
      </c>
      <c r="Q269" s="4">
        <v>1.33678750728095</v>
      </c>
      <c r="R269" s="4"/>
      <c r="T269">
        <v>1766.991</v>
      </c>
      <c r="U269" s="7">
        <v>0.0296990035602898</v>
      </c>
      <c r="V269">
        <v>98.0218567109533</v>
      </c>
      <c r="Y269">
        <v>0.0493634</v>
      </c>
      <c r="Z269" s="8">
        <v>1.06309273672397</v>
      </c>
      <c r="AA269">
        <v>2.73837960779963</v>
      </c>
      <c r="AD269" s="9">
        <v>1.248534</v>
      </c>
      <c r="AE269">
        <v>2.33165574301126</v>
      </c>
      <c r="AH269">
        <v>70.4364</v>
      </c>
      <c r="AI269" s="10">
        <v>0.745039099102169</v>
      </c>
      <c r="AJ269">
        <v>3.90738080048817</v>
      </c>
    </row>
    <row r="270" customFormat="1" spans="1:36">
      <c r="A270" s="1" t="s">
        <v>51</v>
      </c>
      <c r="B270" s="1">
        <v>1891702</v>
      </c>
      <c r="C270" s="2">
        <v>0.0175601</v>
      </c>
      <c r="E270">
        <v>2.941648</v>
      </c>
      <c r="F270">
        <v>643.075626</v>
      </c>
      <c r="G270" s="3">
        <v>0.643075626</v>
      </c>
      <c r="H270" s="4"/>
      <c r="I270" t="s">
        <v>51</v>
      </c>
      <c r="J270">
        <v>1.65765</v>
      </c>
      <c r="K270" s="5">
        <v>1.14119506530329</v>
      </c>
      <c r="L270">
        <v>1.77458920718493</v>
      </c>
      <c r="O270">
        <v>0.0016976</v>
      </c>
      <c r="P270" s="6">
        <v>1.114339066918</v>
      </c>
      <c r="Q270" s="4">
        <v>1.02410038307242</v>
      </c>
      <c r="R270" s="4"/>
      <c r="T270">
        <v>420.907</v>
      </c>
      <c r="U270" s="7">
        <v>0.00449434673217599</v>
      </c>
      <c r="V270">
        <v>253.917895816367</v>
      </c>
      <c r="Y270">
        <v>0.0042958</v>
      </c>
      <c r="Z270" s="8">
        <v>0.440360817542716</v>
      </c>
      <c r="AA270">
        <v>2.59150001508159</v>
      </c>
      <c r="AD270" s="9">
        <v>0.995415</v>
      </c>
      <c r="AE270">
        <v>1.14645154564005</v>
      </c>
      <c r="AH270">
        <v>1.5865</v>
      </c>
      <c r="AI270" s="10">
        <v>1.19237440907658</v>
      </c>
      <c r="AJ270">
        <v>0.95707779084849</v>
      </c>
    </row>
    <row r="271" customFormat="1" spans="1:36">
      <c r="A271" s="1" t="s">
        <v>294</v>
      </c>
      <c r="B271" s="1">
        <v>18479770</v>
      </c>
      <c r="C271" s="2">
        <v>0.0177293</v>
      </c>
      <c r="E271">
        <v>8.292111</v>
      </c>
      <c r="F271">
        <v>2228.596639</v>
      </c>
      <c r="G271" s="3">
        <v>2.228596639</v>
      </c>
      <c r="H271" s="4"/>
      <c r="I271" t="s">
        <v>294</v>
      </c>
      <c r="J271">
        <v>6.92924</v>
      </c>
      <c r="K271" s="5">
        <v>2.66692595436152</v>
      </c>
      <c r="L271">
        <v>1.19668400628936</v>
      </c>
      <c r="O271">
        <v>0.0078048</v>
      </c>
      <c r="P271" s="6">
        <v>2.36774420869209</v>
      </c>
      <c r="Q271" s="4">
        <v>1.12635729170876</v>
      </c>
      <c r="R271" s="4"/>
      <c r="T271">
        <v>22.194</v>
      </c>
      <c r="U271" s="7">
        <v>0.832647111832027</v>
      </c>
      <c r="V271">
        <v>3.20294866392274</v>
      </c>
      <c r="Y271">
        <v>0.00600801</v>
      </c>
      <c r="Z271" s="8">
        <v>3.07585539970806</v>
      </c>
      <c r="AA271">
        <v>0.867051797888369</v>
      </c>
      <c r="AD271" s="9">
        <v>1.708428</v>
      </c>
      <c r="AE271">
        <v>1.5610408834095</v>
      </c>
      <c r="AH271">
        <v>6.9534</v>
      </c>
      <c r="AI271" s="10">
        <v>2.65765956222855</v>
      </c>
      <c r="AJ271">
        <v>1.00348667386322</v>
      </c>
    </row>
    <row r="272" customFormat="1" spans="1:36">
      <c r="A272" s="1" t="s">
        <v>314</v>
      </c>
      <c r="B272" s="1">
        <v>21349992</v>
      </c>
      <c r="C272" s="2">
        <v>0.0180349</v>
      </c>
      <c r="E272">
        <v>18.584422</v>
      </c>
      <c r="F272">
        <v>1148.811223</v>
      </c>
      <c r="G272" s="3">
        <v>1.148811223</v>
      </c>
      <c r="H272" s="4"/>
      <c r="I272" t="s">
        <v>314</v>
      </c>
      <c r="J272">
        <v>20.5772</v>
      </c>
      <c r="K272" s="5">
        <v>1.03755574130591</v>
      </c>
      <c r="L272">
        <v>0.903155993372387</v>
      </c>
      <c r="O272">
        <v>0.0167424</v>
      </c>
      <c r="P272" s="6">
        <v>1.27520498853211</v>
      </c>
      <c r="Q272" s="4">
        <v>0.813638395894485</v>
      </c>
      <c r="R272" s="4"/>
      <c r="T272">
        <v>65.529</v>
      </c>
      <c r="U272" s="7">
        <v>0.325809824657785</v>
      </c>
      <c r="V272">
        <v>3.18454405847248</v>
      </c>
      <c r="Y272">
        <v>0.0211775</v>
      </c>
      <c r="Z272" s="8">
        <v>1.00814505961516</v>
      </c>
      <c r="AA272">
        <v>1.02917306533445</v>
      </c>
      <c r="AD272" s="9">
        <v>0.921819</v>
      </c>
      <c r="AE272">
        <v>1.12555256650808</v>
      </c>
      <c r="AH272">
        <v>24.5311</v>
      </c>
      <c r="AI272" s="10">
        <v>0.87032346694604</v>
      </c>
      <c r="AJ272">
        <v>1.19214956359466</v>
      </c>
    </row>
    <row r="273" customFormat="1" spans="1:36">
      <c r="A273" s="1" t="s">
        <v>494</v>
      </c>
      <c r="B273" s="1">
        <v>101221524</v>
      </c>
      <c r="C273" s="2">
        <v>0.0223271</v>
      </c>
      <c r="E273">
        <v>115.73825</v>
      </c>
      <c r="F273">
        <v>874.572792</v>
      </c>
      <c r="G273" s="3">
        <v>0.874572792</v>
      </c>
      <c r="H273" s="4"/>
      <c r="I273" t="s">
        <v>494</v>
      </c>
      <c r="J273">
        <v>60.6625</v>
      </c>
      <c r="K273" s="5">
        <v>1.66860126107562</v>
      </c>
      <c r="L273">
        <v>1.90790438067461</v>
      </c>
      <c r="O273">
        <v>0.0652016</v>
      </c>
      <c r="P273" s="6">
        <v>1.5524392652941</v>
      </c>
      <c r="Q273" s="4">
        <v>1.0748254687822</v>
      </c>
      <c r="R273" s="4"/>
      <c r="T273">
        <v>2782.389</v>
      </c>
      <c r="U273" s="7">
        <v>0.0363793574514563</v>
      </c>
      <c r="V273">
        <v>45.8667051308469</v>
      </c>
      <c r="Y273">
        <v>0.150559</v>
      </c>
      <c r="Z273" s="8">
        <v>0.672304704468016</v>
      </c>
      <c r="AA273">
        <v>2.48191221924583</v>
      </c>
      <c r="AD273" s="9">
        <v>0.913869</v>
      </c>
      <c r="AE273">
        <v>1.82586482425339</v>
      </c>
      <c r="AH273">
        <v>138.1968</v>
      </c>
      <c r="AI273" s="10">
        <v>0.732444774408669</v>
      </c>
      <c r="AJ273">
        <v>2.27812569544612</v>
      </c>
    </row>
    <row r="274" customFormat="1" spans="1:36">
      <c r="A274" s="1" t="s">
        <v>49</v>
      </c>
      <c r="B274" s="1">
        <v>1853920</v>
      </c>
      <c r="C274" s="2">
        <v>0.0224707</v>
      </c>
      <c r="E274">
        <v>2.102111</v>
      </c>
      <c r="F274">
        <v>881.932671</v>
      </c>
      <c r="G274" s="3">
        <v>0.881932671</v>
      </c>
      <c r="H274" s="4"/>
      <c r="I274" t="s">
        <v>49</v>
      </c>
      <c r="J274">
        <v>1.75616</v>
      </c>
      <c r="K274" s="5">
        <v>1.05566690962099</v>
      </c>
      <c r="L274">
        <v>1.19699263258271</v>
      </c>
      <c r="O274">
        <v>0.0028528</v>
      </c>
      <c r="P274" s="6">
        <v>0.649859786876052</v>
      </c>
      <c r="Q274" s="4">
        <v>1.62445335276968</v>
      </c>
      <c r="R274" s="4"/>
      <c r="T274">
        <v>3.611</v>
      </c>
      <c r="U274" s="7">
        <v>0.513409027970091</v>
      </c>
      <c r="V274">
        <v>2.05619077988338</v>
      </c>
      <c r="Y274">
        <v>0.00287046</v>
      </c>
      <c r="Z274" s="8">
        <v>0.645861638901082</v>
      </c>
      <c r="AA274">
        <v>1.63450938411079</v>
      </c>
      <c r="AD274" s="9">
        <v>0.582051</v>
      </c>
      <c r="AE274">
        <v>1.81370173682545</v>
      </c>
      <c r="AH274">
        <v>6.3809</v>
      </c>
      <c r="AI274" s="10">
        <v>0.290542086539516</v>
      </c>
      <c r="AJ274">
        <v>3.63343886661807</v>
      </c>
    </row>
    <row r="275" customFormat="1" spans="1:36">
      <c r="A275" s="1" t="s">
        <v>239</v>
      </c>
      <c r="B275" s="1">
        <v>13101308</v>
      </c>
      <c r="C275" s="2">
        <v>0.0237259</v>
      </c>
      <c r="E275">
        <v>15.125224</v>
      </c>
      <c r="F275">
        <v>866.189353</v>
      </c>
      <c r="G275" s="3">
        <v>0.866189353</v>
      </c>
      <c r="H275" s="4"/>
      <c r="I275" t="s">
        <v>239</v>
      </c>
      <c r="J275">
        <v>11.6995</v>
      </c>
      <c r="K275" s="5">
        <v>1.11981776999017</v>
      </c>
      <c r="L275">
        <v>1.29280943723418</v>
      </c>
      <c r="O275">
        <v>0.0077872</v>
      </c>
      <c r="P275" s="6">
        <v>1.68241575919458</v>
      </c>
      <c r="Q275" s="4">
        <v>0.665601094063849</v>
      </c>
      <c r="R275" s="4"/>
      <c r="T275">
        <v>112.072</v>
      </c>
      <c r="U275" s="7">
        <v>0.116900813762581</v>
      </c>
      <c r="V275">
        <v>9.57921278687123</v>
      </c>
      <c r="Y275">
        <v>0.0514711</v>
      </c>
      <c r="Z275" s="8">
        <v>0.254537167459021</v>
      </c>
      <c r="AA275">
        <v>4.3994273259541</v>
      </c>
      <c r="AD275" s="9">
        <v>0.838173</v>
      </c>
      <c r="AE275">
        <v>1.33602224122009</v>
      </c>
      <c r="AH275">
        <v>11.242</v>
      </c>
      <c r="AI275" s="10">
        <v>1.16538943248532</v>
      </c>
      <c r="AJ275">
        <v>0.960895764776272</v>
      </c>
    </row>
    <row r="276" customFormat="1" spans="1:36">
      <c r="A276" s="1" t="s">
        <v>257</v>
      </c>
      <c r="B276" s="1">
        <v>14661300</v>
      </c>
      <c r="C276" s="2">
        <v>0.0239135</v>
      </c>
      <c r="E276">
        <v>2.46319</v>
      </c>
      <c r="F276">
        <v>5952.159651</v>
      </c>
      <c r="G276" s="3">
        <v>5.952159651</v>
      </c>
      <c r="H276" s="4"/>
      <c r="I276" t="s">
        <v>257</v>
      </c>
      <c r="J276">
        <v>1.7224</v>
      </c>
      <c r="K276" s="5">
        <v>8.51213423130516</v>
      </c>
      <c r="L276">
        <v>1.43009171971304</v>
      </c>
      <c r="O276">
        <v>0.0022096</v>
      </c>
      <c r="P276" s="6">
        <v>6.63527335264301</v>
      </c>
      <c r="Q276" s="4">
        <v>1.28286112401301</v>
      </c>
      <c r="R276" s="4"/>
      <c r="T276">
        <v>15.373</v>
      </c>
      <c r="U276" s="7">
        <v>0.953704546932934</v>
      </c>
      <c r="V276">
        <v>8.92533673943335</v>
      </c>
      <c r="Y276">
        <v>0.00412092</v>
      </c>
      <c r="Z276" s="8">
        <v>3.55777350688681</v>
      </c>
      <c r="AA276">
        <v>2.39254528564793</v>
      </c>
      <c r="AD276" s="9">
        <v>1.716741</v>
      </c>
      <c r="AE276">
        <v>4.95831009529402</v>
      </c>
      <c r="AH276">
        <v>2.9293</v>
      </c>
      <c r="AI276" s="10">
        <v>5.00505240159765</v>
      </c>
      <c r="AJ276">
        <v>1.70070831398049</v>
      </c>
    </row>
    <row r="277" customFormat="1" spans="1:36">
      <c r="A277" s="1" t="s">
        <v>106</v>
      </c>
      <c r="B277" s="1">
        <v>4204944</v>
      </c>
      <c r="C277" s="2">
        <v>0.0241357</v>
      </c>
      <c r="E277">
        <v>1.686992</v>
      </c>
      <c r="F277">
        <v>2492.568667</v>
      </c>
      <c r="G277" s="3">
        <v>2.492568667</v>
      </c>
      <c r="H277" s="4"/>
      <c r="I277" t="s">
        <v>106</v>
      </c>
      <c r="J277">
        <v>1.4712</v>
      </c>
      <c r="K277" s="5">
        <v>2.85817292006525</v>
      </c>
      <c r="L277">
        <v>1.14667770557562</v>
      </c>
      <c r="O277">
        <v>0.0021568</v>
      </c>
      <c r="P277" s="6">
        <v>1.94962166172107</v>
      </c>
      <c r="Q277" s="4">
        <v>1.46601413811854</v>
      </c>
      <c r="R277" s="4"/>
      <c r="T277">
        <v>4.64</v>
      </c>
      <c r="U277" s="7">
        <v>0.906237931034483</v>
      </c>
      <c r="V277">
        <v>3.15388798259924</v>
      </c>
      <c r="Y277">
        <v>0.00256563</v>
      </c>
      <c r="Z277" s="8">
        <v>1.63895183639106</v>
      </c>
      <c r="AA277">
        <v>1.74390293637847</v>
      </c>
      <c r="AD277" s="9">
        <v>1.240719</v>
      </c>
      <c r="AE277">
        <v>2.3036424202944</v>
      </c>
      <c r="AH277">
        <v>3.6221</v>
      </c>
      <c r="AI277" s="10">
        <v>1.16091328235002</v>
      </c>
      <c r="AJ277">
        <v>2.46200380641653</v>
      </c>
    </row>
    <row r="278" customFormat="1" spans="1:36">
      <c r="A278" s="1" t="s">
        <v>430</v>
      </c>
      <c r="B278" s="1">
        <v>54549924</v>
      </c>
      <c r="C278" s="2">
        <v>0.0241443</v>
      </c>
      <c r="E278">
        <v>31.75983</v>
      </c>
      <c r="F278">
        <v>1717.576074</v>
      </c>
      <c r="G278" s="3">
        <v>1.717576074</v>
      </c>
      <c r="H278" s="4"/>
      <c r="I278" t="s">
        <v>430</v>
      </c>
      <c r="J278">
        <v>45.4428</v>
      </c>
      <c r="K278" s="5">
        <v>1.2004085135599</v>
      </c>
      <c r="L278">
        <v>0.698896853380308</v>
      </c>
      <c r="O278">
        <v>0.0238224</v>
      </c>
      <c r="P278" s="6">
        <v>2.28985845254886</v>
      </c>
      <c r="Q278" s="4">
        <v>0.524228260582534</v>
      </c>
      <c r="R278" s="4"/>
      <c r="T278">
        <v>529.248</v>
      </c>
      <c r="U278" s="7">
        <v>0.10307062851442</v>
      </c>
      <c r="V278">
        <v>11.6464654466714</v>
      </c>
      <c r="Y278">
        <v>0.00771527</v>
      </c>
      <c r="Z278" s="8">
        <v>7.07038431577897</v>
      </c>
      <c r="AA278">
        <v>0.169779811103189</v>
      </c>
      <c r="AD278" s="9">
        <v>1.124289</v>
      </c>
      <c r="AE278">
        <v>1.06770457912503</v>
      </c>
      <c r="AH278">
        <v>50.6427</v>
      </c>
      <c r="AI278" s="10">
        <v>1.07715275844297</v>
      </c>
      <c r="AJ278">
        <v>1.1144273680319</v>
      </c>
    </row>
    <row r="279" customFormat="1" spans="1:36">
      <c r="A279" s="1" t="s">
        <v>178</v>
      </c>
      <c r="B279" s="1">
        <v>8112220</v>
      </c>
      <c r="C279" s="2">
        <v>0.0246201</v>
      </c>
      <c r="E279">
        <v>5.195318</v>
      </c>
      <c r="F279">
        <v>1561.448198</v>
      </c>
      <c r="G279" s="3">
        <v>1.561448198</v>
      </c>
      <c r="H279" s="4"/>
      <c r="I279" t="s">
        <v>178</v>
      </c>
      <c r="J279">
        <v>2.77642</v>
      </c>
      <c r="K279" s="5">
        <v>2.92182738922785</v>
      </c>
      <c r="L279">
        <v>1.8712291531479</v>
      </c>
      <c r="O279">
        <v>0.0072032</v>
      </c>
      <c r="P279" s="6">
        <v>1.12619669035984</v>
      </c>
      <c r="Q279" s="4">
        <v>2.59442015257058</v>
      </c>
      <c r="R279" s="4"/>
      <c r="T279">
        <v>12.806</v>
      </c>
      <c r="U279" s="7">
        <v>0.6334702483211</v>
      </c>
      <c r="V279">
        <v>4.61241454823117</v>
      </c>
      <c r="Y279">
        <v>0.00334895</v>
      </c>
      <c r="Z279" s="8">
        <v>2.42231744278057</v>
      </c>
      <c r="AA279">
        <v>1.20621159622824</v>
      </c>
      <c r="AD279" s="9">
        <v>1.032159</v>
      </c>
      <c r="AE279">
        <v>2.83079195087952</v>
      </c>
      <c r="AH279">
        <v>5.5863</v>
      </c>
      <c r="AI279" s="10">
        <v>1.45216332814206</v>
      </c>
      <c r="AJ279">
        <v>2.01205149076869</v>
      </c>
    </row>
    <row r="280" customFormat="1" spans="1:36">
      <c r="A280" s="1" t="s">
        <v>145</v>
      </c>
      <c r="B280" s="1">
        <v>5881648</v>
      </c>
      <c r="C280" s="2">
        <v>0.0285302</v>
      </c>
      <c r="E280">
        <v>2.271759</v>
      </c>
      <c r="F280">
        <v>2589.028683</v>
      </c>
      <c r="G280" s="3">
        <v>2.589028683</v>
      </c>
      <c r="H280" s="4"/>
      <c r="I280" t="s">
        <v>145</v>
      </c>
      <c r="J280">
        <v>1.11673</v>
      </c>
      <c r="K280" s="5">
        <v>5.26684874589202</v>
      </c>
      <c r="L280">
        <v>2.03429524766374</v>
      </c>
      <c r="O280">
        <v>0.0024064</v>
      </c>
      <c r="P280" s="6">
        <v>2.44416888297872</v>
      </c>
      <c r="Q280" s="4">
        <v>2.15486285852444</v>
      </c>
      <c r="R280" s="4"/>
      <c r="T280">
        <v>6.768</v>
      </c>
      <c r="U280" s="7">
        <v>0.869037825059102</v>
      </c>
      <c r="V280">
        <v>6.06055178959999</v>
      </c>
      <c r="Y280">
        <v>0.0035742</v>
      </c>
      <c r="Z280" s="8">
        <v>1.64558446645403</v>
      </c>
      <c r="AA280">
        <v>3.20059459314248</v>
      </c>
      <c r="AD280" s="9">
        <v>1.396509</v>
      </c>
      <c r="AE280">
        <v>3.77143917145684</v>
      </c>
      <c r="AH280">
        <v>2.613</v>
      </c>
      <c r="AI280" s="10">
        <v>2.25091771909682</v>
      </c>
      <c r="AJ280">
        <v>2.33986729110886</v>
      </c>
    </row>
    <row r="281" customFormat="1" spans="1:36">
      <c r="A281" s="1" t="s">
        <v>73</v>
      </c>
      <c r="B281" s="1">
        <v>2459588</v>
      </c>
      <c r="C281" s="2">
        <v>0.0295508</v>
      </c>
      <c r="E281">
        <v>1.131806</v>
      </c>
      <c r="F281">
        <v>2173.153151</v>
      </c>
      <c r="G281" s="3">
        <v>2.173153151</v>
      </c>
      <c r="H281" s="4"/>
      <c r="I281" t="s">
        <v>73</v>
      </c>
      <c r="J281">
        <v>0.810876</v>
      </c>
      <c r="K281" s="5">
        <v>3.03324799352799</v>
      </c>
      <c r="L281">
        <v>1.39578197336539</v>
      </c>
      <c r="O281">
        <v>0.0013808</v>
      </c>
      <c r="P281" s="6">
        <v>1.7812775202781</v>
      </c>
      <c r="Q281" s="4">
        <v>1.70284975754616</v>
      </c>
      <c r="R281" s="4"/>
      <c r="T281">
        <v>7.247</v>
      </c>
      <c r="U281" s="7">
        <v>0.339393956119774</v>
      </c>
      <c r="V281">
        <v>8.93724811191847</v>
      </c>
      <c r="Y281">
        <v>0.00301364</v>
      </c>
      <c r="Z281" s="8">
        <v>0.816151896045978</v>
      </c>
      <c r="AA281">
        <v>3.71652385814847</v>
      </c>
      <c r="AD281" s="9">
        <v>1.508313</v>
      </c>
      <c r="AE281">
        <v>2.01102025476674</v>
      </c>
      <c r="AH281">
        <v>1.4651</v>
      </c>
      <c r="AI281" s="10">
        <v>1.67878506586581</v>
      </c>
      <c r="AJ281">
        <v>1.80681139903018</v>
      </c>
    </row>
    <row r="282" customFormat="1" spans="1:36">
      <c r="A282" s="1" t="s">
        <v>267</v>
      </c>
      <c r="B282" s="1">
        <v>15489024</v>
      </c>
      <c r="C282" s="2">
        <v>0.0313791</v>
      </c>
      <c r="E282">
        <v>8.305161</v>
      </c>
      <c r="F282">
        <v>1864.987874</v>
      </c>
      <c r="G282" s="3">
        <v>1.864987874</v>
      </c>
      <c r="H282" s="4"/>
      <c r="I282" t="s">
        <v>267</v>
      </c>
      <c r="J282">
        <v>1.86857</v>
      </c>
      <c r="K282" s="5">
        <v>8.2892393648619</v>
      </c>
      <c r="L282">
        <v>4.44466126585759</v>
      </c>
      <c r="O282">
        <v>0.0022384</v>
      </c>
      <c r="P282" s="6">
        <v>6.91968548963545</v>
      </c>
      <c r="Q282" s="4">
        <v>1.19792140513869</v>
      </c>
      <c r="R282" s="4"/>
      <c r="T282">
        <v>7.058</v>
      </c>
      <c r="U282" s="7">
        <v>2.19453442901672</v>
      </c>
      <c r="V282">
        <v>3.77722001316515</v>
      </c>
      <c r="Y282">
        <v>0.0036767</v>
      </c>
      <c r="Z282" s="8">
        <v>4.2127516522969</v>
      </c>
      <c r="AA282">
        <v>1.96765440952172</v>
      </c>
      <c r="AD282" s="9">
        <v>0.907338</v>
      </c>
      <c r="AE282">
        <v>9.13577891024282</v>
      </c>
      <c r="AH282">
        <v>2.7437</v>
      </c>
      <c r="AI282" s="10">
        <v>5.6453052447425</v>
      </c>
      <c r="AJ282">
        <v>1.46834210117898</v>
      </c>
    </row>
    <row r="283" customFormat="1" spans="1:36">
      <c r="A283" s="1" t="s">
        <v>369</v>
      </c>
      <c r="B283" s="1">
        <v>33527500</v>
      </c>
      <c r="C283" s="2">
        <v>0.0314886</v>
      </c>
      <c r="E283">
        <v>20.55131</v>
      </c>
      <c r="F283">
        <v>1631.404544</v>
      </c>
      <c r="G283" s="3">
        <v>1.631404544</v>
      </c>
      <c r="H283" s="4"/>
      <c r="I283" t="s">
        <v>369</v>
      </c>
      <c r="J283">
        <v>22.9835</v>
      </c>
      <c r="K283" s="5">
        <v>1.45876389583832</v>
      </c>
      <c r="L283">
        <v>0.894176678128904</v>
      </c>
      <c r="O283">
        <v>0.0338736</v>
      </c>
      <c r="P283" s="6">
        <v>0.989782603561476</v>
      </c>
      <c r="Q283" s="4">
        <v>1.47382252485479</v>
      </c>
      <c r="R283" s="4"/>
      <c r="T283">
        <v>589.948</v>
      </c>
      <c r="U283" s="7">
        <v>0.0568312800450209</v>
      </c>
      <c r="V283">
        <v>25.6683272782648</v>
      </c>
      <c r="Y283">
        <v>0.0337731</v>
      </c>
      <c r="Z283" s="8">
        <v>0.992727940283835</v>
      </c>
      <c r="AA283">
        <v>1.46944982269889</v>
      </c>
      <c r="AD283" s="9">
        <v>1.22874</v>
      </c>
      <c r="AE283">
        <v>1.1872030664244</v>
      </c>
      <c r="AH283">
        <v>41.3312</v>
      </c>
      <c r="AI283" s="10">
        <v>0.811191061474141</v>
      </c>
      <c r="AJ283">
        <v>1.79829877955925</v>
      </c>
    </row>
    <row r="284" customFormat="1" spans="1:36">
      <c r="A284" s="1" t="s">
        <v>26</v>
      </c>
      <c r="B284" s="1">
        <v>1068740</v>
      </c>
      <c r="C284" s="2">
        <v>0.0331953</v>
      </c>
      <c r="E284">
        <v>1.15974</v>
      </c>
      <c r="F284">
        <v>921.53415</v>
      </c>
      <c r="G284" s="3">
        <v>0.92153415</v>
      </c>
      <c r="H284" s="4"/>
      <c r="I284" t="s">
        <v>26</v>
      </c>
      <c r="J284">
        <v>0.97032</v>
      </c>
      <c r="K284" s="5">
        <v>1.10143045593206</v>
      </c>
      <c r="L284">
        <v>1.19521393312669</v>
      </c>
      <c r="O284">
        <v>0.0007632</v>
      </c>
      <c r="P284" s="6">
        <v>1.40034067085954</v>
      </c>
      <c r="Q284" s="4">
        <v>0.786544645065546</v>
      </c>
      <c r="R284" s="4"/>
      <c r="T284">
        <v>1.456</v>
      </c>
      <c r="U284" s="7">
        <v>0.734024725274725</v>
      </c>
      <c r="V284">
        <v>1.5005359056806</v>
      </c>
      <c r="Y284">
        <v>0.00207477</v>
      </c>
      <c r="Z284" s="8">
        <v>0.515112518496026</v>
      </c>
      <c r="AA284">
        <v>2.13823274795944</v>
      </c>
      <c r="AD284" s="9">
        <v>0.871635</v>
      </c>
      <c r="AE284">
        <v>1.26363725175339</v>
      </c>
      <c r="AH284">
        <v>3.4337</v>
      </c>
      <c r="AI284" s="10">
        <v>0.311250254827154</v>
      </c>
      <c r="AJ284">
        <v>3.53872949130184</v>
      </c>
    </row>
    <row r="285" customFormat="1" spans="1:36">
      <c r="A285" s="1" t="s">
        <v>486</v>
      </c>
      <c r="B285" s="1">
        <v>94833604</v>
      </c>
      <c r="C285" s="2">
        <v>0.033213</v>
      </c>
      <c r="E285">
        <v>9.365136</v>
      </c>
      <c r="F285">
        <v>10126.23876</v>
      </c>
      <c r="G285" s="3">
        <v>10.12623876</v>
      </c>
      <c r="H285" s="4"/>
      <c r="I285" t="s">
        <v>486</v>
      </c>
      <c r="J285">
        <v>8.59593</v>
      </c>
      <c r="K285" s="5">
        <v>11.0323843958711</v>
      </c>
      <c r="L285">
        <v>1.08948491708989</v>
      </c>
      <c r="O285">
        <v>0.012304</v>
      </c>
      <c r="P285" s="6">
        <v>7.70754258777633</v>
      </c>
      <c r="Q285" s="4">
        <v>1.43137508099764</v>
      </c>
      <c r="R285" s="4"/>
      <c r="T285">
        <v>75.753</v>
      </c>
      <c r="U285" s="7">
        <v>1.25187918630285</v>
      </c>
      <c r="V285">
        <v>8.81265901420789</v>
      </c>
      <c r="Y285">
        <v>0.00818719</v>
      </c>
      <c r="Z285" s="8">
        <v>11.583168828377</v>
      </c>
      <c r="AA285">
        <v>0.952449589515038</v>
      </c>
      <c r="AD285" s="9">
        <v>2.846757</v>
      </c>
      <c r="AE285">
        <v>3.87542189089939</v>
      </c>
      <c r="AH285">
        <v>12.9752</v>
      </c>
      <c r="AI285" s="10">
        <v>7.3088356248844</v>
      </c>
      <c r="AJ285">
        <v>1.50945854607937</v>
      </c>
    </row>
    <row r="286" customFormat="1" spans="1:36">
      <c r="A286" s="1" t="s">
        <v>540</v>
      </c>
      <c r="B286" s="1">
        <v>177313778</v>
      </c>
      <c r="C286" s="2">
        <v>0.0342208</v>
      </c>
      <c r="E286">
        <v>38.908685</v>
      </c>
      <c r="F286">
        <v>4557.17738</v>
      </c>
      <c r="G286" s="3">
        <v>4.55717738</v>
      </c>
      <c r="H286" s="4"/>
      <c r="I286" t="s">
        <v>540</v>
      </c>
      <c r="J286">
        <v>72.9081</v>
      </c>
      <c r="K286" s="5">
        <v>2.43201753988926</v>
      </c>
      <c r="L286">
        <v>0.533667517653056</v>
      </c>
      <c r="O286">
        <v>0.0542432</v>
      </c>
      <c r="P286" s="6">
        <v>3.26886647542918</v>
      </c>
      <c r="Q286" s="4">
        <v>0.743994151541461</v>
      </c>
      <c r="R286" s="4"/>
      <c r="T286">
        <v>147.978</v>
      </c>
      <c r="U286" s="7">
        <v>1.19824418494641</v>
      </c>
      <c r="V286">
        <v>2.02965102642916</v>
      </c>
      <c r="Y286">
        <v>0.0972549</v>
      </c>
      <c r="Z286" s="8">
        <v>1.82318606054811</v>
      </c>
      <c r="AA286">
        <v>1.33393820439704</v>
      </c>
      <c r="AD286" s="9">
        <v>1.596579</v>
      </c>
      <c r="AE286">
        <v>1.52326789960864</v>
      </c>
      <c r="AH286">
        <v>93.0126</v>
      </c>
      <c r="AI286" s="10">
        <v>1.9063414849171</v>
      </c>
      <c r="AJ286">
        <v>1.2757512539759</v>
      </c>
    </row>
    <row r="287" customFormat="1" spans="1:36">
      <c r="A287" s="1" t="s">
        <v>255</v>
      </c>
      <c r="B287" s="1">
        <v>14374580</v>
      </c>
      <c r="C287" s="2">
        <v>0.035795</v>
      </c>
      <c r="E287">
        <v>8.00513</v>
      </c>
      <c r="F287">
        <v>1795.671112</v>
      </c>
      <c r="G287" s="3">
        <v>1.795671112</v>
      </c>
      <c r="H287" s="4"/>
      <c r="I287" t="s">
        <v>255</v>
      </c>
      <c r="J287">
        <v>9.58088</v>
      </c>
      <c r="K287" s="5">
        <v>1.50034026101986</v>
      </c>
      <c r="L287">
        <v>0.835531769149419</v>
      </c>
      <c r="O287">
        <v>0.0075344</v>
      </c>
      <c r="P287" s="6">
        <v>1.90785994903377</v>
      </c>
      <c r="Q287" s="4">
        <v>0.786399579161831</v>
      </c>
      <c r="R287" s="4"/>
      <c r="T287">
        <v>128.234</v>
      </c>
      <c r="U287" s="7">
        <v>0.112096479872733</v>
      </c>
      <c r="V287">
        <v>13.38436552801</v>
      </c>
      <c r="Y287">
        <v>0.0148682</v>
      </c>
      <c r="Z287" s="8">
        <v>0.966800285172381</v>
      </c>
      <c r="AA287">
        <v>1.55186162440193</v>
      </c>
      <c r="AD287" s="9">
        <v>0.957</v>
      </c>
      <c r="AE287">
        <v>1.56775366877729</v>
      </c>
      <c r="AH287">
        <v>19.7939</v>
      </c>
      <c r="AI287" s="10">
        <v>0.726212621060024</v>
      </c>
      <c r="AJ287">
        <v>2.06597932548993</v>
      </c>
    </row>
    <row r="288" customFormat="1" spans="1:36">
      <c r="A288" s="1" t="s">
        <v>104</v>
      </c>
      <c r="B288" s="1">
        <v>4158036</v>
      </c>
      <c r="C288" s="2">
        <v>0.036194</v>
      </c>
      <c r="E288">
        <v>1.919122</v>
      </c>
      <c r="F288">
        <v>2166.634331</v>
      </c>
      <c r="G288" s="3">
        <v>2.166634331</v>
      </c>
      <c r="H288" s="4"/>
      <c r="I288" t="s">
        <v>104</v>
      </c>
      <c r="J288">
        <v>0.969445</v>
      </c>
      <c r="K288" s="5">
        <v>4.28908911800051</v>
      </c>
      <c r="L288">
        <v>1.97960913691462</v>
      </c>
      <c r="O288">
        <v>0.0010832</v>
      </c>
      <c r="P288" s="6">
        <v>3.83865952732644</v>
      </c>
      <c r="Q288" s="4">
        <v>1.11734033390239</v>
      </c>
      <c r="R288" s="4"/>
      <c r="T288">
        <v>5.785</v>
      </c>
      <c r="U288" s="7">
        <v>0.718761624891962</v>
      </c>
      <c r="V288">
        <v>5.96733182387861</v>
      </c>
      <c r="Y288">
        <v>0.00266163</v>
      </c>
      <c r="Z288" s="8">
        <v>1.5622141319417</v>
      </c>
      <c r="AA288">
        <v>2.74551934354192</v>
      </c>
      <c r="AD288" s="9">
        <v>1.726833</v>
      </c>
      <c r="AE288">
        <v>2.48378917822424</v>
      </c>
      <c r="AH288">
        <v>1.6935</v>
      </c>
      <c r="AI288" s="10">
        <v>2.45529140832595</v>
      </c>
      <c r="AJ288">
        <v>1.74687578975599</v>
      </c>
    </row>
    <row r="289" customFormat="1" spans="1:36">
      <c r="A289" s="1" t="s">
        <v>181</v>
      </c>
      <c r="B289" s="1">
        <v>8255048</v>
      </c>
      <c r="C289" s="2">
        <v>0.0366912</v>
      </c>
      <c r="E289">
        <v>4.320129</v>
      </c>
      <c r="F289">
        <v>1910.833863</v>
      </c>
      <c r="G289" s="3">
        <v>1.910833863</v>
      </c>
      <c r="H289" s="4"/>
      <c r="I289" t="s">
        <v>181</v>
      </c>
      <c r="J289">
        <v>7.20237</v>
      </c>
      <c r="K289" s="5">
        <v>1.14615716771007</v>
      </c>
      <c r="L289">
        <v>0.599820418668221</v>
      </c>
      <c r="O289">
        <v>0.0044864</v>
      </c>
      <c r="P289" s="6">
        <v>1.84001604850214</v>
      </c>
      <c r="Q289" s="4">
        <v>0.622906071196009</v>
      </c>
      <c r="R289" s="4"/>
      <c r="T289">
        <v>18.057</v>
      </c>
      <c r="U289" s="7">
        <v>0.457166085174725</v>
      </c>
      <c r="V289">
        <v>2.50709141574232</v>
      </c>
      <c r="Y289">
        <v>0.00514262</v>
      </c>
      <c r="Z289" s="8">
        <v>1.60522224080333</v>
      </c>
      <c r="AA289">
        <v>0.714017746936078</v>
      </c>
      <c r="AD289" s="9">
        <v>0.929112</v>
      </c>
      <c r="AE289">
        <v>1.23360495581811</v>
      </c>
      <c r="AH289">
        <v>7.8615</v>
      </c>
      <c r="AI289" s="10">
        <v>1.05006016663487</v>
      </c>
      <c r="AJ289">
        <v>1.09151570941232</v>
      </c>
    </row>
    <row r="290" customFormat="1" spans="1:36">
      <c r="A290" s="1" t="s">
        <v>261</v>
      </c>
      <c r="B290" s="1">
        <v>14947884</v>
      </c>
      <c r="C290" s="2">
        <v>0.036922</v>
      </c>
      <c r="E290">
        <v>7.911735</v>
      </c>
      <c r="F290">
        <v>1889.330693</v>
      </c>
      <c r="G290" s="3">
        <v>1.889330693</v>
      </c>
      <c r="H290" s="4"/>
      <c r="I290" t="s">
        <v>261</v>
      </c>
      <c r="J290">
        <v>9.22824</v>
      </c>
      <c r="K290" s="5">
        <v>1.61979792463135</v>
      </c>
      <c r="L290">
        <v>0.857339549202649</v>
      </c>
      <c r="O290">
        <v>0.011536</v>
      </c>
      <c r="P290" s="6">
        <v>1.29575970873786</v>
      </c>
      <c r="Q290" s="4">
        <v>1.25007585411736</v>
      </c>
      <c r="R290" s="4"/>
      <c r="T290">
        <v>137.487</v>
      </c>
      <c r="U290" s="7">
        <v>0.108722162822667</v>
      </c>
      <c r="V290">
        <v>14.8985071909703</v>
      </c>
      <c r="Y290">
        <v>0.0154746</v>
      </c>
      <c r="Z290" s="8">
        <v>0.965962545073863</v>
      </c>
      <c r="AA290">
        <v>1.67687446360303</v>
      </c>
      <c r="AD290" s="9">
        <v>0.984021</v>
      </c>
      <c r="AE290">
        <v>1.64610097206396</v>
      </c>
      <c r="AH290">
        <v>14.1486</v>
      </c>
      <c r="AI290" s="10">
        <v>1.05649209109028</v>
      </c>
      <c r="AJ290">
        <v>1.5331850927154</v>
      </c>
    </row>
    <row r="291" customFormat="1" spans="1:36">
      <c r="A291" s="1" t="s">
        <v>260</v>
      </c>
      <c r="B291" s="1">
        <v>14947884</v>
      </c>
      <c r="C291" s="2">
        <v>0.036922</v>
      </c>
      <c r="E291">
        <v>10.139058</v>
      </c>
      <c r="F291">
        <v>1474.28721</v>
      </c>
      <c r="G291" s="3">
        <v>1.47428721</v>
      </c>
      <c r="H291" s="4"/>
      <c r="I291" t="s">
        <v>260</v>
      </c>
      <c r="J291">
        <v>9.22757</v>
      </c>
      <c r="K291" s="5">
        <v>1.61991553572609</v>
      </c>
      <c r="L291">
        <v>1.09877880289424</v>
      </c>
      <c r="O291">
        <v>0.0083552</v>
      </c>
      <c r="P291" s="6">
        <v>1.78905160857909</v>
      </c>
      <c r="Q291" s="4">
        <v>0.905460484179475</v>
      </c>
      <c r="R291" s="4"/>
      <c r="T291">
        <v>137.119</v>
      </c>
      <c r="U291" s="7">
        <v>0.109013951385293</v>
      </c>
      <c r="V291">
        <v>14.859708460624</v>
      </c>
      <c r="Y291">
        <v>0.0156293</v>
      </c>
      <c r="Z291" s="8">
        <v>0.956401374341781</v>
      </c>
      <c r="AA291">
        <v>1.69376119606787</v>
      </c>
      <c r="AD291" s="9">
        <v>0.977055</v>
      </c>
      <c r="AE291">
        <v>1.65795736752393</v>
      </c>
      <c r="AH291">
        <v>12.8863</v>
      </c>
      <c r="AI291" s="10">
        <v>1.15998261719811</v>
      </c>
      <c r="AJ291">
        <v>1.39649983690181</v>
      </c>
    </row>
    <row r="292" customFormat="1" spans="1:36">
      <c r="A292" s="1" t="s">
        <v>432</v>
      </c>
      <c r="B292" s="1">
        <v>54947426</v>
      </c>
      <c r="C292" s="2">
        <v>0.0377657</v>
      </c>
      <c r="E292">
        <v>13.278289</v>
      </c>
      <c r="F292">
        <v>4138.140525</v>
      </c>
      <c r="G292" s="3">
        <v>4.138140525</v>
      </c>
      <c r="H292" s="4"/>
      <c r="I292" t="s">
        <v>432</v>
      </c>
      <c r="J292">
        <v>11.4565</v>
      </c>
      <c r="K292" s="5">
        <v>4.79617911229433</v>
      </c>
      <c r="L292">
        <v>1.15901794134802</v>
      </c>
      <c r="O292">
        <v>0.0125792</v>
      </c>
      <c r="P292" s="6">
        <v>4.36811768633935</v>
      </c>
      <c r="Q292" s="4">
        <v>1.09799677039235</v>
      </c>
      <c r="R292" s="4"/>
      <c r="T292">
        <v>119.05</v>
      </c>
      <c r="U292" s="7">
        <v>0.461549147417052</v>
      </c>
      <c r="V292">
        <v>10.3914808187492</v>
      </c>
      <c r="Y292">
        <v>0.000930336</v>
      </c>
      <c r="Z292" s="8">
        <v>59.0619152650225</v>
      </c>
      <c r="AA292">
        <v>0.0812059529524724</v>
      </c>
      <c r="AD292" s="9">
        <v>2.004489</v>
      </c>
      <c r="AE292">
        <v>2.39271909813141</v>
      </c>
      <c r="AH292">
        <v>31.1059</v>
      </c>
      <c r="AI292" s="10">
        <v>1.76646314686281</v>
      </c>
      <c r="AJ292">
        <v>2.71513114825645</v>
      </c>
    </row>
    <row r="293" customFormat="1" spans="1:36">
      <c r="A293" s="1" t="s">
        <v>654</v>
      </c>
      <c r="B293" s="1">
        <v>360981962</v>
      </c>
      <c r="C293" s="2">
        <v>0.0382294</v>
      </c>
      <c r="E293">
        <v>31.489086</v>
      </c>
      <c r="F293">
        <v>11463.71687</v>
      </c>
      <c r="G293" s="3">
        <v>11.46371687</v>
      </c>
      <c r="H293" s="4"/>
      <c r="I293" t="s">
        <v>654</v>
      </c>
      <c r="J293">
        <v>0.861528</v>
      </c>
      <c r="K293" s="5">
        <v>419.002008060098</v>
      </c>
      <c r="L293">
        <v>36.5502753436458</v>
      </c>
      <c r="O293">
        <v>0.0011184</v>
      </c>
      <c r="P293" s="6">
        <v>322.766418097282</v>
      </c>
      <c r="Q293" s="4">
        <v>1.29815862049753</v>
      </c>
      <c r="R293" s="4"/>
      <c r="T293">
        <v>60.264</v>
      </c>
      <c r="U293" s="7">
        <v>5.99000998938006</v>
      </c>
      <c r="V293">
        <v>69.9501351087835</v>
      </c>
      <c r="Y293">
        <v>0.00250163</v>
      </c>
      <c r="Z293" s="8">
        <v>144.298702046266</v>
      </c>
      <c r="AA293">
        <v>2.90371293794282</v>
      </c>
      <c r="AD293" s="9">
        <v>1.522932</v>
      </c>
      <c r="AE293">
        <v>275.128507418649</v>
      </c>
      <c r="AH293">
        <v>1.4087</v>
      </c>
      <c r="AI293" s="10">
        <v>256.251836444949</v>
      </c>
      <c r="AJ293">
        <v>1.63511806929084</v>
      </c>
    </row>
    <row r="294" customFormat="1" spans="1:36">
      <c r="A294" s="1" t="s">
        <v>53</v>
      </c>
      <c r="B294" s="1">
        <v>1950786</v>
      </c>
      <c r="C294" s="2">
        <v>0.0388297</v>
      </c>
      <c r="E294">
        <v>1.75843</v>
      </c>
      <c r="F294">
        <v>1109.390579</v>
      </c>
      <c r="G294" s="3">
        <v>1.109390579</v>
      </c>
      <c r="H294" s="4"/>
      <c r="I294" t="s">
        <v>53</v>
      </c>
      <c r="J294">
        <v>1.25441</v>
      </c>
      <c r="K294" s="5">
        <v>1.55514225811338</v>
      </c>
      <c r="L294">
        <v>1.40179868799244</v>
      </c>
      <c r="O294">
        <v>0.0023328</v>
      </c>
      <c r="P294" s="6">
        <v>0.836242283950617</v>
      </c>
      <c r="Q294" s="4">
        <v>1.85967905230347</v>
      </c>
      <c r="R294" s="4"/>
      <c r="T294">
        <v>3.949</v>
      </c>
      <c r="U294" s="7">
        <v>0.49399493542669</v>
      </c>
      <c r="V294">
        <v>3.14809352604013</v>
      </c>
      <c r="Y294">
        <v>0.00242875</v>
      </c>
      <c r="Z294" s="8">
        <v>0.803205764282038</v>
      </c>
      <c r="AA294">
        <v>1.93616919507976</v>
      </c>
      <c r="AD294" s="9">
        <v>0.775053</v>
      </c>
      <c r="AE294">
        <v>2.00649795318949</v>
      </c>
      <c r="AH294">
        <v>2.2462</v>
      </c>
      <c r="AI294" s="10">
        <v>0.868482770901968</v>
      </c>
      <c r="AJ294">
        <v>1.79064261286182</v>
      </c>
    </row>
    <row r="295" customFormat="1" spans="1:36">
      <c r="A295" s="1" t="s">
        <v>387</v>
      </c>
      <c r="B295" s="1">
        <v>38110342</v>
      </c>
      <c r="C295" s="2">
        <v>0.038976</v>
      </c>
      <c r="E295">
        <v>7.53197</v>
      </c>
      <c r="F295">
        <v>5059.810432</v>
      </c>
      <c r="G295" s="3">
        <v>5.059810432</v>
      </c>
      <c r="H295" s="4"/>
      <c r="I295" t="s">
        <v>387</v>
      </c>
      <c r="J295">
        <v>6.44295</v>
      </c>
      <c r="K295" s="5">
        <v>5.91504543726088</v>
      </c>
      <c r="L295">
        <v>1.16902510810525</v>
      </c>
      <c r="O295">
        <v>0.0054272</v>
      </c>
      <c r="P295" s="6">
        <v>7.02210016214623</v>
      </c>
      <c r="Q295" s="4">
        <v>0.842347061516852</v>
      </c>
      <c r="R295" s="4"/>
      <c r="T295">
        <v>86.012</v>
      </c>
      <c r="U295" s="7">
        <v>0.443081686276334</v>
      </c>
      <c r="V295">
        <v>13.3497854243786</v>
      </c>
      <c r="Y295">
        <v>0.000875847</v>
      </c>
      <c r="Z295" s="8">
        <v>43.5125564168171</v>
      </c>
      <c r="AA295">
        <v>0.13593881684632</v>
      </c>
      <c r="AD295" s="9">
        <v>2.708058</v>
      </c>
      <c r="AE295">
        <v>2.1842388299146</v>
      </c>
      <c r="AH295">
        <v>16.2595</v>
      </c>
      <c r="AI295" s="10">
        <v>2.34388154617301</v>
      </c>
      <c r="AJ295">
        <v>2.52361107877603</v>
      </c>
    </row>
    <row r="296" customFormat="1" spans="1:36">
      <c r="A296" s="1" t="s">
        <v>306</v>
      </c>
      <c r="B296" s="1">
        <v>19992960</v>
      </c>
      <c r="C296" s="2">
        <v>0.0394254</v>
      </c>
      <c r="E296">
        <v>3.235961</v>
      </c>
      <c r="F296">
        <v>6178.368992</v>
      </c>
      <c r="G296" s="3">
        <v>6.178368992</v>
      </c>
      <c r="H296" s="4"/>
      <c r="I296" t="s">
        <v>306</v>
      </c>
      <c r="J296">
        <v>2.46893</v>
      </c>
      <c r="K296" s="5">
        <v>8.09782375360986</v>
      </c>
      <c r="L296">
        <v>1.31067337740676</v>
      </c>
      <c r="O296">
        <v>0.0031776</v>
      </c>
      <c r="P296" s="6">
        <v>6.29184290030211</v>
      </c>
      <c r="Q296" s="4">
        <v>1.28703527439012</v>
      </c>
      <c r="R296" s="4"/>
      <c r="T296">
        <v>13.351</v>
      </c>
      <c r="U296" s="7">
        <v>1.49748782862707</v>
      </c>
      <c r="V296">
        <v>5.40760572393709</v>
      </c>
      <c r="Y296">
        <v>0.00632517</v>
      </c>
      <c r="Z296" s="8">
        <v>3.16085733664075</v>
      </c>
      <c r="AA296">
        <v>2.56190738498054</v>
      </c>
      <c r="AD296" s="9">
        <v>2.319783</v>
      </c>
      <c r="AE296">
        <v>3.49076778026646</v>
      </c>
      <c r="AH296">
        <v>5.6651</v>
      </c>
      <c r="AI296" s="10">
        <v>3.52914511659106</v>
      </c>
      <c r="AJ296">
        <v>2.29455675130522</v>
      </c>
    </row>
    <row r="297" customFormat="1" spans="1:36">
      <c r="A297" s="1" t="s">
        <v>284</v>
      </c>
      <c r="B297" s="1">
        <v>17315502</v>
      </c>
      <c r="C297" s="2">
        <v>0.0409683</v>
      </c>
      <c r="E297">
        <v>2.670149</v>
      </c>
      <c r="F297">
        <v>6484.843796</v>
      </c>
      <c r="G297" s="3">
        <v>6.484843796</v>
      </c>
      <c r="H297" s="4"/>
      <c r="I297" t="s">
        <v>284</v>
      </c>
      <c r="J297">
        <v>2.27117</v>
      </c>
      <c r="K297" s="5">
        <v>7.62404487554873</v>
      </c>
      <c r="L297">
        <v>1.17567132152842</v>
      </c>
      <c r="O297">
        <v>0.0060976</v>
      </c>
      <c r="P297" s="6">
        <v>2.83972415376542</v>
      </c>
      <c r="Q297" s="4">
        <v>2.68478361373213</v>
      </c>
      <c r="R297" s="4"/>
      <c r="T297">
        <v>22.957</v>
      </c>
      <c r="U297" s="7">
        <v>0.75425804765431</v>
      </c>
      <c r="V297">
        <v>10.1080060057151</v>
      </c>
      <c r="Y297">
        <v>0.00301826</v>
      </c>
      <c r="Z297" s="8">
        <v>5.73691530882031</v>
      </c>
      <c r="AA297">
        <v>1.32894499310928</v>
      </c>
      <c r="AD297" s="9">
        <v>1.909935</v>
      </c>
      <c r="AE297">
        <v>3.99178237769805</v>
      </c>
      <c r="AH297">
        <v>4.1946</v>
      </c>
      <c r="AI297" s="10">
        <v>4.128046059219</v>
      </c>
      <c r="AJ297">
        <v>1.84688948867764</v>
      </c>
    </row>
    <row r="298" customFormat="1" spans="1:36">
      <c r="A298" s="1" t="s">
        <v>585</v>
      </c>
      <c r="B298" s="1">
        <v>382255382</v>
      </c>
      <c r="C298" s="2">
        <v>0.0413258</v>
      </c>
      <c r="E298">
        <v>45.081978</v>
      </c>
      <c r="F298">
        <v>8479.117413</v>
      </c>
      <c r="G298" s="3">
        <v>8.479117413</v>
      </c>
      <c r="H298" s="4"/>
      <c r="I298" t="s">
        <v>585</v>
      </c>
      <c r="J298">
        <v>43.8864</v>
      </c>
      <c r="K298" s="5">
        <v>8.71011023916293</v>
      </c>
      <c r="L298">
        <v>1.02724255543493</v>
      </c>
      <c r="O298">
        <v>0.0498528</v>
      </c>
      <c r="P298" s="6">
        <v>7.66768129372874</v>
      </c>
      <c r="Q298" s="4">
        <v>1.13595100076561</v>
      </c>
      <c r="R298" s="4"/>
      <c r="T298">
        <v>415.172</v>
      </c>
      <c r="U298" s="7">
        <v>0.920715708188414</v>
      </c>
      <c r="V298">
        <v>9.46015166429691</v>
      </c>
      <c r="Y298">
        <v>0.00121309</v>
      </c>
      <c r="Z298" s="8">
        <v>315.108839410101</v>
      </c>
      <c r="AA298">
        <v>0.0276415928396952</v>
      </c>
      <c r="AD298" s="9">
        <v>2.545353</v>
      </c>
      <c r="AE298">
        <v>3.42196553451051</v>
      </c>
      <c r="AH298">
        <v>113.242</v>
      </c>
      <c r="AI298" s="10">
        <v>3.37556191165822</v>
      </c>
      <c r="AJ298">
        <v>2.58034379671151</v>
      </c>
    </row>
    <row r="299" customFormat="1" spans="1:36">
      <c r="A299" s="1" t="s">
        <v>22</v>
      </c>
      <c r="B299" s="1">
        <v>802816</v>
      </c>
      <c r="C299" s="2">
        <v>0.0413848</v>
      </c>
      <c r="E299">
        <v>1.232753</v>
      </c>
      <c r="F299">
        <v>651.23823</v>
      </c>
      <c r="G299" s="3">
        <v>0.65123823</v>
      </c>
      <c r="H299" s="4"/>
      <c r="I299" t="s">
        <v>22</v>
      </c>
      <c r="J299">
        <v>1.73945</v>
      </c>
      <c r="K299" s="5">
        <v>0.461534393055276</v>
      </c>
      <c r="L299">
        <v>0.708702855259704</v>
      </c>
      <c r="O299">
        <v>0.0007056</v>
      </c>
      <c r="P299" s="6">
        <v>1.13777777777778</v>
      </c>
      <c r="Q299" s="4">
        <v>0.405645462646239</v>
      </c>
      <c r="R299" s="4"/>
      <c r="T299">
        <v>1.434</v>
      </c>
      <c r="U299" s="7">
        <v>0.559843793584379</v>
      </c>
      <c r="V299">
        <v>0.824398516772543</v>
      </c>
      <c r="Y299">
        <v>0.0021493</v>
      </c>
      <c r="Z299" s="8">
        <v>0.373524403294096</v>
      </c>
      <c r="AA299">
        <v>1.23562045474144</v>
      </c>
      <c r="AD299" s="9">
        <v>0.730086</v>
      </c>
      <c r="AE299">
        <v>0.63216442043167</v>
      </c>
      <c r="AH299">
        <v>1.8052</v>
      </c>
      <c r="AI299" s="10">
        <v>0.444724130290273</v>
      </c>
      <c r="AJ299">
        <v>1.03779930437782</v>
      </c>
    </row>
    <row r="300" customFormat="1" spans="1:36">
      <c r="A300" s="1" t="s">
        <v>497</v>
      </c>
      <c r="B300" s="1">
        <v>104580476</v>
      </c>
      <c r="C300" s="2">
        <v>0.0431746</v>
      </c>
      <c r="E300">
        <v>7.28449</v>
      </c>
      <c r="F300">
        <v>14356.59601</v>
      </c>
      <c r="G300" s="3">
        <v>14.35659601</v>
      </c>
      <c r="H300" s="4"/>
      <c r="I300" t="s">
        <v>497</v>
      </c>
      <c r="J300">
        <v>3.39132</v>
      </c>
      <c r="K300" s="5">
        <v>30.8376903388651</v>
      </c>
      <c r="L300">
        <v>2.14798064369752</v>
      </c>
      <c r="O300">
        <v>0.0077296</v>
      </c>
      <c r="P300" s="6">
        <v>13.5298690747257</v>
      </c>
      <c r="Q300" s="4">
        <v>2.27923050611561</v>
      </c>
      <c r="R300" s="4"/>
      <c r="T300">
        <v>45.273</v>
      </c>
      <c r="U300" s="7">
        <v>2.30999659841407</v>
      </c>
      <c r="V300">
        <v>13.3496691553731</v>
      </c>
      <c r="Y300">
        <v>0.00371879</v>
      </c>
      <c r="Z300" s="8">
        <v>28.1221784505175</v>
      </c>
      <c r="AA300">
        <v>1.09656122099949</v>
      </c>
      <c r="AD300" s="9">
        <v>3.35079</v>
      </c>
      <c r="AE300">
        <v>9.20311041242964</v>
      </c>
      <c r="AH300">
        <v>7.35</v>
      </c>
      <c r="AI300" s="10">
        <v>14.2286361904762</v>
      </c>
      <c r="AJ300">
        <v>2.16729768939528</v>
      </c>
    </row>
    <row r="301" customFormat="1" spans="1:36">
      <c r="A301" s="1" t="s">
        <v>111</v>
      </c>
      <c r="B301" s="1">
        <v>4527402</v>
      </c>
      <c r="C301" s="2">
        <v>0.0437615</v>
      </c>
      <c r="E301">
        <v>3.766104</v>
      </c>
      <c r="F301">
        <v>1202.144614</v>
      </c>
      <c r="G301" s="3">
        <v>1.202144614</v>
      </c>
      <c r="H301" s="4"/>
      <c r="I301" t="s">
        <v>111</v>
      </c>
      <c r="J301">
        <v>3.45876</v>
      </c>
      <c r="K301" s="5">
        <v>1.30896679734934</v>
      </c>
      <c r="L301">
        <v>1.08885967803316</v>
      </c>
      <c r="O301">
        <v>0.0044128</v>
      </c>
      <c r="P301" s="6">
        <v>1.02597035895576</v>
      </c>
      <c r="Q301" s="4">
        <v>1.27583295747609</v>
      </c>
      <c r="R301" s="4"/>
      <c r="T301">
        <v>8.096</v>
      </c>
      <c r="U301" s="7">
        <v>0.559214673913043</v>
      </c>
      <c r="V301">
        <v>2.34072326498514</v>
      </c>
      <c r="Y301">
        <v>0.00302178</v>
      </c>
      <c r="Z301" s="8">
        <v>1.49825665667256</v>
      </c>
      <c r="AA301">
        <v>0.873659924365958</v>
      </c>
      <c r="AD301" s="9">
        <v>0.942534</v>
      </c>
      <c r="AE301">
        <v>1.38877408915683</v>
      </c>
      <c r="AH301">
        <v>5.144</v>
      </c>
      <c r="AI301" s="10">
        <v>0.880132581648522</v>
      </c>
      <c r="AJ301">
        <v>1.48723820097376</v>
      </c>
    </row>
    <row r="302" customFormat="1" spans="1:36">
      <c r="A302" s="1" t="s">
        <v>655</v>
      </c>
      <c r="B302" s="1">
        <v>2424353398</v>
      </c>
      <c r="C302" s="2">
        <v>0.0455547</v>
      </c>
      <c r="E302">
        <v>271.905191</v>
      </c>
      <c r="F302">
        <v>8916.171793</v>
      </c>
      <c r="G302" s="3">
        <v>8.916171793</v>
      </c>
      <c r="H302" s="4"/>
      <c r="I302" t="s">
        <v>655</v>
      </c>
      <c r="J302">
        <v>178.157</v>
      </c>
      <c r="K302" s="5">
        <v>13.6079603832575</v>
      </c>
      <c r="L302">
        <v>1.52621110261031</v>
      </c>
      <c r="O302">
        <v>0.2251424</v>
      </c>
      <c r="P302" s="6">
        <v>10.7680889872365</v>
      </c>
      <c r="Q302" s="4">
        <v>1.26373030529252</v>
      </c>
      <c r="R302" s="4"/>
      <c r="T302">
        <v>926.803</v>
      </c>
      <c r="U302" s="7">
        <v>2.61582385684984</v>
      </c>
      <c r="V302">
        <v>5.20216999612701</v>
      </c>
      <c r="Y302">
        <v>0.00460285</v>
      </c>
      <c r="Z302" s="8">
        <v>526.707018043169</v>
      </c>
      <c r="AA302">
        <v>0.0258359200031433</v>
      </c>
      <c r="AD302" s="9">
        <v>3.04347</v>
      </c>
      <c r="AE302">
        <v>4.4711991191822</v>
      </c>
      <c r="AH302">
        <v>395.2655</v>
      </c>
      <c r="AI302" s="10">
        <v>6.13348090840207</v>
      </c>
      <c r="AJ302">
        <v>2.21863580998782</v>
      </c>
    </row>
    <row r="303" customFormat="1" spans="1:36">
      <c r="A303" s="1" t="s">
        <v>656</v>
      </c>
      <c r="B303" s="1">
        <v>2424353398</v>
      </c>
      <c r="C303" s="2">
        <v>0.0457657</v>
      </c>
      <c r="E303">
        <v>269.558349</v>
      </c>
      <c r="F303">
        <v>8993.798207</v>
      </c>
      <c r="G303" s="3">
        <v>8.993798207</v>
      </c>
      <c r="H303" s="4"/>
      <c r="I303" t="s">
        <v>656</v>
      </c>
      <c r="J303">
        <v>178.429</v>
      </c>
      <c r="K303" s="5">
        <v>13.5872161924351</v>
      </c>
      <c r="L303">
        <v>1.51073171531244</v>
      </c>
      <c r="O303">
        <v>0.2259568</v>
      </c>
      <c r="P303" s="6">
        <v>10.7292783310792</v>
      </c>
      <c r="Q303" s="4">
        <v>1.26636813522465</v>
      </c>
      <c r="R303" s="4"/>
      <c r="T303">
        <v>927.941</v>
      </c>
      <c r="U303" s="7">
        <v>2.61261588613931</v>
      </c>
      <c r="V303">
        <v>5.20061761260782</v>
      </c>
      <c r="Y303">
        <v>0.00147434</v>
      </c>
      <c r="Z303" s="8">
        <v>1644.36520612613</v>
      </c>
      <c r="AA303">
        <v>0.00826289448464095</v>
      </c>
      <c r="AD303" s="9">
        <v>3.03924</v>
      </c>
      <c r="AE303">
        <v>4.47059665983439</v>
      </c>
      <c r="AH303">
        <v>388.8813</v>
      </c>
      <c r="AI303" s="10">
        <v>6.23417325029514</v>
      </c>
      <c r="AJ303">
        <v>2.17947362816582</v>
      </c>
    </row>
    <row r="304" customFormat="1" spans="1:36">
      <c r="A304" s="1" t="s">
        <v>467</v>
      </c>
      <c r="B304" s="1">
        <v>79848200</v>
      </c>
      <c r="C304" s="2">
        <v>0.0461752</v>
      </c>
      <c r="E304">
        <v>50.623414</v>
      </c>
      <c r="F304">
        <v>1577.297798</v>
      </c>
      <c r="G304" s="3">
        <v>1.577297798</v>
      </c>
      <c r="H304" s="4"/>
      <c r="I304" t="s">
        <v>467</v>
      </c>
      <c r="J304">
        <v>65.3455</v>
      </c>
      <c r="K304" s="5">
        <v>1.22193877160631</v>
      </c>
      <c r="L304">
        <v>0.774703910165674</v>
      </c>
      <c r="O304">
        <v>0.0481648</v>
      </c>
      <c r="P304" s="6">
        <v>1.65781234428462</v>
      </c>
      <c r="Q304" s="4">
        <v>0.737079064357913</v>
      </c>
      <c r="R304" s="4"/>
      <c r="T304">
        <v>601.204</v>
      </c>
      <c r="U304" s="7">
        <v>0.13281382026733</v>
      </c>
      <c r="V304">
        <v>9.20038870312416</v>
      </c>
      <c r="Y304">
        <v>0.0759381</v>
      </c>
      <c r="Z304" s="8">
        <v>1.0514906219671</v>
      </c>
      <c r="AA304">
        <v>1.1621014453941</v>
      </c>
      <c r="AD304" s="9">
        <v>1.186278</v>
      </c>
      <c r="AE304">
        <v>1.03006105786865</v>
      </c>
      <c r="AH304">
        <v>60.6463</v>
      </c>
      <c r="AI304" s="10">
        <v>1.31662112940113</v>
      </c>
      <c r="AJ304">
        <v>0.928086861375305</v>
      </c>
    </row>
    <row r="305" customFormat="1" spans="1:36">
      <c r="A305" s="1" t="s">
        <v>429</v>
      </c>
      <c r="B305" s="1">
        <v>54434958</v>
      </c>
      <c r="C305" s="2">
        <v>0.046291</v>
      </c>
      <c r="E305">
        <v>10.737032</v>
      </c>
      <c r="F305">
        <v>5069.832958</v>
      </c>
      <c r="G305" s="3">
        <v>5.069832958</v>
      </c>
      <c r="H305" s="4"/>
      <c r="I305" t="s">
        <v>429</v>
      </c>
      <c r="J305">
        <v>20.2307</v>
      </c>
      <c r="K305" s="5">
        <v>2.69071055376235</v>
      </c>
      <c r="L305">
        <v>0.530729626804866</v>
      </c>
      <c r="O305">
        <v>0.0260864</v>
      </c>
      <c r="P305" s="6">
        <v>2.08671790664868</v>
      </c>
      <c r="Q305" s="4">
        <v>1.28944623764872</v>
      </c>
      <c r="R305" s="4"/>
      <c r="T305">
        <v>986.391</v>
      </c>
      <c r="U305" s="7">
        <v>0.0551859840570321</v>
      </c>
      <c r="V305">
        <v>48.7571364312654</v>
      </c>
      <c r="Y305">
        <v>0.0483442</v>
      </c>
      <c r="Z305" s="8">
        <v>1.12598735732518</v>
      </c>
      <c r="AA305">
        <v>2.38964543985132</v>
      </c>
      <c r="AD305" s="9">
        <v>1.18356</v>
      </c>
      <c r="AE305">
        <v>2.27340443556926</v>
      </c>
      <c r="AH305">
        <v>66.8525</v>
      </c>
      <c r="AI305" s="10">
        <v>0.814254635204368</v>
      </c>
      <c r="AJ305">
        <v>3.30450750591922</v>
      </c>
    </row>
    <row r="306" customFormat="1" spans="1:36">
      <c r="A306" s="1" t="s">
        <v>183</v>
      </c>
      <c r="B306" s="1">
        <v>8315694</v>
      </c>
      <c r="C306" s="2">
        <v>0.0465455</v>
      </c>
      <c r="E306">
        <v>4.16122</v>
      </c>
      <c r="F306">
        <v>1998.378786</v>
      </c>
      <c r="G306" s="3">
        <v>1.998378786</v>
      </c>
      <c r="H306" s="4"/>
      <c r="I306" t="s">
        <v>183</v>
      </c>
      <c r="J306">
        <v>2.72582</v>
      </c>
      <c r="K306" s="5">
        <v>3.05071281302507</v>
      </c>
      <c r="L306">
        <v>1.52659387419311</v>
      </c>
      <c r="O306">
        <v>0.005536</v>
      </c>
      <c r="P306" s="6">
        <v>1.50211235549133</v>
      </c>
      <c r="Q306" s="4">
        <v>2.03094848522646</v>
      </c>
      <c r="R306" s="4"/>
      <c r="T306">
        <v>13.631</v>
      </c>
      <c r="U306" s="7">
        <v>0.610057515956276</v>
      </c>
      <c r="V306">
        <v>5.00069703795555</v>
      </c>
      <c r="Y306">
        <v>0.00256583</v>
      </c>
      <c r="Z306" s="8">
        <v>3.24093724058102</v>
      </c>
      <c r="AA306">
        <v>0.941305735521788</v>
      </c>
      <c r="AD306" s="9">
        <v>1.218705</v>
      </c>
      <c r="AE306">
        <v>2.50324140216465</v>
      </c>
      <c r="AH306">
        <v>4.8483</v>
      </c>
      <c r="AI306" s="10">
        <v>1.71517727863375</v>
      </c>
      <c r="AJ306">
        <v>1.77865743152519</v>
      </c>
    </row>
    <row r="307" customFormat="1" spans="1:36">
      <c r="A307" s="1" t="s">
        <v>421</v>
      </c>
      <c r="B307" s="1">
        <v>52252762</v>
      </c>
      <c r="C307" s="2">
        <v>0.0497453</v>
      </c>
      <c r="E307">
        <v>10.312757</v>
      </c>
      <c r="F307">
        <v>5066.80838</v>
      </c>
      <c r="G307" s="3">
        <v>5.06680838</v>
      </c>
      <c r="H307" s="4"/>
      <c r="I307" t="s">
        <v>421</v>
      </c>
      <c r="J307">
        <v>10.1175</v>
      </c>
      <c r="K307" s="5">
        <v>5.1645922411663</v>
      </c>
      <c r="L307">
        <v>1.01929890649749</v>
      </c>
      <c r="O307">
        <v>0.0120816</v>
      </c>
      <c r="P307" s="6">
        <v>4.32498692226195</v>
      </c>
      <c r="Q307" s="4">
        <v>1.19412898443291</v>
      </c>
      <c r="R307" s="4"/>
      <c r="T307">
        <v>115.256</v>
      </c>
      <c r="U307" s="7">
        <v>0.453362618865829</v>
      </c>
      <c r="V307">
        <v>11.3917469730665</v>
      </c>
      <c r="Y307">
        <v>0.00117191</v>
      </c>
      <c r="Z307" s="8">
        <v>44.5876918876023</v>
      </c>
      <c r="AA307">
        <v>0.115829997529034</v>
      </c>
      <c r="AD307" s="9">
        <v>2.208927</v>
      </c>
      <c r="AE307">
        <v>2.33805473932199</v>
      </c>
      <c r="AH307">
        <v>23.4887</v>
      </c>
      <c r="AI307" s="10">
        <v>2.22459148441591</v>
      </c>
      <c r="AJ307">
        <v>2.32159130219916</v>
      </c>
    </row>
    <row r="308" customFormat="1" spans="1:36">
      <c r="A308" s="1" t="s">
        <v>409</v>
      </c>
      <c r="B308" s="1">
        <v>45278092</v>
      </c>
      <c r="C308" s="2">
        <v>0.0501619</v>
      </c>
      <c r="E308">
        <v>35.368786</v>
      </c>
      <c r="F308">
        <v>1280.170947</v>
      </c>
      <c r="G308" s="3">
        <v>1.280170947</v>
      </c>
      <c r="H308" s="4"/>
      <c r="I308" t="s">
        <v>409</v>
      </c>
      <c r="J308">
        <v>42.9267</v>
      </c>
      <c r="K308" s="5">
        <v>1.05477691040774</v>
      </c>
      <c r="L308">
        <v>0.823934422882776</v>
      </c>
      <c r="O308">
        <v>0.0344784</v>
      </c>
      <c r="P308" s="6">
        <v>1.31323066035547</v>
      </c>
      <c r="Q308" s="4">
        <v>0.803192418704443</v>
      </c>
      <c r="R308" s="4"/>
      <c r="T308">
        <v>688.816</v>
      </c>
      <c r="U308" s="7">
        <v>0.0657332175791503</v>
      </c>
      <c r="V308">
        <v>16.0463301395169</v>
      </c>
      <c r="Y308">
        <v>0.064064</v>
      </c>
      <c r="Z308" s="8">
        <v>0.706763424075924</v>
      </c>
      <c r="AA308">
        <v>1.49240449417262</v>
      </c>
      <c r="AD308" s="9">
        <v>0.966189</v>
      </c>
      <c r="AE308">
        <v>1.09168797244405</v>
      </c>
      <c r="AH308">
        <v>45.3392</v>
      </c>
      <c r="AI308" s="10">
        <v>0.998652203832445</v>
      </c>
      <c r="AJ308">
        <v>1.05620045333091</v>
      </c>
    </row>
    <row r="309" customFormat="1" spans="1:36">
      <c r="A309" s="1" t="s">
        <v>406</v>
      </c>
      <c r="B309" s="1">
        <v>44404850</v>
      </c>
      <c r="C309" s="2">
        <v>0.0503148</v>
      </c>
      <c r="E309">
        <v>35.683552</v>
      </c>
      <c r="F309">
        <v>1244.406663</v>
      </c>
      <c r="G309" s="3">
        <v>1.244406663</v>
      </c>
      <c r="H309" s="4"/>
      <c r="I309" t="s">
        <v>406</v>
      </c>
      <c r="J309">
        <v>41.1562</v>
      </c>
      <c r="K309" s="5">
        <v>1.07893464411194</v>
      </c>
      <c r="L309">
        <v>0.8670273763328</v>
      </c>
      <c r="O309">
        <v>0.0307952</v>
      </c>
      <c r="P309" s="6">
        <v>1.44194062711072</v>
      </c>
      <c r="Q309" s="4">
        <v>0.748251782234511</v>
      </c>
      <c r="R309" s="4"/>
      <c r="T309">
        <v>689.956</v>
      </c>
      <c r="U309" s="7">
        <v>0.064358959122031</v>
      </c>
      <c r="V309">
        <v>16.7643271244673</v>
      </c>
      <c r="Y309">
        <v>0.0660057</v>
      </c>
      <c r="Z309" s="8">
        <v>0.672742657073556</v>
      </c>
      <c r="AA309">
        <v>1.60378509191811</v>
      </c>
      <c r="AD309" s="9">
        <v>0.963678</v>
      </c>
      <c r="AE309">
        <v>1.11960078378042</v>
      </c>
      <c r="AH309">
        <v>44.2905</v>
      </c>
      <c r="AI309" s="10">
        <v>1.00258181777131</v>
      </c>
      <c r="AJ309">
        <v>1.07615620489744</v>
      </c>
    </row>
    <row r="310" customFormat="1" spans="1:36">
      <c r="A310" s="1" t="s">
        <v>253</v>
      </c>
      <c r="B310" s="1">
        <v>14293332</v>
      </c>
      <c r="C310" s="2">
        <v>0.0509864</v>
      </c>
      <c r="E310">
        <v>8.005822</v>
      </c>
      <c r="F310">
        <v>1785.367104</v>
      </c>
      <c r="G310" s="3">
        <v>1.785367104</v>
      </c>
      <c r="H310" s="4"/>
      <c r="I310" t="s">
        <v>253</v>
      </c>
      <c r="J310">
        <v>7.18441</v>
      </c>
      <c r="K310" s="5">
        <v>1.98949280455876</v>
      </c>
      <c r="L310">
        <v>1.11433262106232</v>
      </c>
      <c r="O310">
        <v>0.0115664</v>
      </c>
      <c r="P310" s="6">
        <v>1.23576324526214</v>
      </c>
      <c r="Q310" s="4">
        <v>1.60993039094372</v>
      </c>
      <c r="R310" s="4"/>
      <c r="T310">
        <v>32.426</v>
      </c>
      <c r="U310" s="7">
        <v>0.440798495034849</v>
      </c>
      <c r="V310">
        <v>4.51338384084427</v>
      </c>
      <c r="Y310">
        <v>0.0145806</v>
      </c>
      <c r="Z310" s="8">
        <v>0.980297930126332</v>
      </c>
      <c r="AA310">
        <v>2.029477716333</v>
      </c>
      <c r="AD310" s="9">
        <v>1.220199</v>
      </c>
      <c r="AE310">
        <v>1.63046585397854</v>
      </c>
      <c r="AH310">
        <v>12.3533</v>
      </c>
      <c r="AI310" s="10">
        <v>1.15704564772166</v>
      </c>
      <c r="AJ310">
        <v>1.71945921794552</v>
      </c>
    </row>
    <row r="311" customFormat="1" spans="1:36">
      <c r="A311" s="1" t="s">
        <v>463</v>
      </c>
      <c r="B311" s="1">
        <v>76045944</v>
      </c>
      <c r="C311" s="2">
        <v>0.052932</v>
      </c>
      <c r="E311">
        <v>5.12057</v>
      </c>
      <c r="F311">
        <v>14851.070897</v>
      </c>
      <c r="G311" s="3">
        <v>14.851070897</v>
      </c>
      <c r="H311" s="4"/>
      <c r="I311" t="s">
        <v>463</v>
      </c>
      <c r="J311">
        <v>2.85437</v>
      </c>
      <c r="K311" s="5">
        <v>26.6419363992755</v>
      </c>
      <c r="L311">
        <v>1.79394042248208</v>
      </c>
      <c r="O311">
        <v>0.0078032</v>
      </c>
      <c r="P311" s="6">
        <v>9.74548185359852</v>
      </c>
      <c r="Q311" s="4">
        <v>2.73377312681958</v>
      </c>
      <c r="R311" s="4"/>
      <c r="T311">
        <v>46.34</v>
      </c>
      <c r="U311" s="7">
        <v>1.64104324557618</v>
      </c>
      <c r="V311">
        <v>16.2347558305335</v>
      </c>
      <c r="Y311">
        <v>0.00592281</v>
      </c>
      <c r="Z311" s="8">
        <v>12.8395042218136</v>
      </c>
      <c r="AA311">
        <v>2.07499728486496</v>
      </c>
      <c r="AD311" s="9">
        <v>3.28932</v>
      </c>
      <c r="AE311">
        <v>8.09952707528471</v>
      </c>
      <c r="AH311">
        <v>7.0494</v>
      </c>
      <c r="AI311" s="10">
        <v>10.7875768150481</v>
      </c>
      <c r="AJ311">
        <v>2.46968683106955</v>
      </c>
    </row>
    <row r="312" customFormat="1" spans="1:36">
      <c r="A312" s="1" t="s">
        <v>417</v>
      </c>
      <c r="B312" s="1">
        <v>50982814</v>
      </c>
      <c r="C312" s="2">
        <v>0.05307</v>
      </c>
      <c r="E312">
        <v>9.388101</v>
      </c>
      <c r="F312">
        <v>5430.577969</v>
      </c>
      <c r="G312" s="3">
        <v>5.430577969</v>
      </c>
      <c r="H312" s="4"/>
      <c r="I312" t="s">
        <v>417</v>
      </c>
      <c r="J312">
        <v>9.50833</v>
      </c>
      <c r="K312" s="5">
        <v>5.36191045115178</v>
      </c>
      <c r="L312">
        <v>0.987355394169791</v>
      </c>
      <c r="O312">
        <v>0.0098272</v>
      </c>
      <c r="P312" s="6">
        <v>5.18792880983393</v>
      </c>
      <c r="Q312" s="4">
        <v>1.033535857506</v>
      </c>
      <c r="R312" s="4"/>
      <c r="T312">
        <v>85.107</v>
      </c>
      <c r="U312" s="7">
        <v>0.59904372143302</v>
      </c>
      <c r="V312">
        <v>8.95078315540163</v>
      </c>
      <c r="Y312">
        <v>0.0202942</v>
      </c>
      <c r="Z312" s="8">
        <v>2.51218643750431</v>
      </c>
      <c r="AA312">
        <v>2.13436008215954</v>
      </c>
      <c r="AD312" s="9">
        <v>2.051043</v>
      </c>
      <c r="AE312">
        <v>2.61423600146451</v>
      </c>
      <c r="AH312">
        <v>16.0632</v>
      </c>
      <c r="AI312" s="10">
        <v>3.17388901339708</v>
      </c>
      <c r="AJ312">
        <v>1.68938183676839</v>
      </c>
    </row>
    <row r="313" customFormat="1" spans="1:36">
      <c r="A313" s="1" t="s">
        <v>418</v>
      </c>
      <c r="B313" s="1">
        <v>50982814</v>
      </c>
      <c r="C313" s="2">
        <v>0.05307</v>
      </c>
      <c r="E313">
        <v>9.686421</v>
      </c>
      <c r="F313">
        <v>5263.328173</v>
      </c>
      <c r="G313" s="3">
        <v>5.263328173</v>
      </c>
      <c r="H313" s="4"/>
      <c r="I313" t="s">
        <v>418</v>
      </c>
      <c r="J313">
        <v>9.50365</v>
      </c>
      <c r="K313" s="5">
        <v>5.36455088308176</v>
      </c>
      <c r="L313">
        <v>1.01923169271508</v>
      </c>
      <c r="O313">
        <v>0.0100128</v>
      </c>
      <c r="P313" s="6">
        <v>5.09176394215404</v>
      </c>
      <c r="Q313" s="4">
        <v>1.05357415308855</v>
      </c>
      <c r="R313" s="4"/>
      <c r="T313">
        <v>87.404</v>
      </c>
      <c r="U313" s="7">
        <v>0.583300695620338</v>
      </c>
      <c r="V313">
        <v>9.19688751164026</v>
      </c>
      <c r="Y313">
        <v>0.0416251</v>
      </c>
      <c r="Z313" s="8">
        <v>1.22480940586329</v>
      </c>
      <c r="AA313">
        <v>4.3799066674383</v>
      </c>
      <c r="AD313" s="9">
        <v>2.051214</v>
      </c>
      <c r="AE313">
        <v>2.61530531825629</v>
      </c>
      <c r="AH313">
        <v>16.2935</v>
      </c>
      <c r="AI313" s="10">
        <v>3.12902777181084</v>
      </c>
      <c r="AJ313">
        <v>1.71444655474476</v>
      </c>
    </row>
    <row r="314" customFormat="1" spans="1:36">
      <c r="A314" s="1" t="s">
        <v>408</v>
      </c>
      <c r="B314" s="1">
        <v>44711814</v>
      </c>
      <c r="C314" s="2">
        <v>0.0531603</v>
      </c>
      <c r="E314">
        <v>8.0211</v>
      </c>
      <c r="F314">
        <v>5574.274257</v>
      </c>
      <c r="G314" s="3">
        <v>5.574274257</v>
      </c>
      <c r="H314" s="4"/>
      <c r="I314" t="s">
        <v>408</v>
      </c>
      <c r="J314">
        <v>8.15148</v>
      </c>
      <c r="K314" s="5">
        <v>5.48511607708048</v>
      </c>
      <c r="L314">
        <v>0.984005419215325</v>
      </c>
      <c r="O314">
        <v>0.0086672</v>
      </c>
      <c r="P314" s="6">
        <v>5.15873800073842</v>
      </c>
      <c r="Q314" s="4">
        <v>1.06326703862366</v>
      </c>
      <c r="R314" s="4"/>
      <c r="T314">
        <v>74.958</v>
      </c>
      <c r="U314" s="7">
        <v>0.596491555270952</v>
      </c>
      <c r="V314">
        <v>9.19563073208792</v>
      </c>
      <c r="Y314">
        <v>0.0171631</v>
      </c>
      <c r="Z314" s="8">
        <v>2.6051129457965</v>
      </c>
      <c r="AA314">
        <v>2.10551948848553</v>
      </c>
      <c r="AD314" s="9">
        <v>2.032944</v>
      </c>
      <c r="AE314">
        <v>2.69811469331201</v>
      </c>
      <c r="AH314">
        <v>13.8552</v>
      </c>
      <c r="AI314" s="10">
        <v>3.22707820890352</v>
      </c>
      <c r="AJ314">
        <v>1.69971587981569</v>
      </c>
    </row>
    <row r="315" customFormat="1" spans="1:36">
      <c r="A315" s="1" t="s">
        <v>407</v>
      </c>
      <c r="B315" s="1">
        <v>44711814</v>
      </c>
      <c r="C315" s="2">
        <v>0.0538439</v>
      </c>
      <c r="E315">
        <v>9.319675</v>
      </c>
      <c r="F315">
        <v>4797.572237</v>
      </c>
      <c r="G315" s="3">
        <v>4.797572237</v>
      </c>
      <c r="H315" s="4"/>
      <c r="I315" t="s">
        <v>407</v>
      </c>
      <c r="J315">
        <v>8.12702</v>
      </c>
      <c r="K315" s="5">
        <v>5.50162470376596</v>
      </c>
      <c r="L315">
        <v>1.14675182196031</v>
      </c>
      <c r="O315">
        <v>0.0086928</v>
      </c>
      <c r="P315" s="6">
        <v>5.1435456929873</v>
      </c>
      <c r="Q315" s="4">
        <v>1.06961715364303</v>
      </c>
      <c r="R315" s="4"/>
      <c r="T315">
        <v>75.123</v>
      </c>
      <c r="U315" s="7">
        <v>0.595181422467154</v>
      </c>
      <c r="V315">
        <v>9.24360958875455</v>
      </c>
      <c r="Y315">
        <v>0.0171318</v>
      </c>
      <c r="Z315" s="8">
        <v>2.60987251777396</v>
      </c>
      <c r="AA315">
        <v>2.10800514825852</v>
      </c>
      <c r="AD315" s="9">
        <v>2.034984</v>
      </c>
      <c r="AE315">
        <v>2.70352233912697</v>
      </c>
      <c r="AH315">
        <v>13.6974</v>
      </c>
      <c r="AI315" s="10">
        <v>3.26425555214858</v>
      </c>
      <c r="AJ315">
        <v>1.68541482609862</v>
      </c>
    </row>
    <row r="316" customFormat="1" spans="1:36">
      <c r="A316" s="1" t="s">
        <v>58</v>
      </c>
      <c r="B316" s="1">
        <v>2075630</v>
      </c>
      <c r="C316" s="2">
        <v>0.0539195</v>
      </c>
      <c r="E316">
        <v>1.437174</v>
      </c>
      <c r="F316">
        <v>1444.244175</v>
      </c>
      <c r="G316" s="3">
        <v>1.444244175</v>
      </c>
      <c r="H316" s="4"/>
      <c r="I316" t="s">
        <v>58</v>
      </c>
      <c r="J316">
        <v>0.665254</v>
      </c>
      <c r="K316" s="5">
        <v>3.12005639951056</v>
      </c>
      <c r="L316">
        <v>2.1603385726036</v>
      </c>
      <c r="O316">
        <v>0.0011504</v>
      </c>
      <c r="P316" s="6">
        <v>1.80426808066759</v>
      </c>
      <c r="Q316" s="4">
        <v>1.72926431107517</v>
      </c>
      <c r="R316" s="4"/>
      <c r="T316">
        <v>3.455</v>
      </c>
      <c r="U316" s="7">
        <v>0.600761215629522</v>
      </c>
      <c r="V316">
        <v>5.19350503717377</v>
      </c>
      <c r="Y316">
        <v>0.00176398</v>
      </c>
      <c r="Z316" s="8">
        <v>1.17667433871132</v>
      </c>
      <c r="AA316">
        <v>2.65158871649024</v>
      </c>
      <c r="AD316" s="9">
        <v>1.091883</v>
      </c>
      <c r="AE316">
        <v>2.85750066583193</v>
      </c>
      <c r="AH316">
        <v>1.3468</v>
      </c>
      <c r="AI316" s="10">
        <v>1.54115681615682</v>
      </c>
      <c r="AJ316">
        <v>2.02448989408557</v>
      </c>
    </row>
    <row r="317" customFormat="1" spans="1:36">
      <c r="A317" s="1" t="s">
        <v>162</v>
      </c>
      <c r="B317" s="1">
        <v>6967596</v>
      </c>
      <c r="C317" s="2">
        <v>0.053984</v>
      </c>
      <c r="E317">
        <v>9.991139</v>
      </c>
      <c r="F317">
        <v>697.377533</v>
      </c>
      <c r="G317" s="3">
        <v>0.697377533</v>
      </c>
      <c r="H317" s="4"/>
      <c r="I317" t="s">
        <v>162</v>
      </c>
      <c r="J317">
        <v>10.3399</v>
      </c>
      <c r="K317" s="5">
        <v>0.673855259722048</v>
      </c>
      <c r="L317">
        <v>0.966270388469839</v>
      </c>
      <c r="O317">
        <v>0.0132896</v>
      </c>
      <c r="P317" s="6">
        <v>0.524289369130749</v>
      </c>
      <c r="Q317" s="4">
        <v>1.28527355196859</v>
      </c>
      <c r="R317" s="4"/>
      <c r="T317">
        <v>8292.061</v>
      </c>
      <c r="U317" s="7">
        <v>0.000840273123895254</v>
      </c>
      <c r="V317">
        <v>801.947891178832</v>
      </c>
      <c r="Y317">
        <v>0.0106263</v>
      </c>
      <c r="Z317" s="8">
        <v>0.655693515146382</v>
      </c>
      <c r="AA317">
        <v>1.02769852706506</v>
      </c>
      <c r="AD317" s="9">
        <v>0.443745</v>
      </c>
      <c r="AE317">
        <v>1.51856417474461</v>
      </c>
      <c r="AH317">
        <v>9.2184</v>
      </c>
      <c r="AI317" s="10">
        <v>0.755835719864619</v>
      </c>
      <c r="AJ317">
        <v>0.891536668633159</v>
      </c>
    </row>
    <row r="318" customFormat="1" spans="1:36">
      <c r="A318" s="1" t="s">
        <v>173</v>
      </c>
      <c r="B318" s="1">
        <v>7654280</v>
      </c>
      <c r="C318" s="2">
        <v>0.0544088</v>
      </c>
      <c r="E318">
        <v>1.967271</v>
      </c>
      <c r="F318">
        <v>3890.811137</v>
      </c>
      <c r="G318" s="3">
        <v>3.890811137</v>
      </c>
      <c r="H318" s="4"/>
      <c r="I318" t="s">
        <v>173</v>
      </c>
      <c r="J318">
        <v>1.46854</v>
      </c>
      <c r="K318" s="5">
        <v>5.212169910251</v>
      </c>
      <c r="L318">
        <v>1.33961010358108</v>
      </c>
      <c r="O318">
        <v>0.0017792</v>
      </c>
      <c r="P318" s="6">
        <v>4.30209082733813</v>
      </c>
      <c r="Q318" s="4">
        <v>1.21154343770003</v>
      </c>
      <c r="R318" s="4"/>
      <c r="T318">
        <v>17.738</v>
      </c>
      <c r="U318" s="7">
        <v>0.431518773255158</v>
      </c>
      <c r="V318">
        <v>12.0786631620521</v>
      </c>
      <c r="Y318">
        <v>0.00464997</v>
      </c>
      <c r="Z318" s="8">
        <v>1.64609234038069</v>
      </c>
      <c r="AA318">
        <v>3.16638974764051</v>
      </c>
      <c r="AD318" s="9">
        <v>1.913808</v>
      </c>
      <c r="AE318">
        <v>2.72345497053571</v>
      </c>
      <c r="AH318">
        <v>3.665</v>
      </c>
      <c r="AI318" s="10">
        <v>2.08848021828104</v>
      </c>
      <c r="AJ318">
        <v>2.49567597750146</v>
      </c>
    </row>
    <row r="319" customFormat="1" spans="1:36">
      <c r="A319" s="1" t="s">
        <v>490</v>
      </c>
      <c r="B319" s="1">
        <v>95873288</v>
      </c>
      <c r="C319" s="2">
        <v>0.0544757</v>
      </c>
      <c r="E319">
        <v>30.652935</v>
      </c>
      <c r="F319">
        <v>3127.703325</v>
      </c>
      <c r="G319" s="3">
        <v>3.127703325</v>
      </c>
      <c r="H319" s="4"/>
      <c r="I319" t="s">
        <v>490</v>
      </c>
      <c r="J319">
        <v>23.2675</v>
      </c>
      <c r="K319" s="5">
        <v>4.12048084237671</v>
      </c>
      <c r="L319">
        <v>1.31741422194405</v>
      </c>
      <c r="O319">
        <v>0.023888</v>
      </c>
      <c r="P319" s="6">
        <v>4.01344976557267</v>
      </c>
      <c r="Q319" s="4">
        <v>1.02666809928011</v>
      </c>
      <c r="R319" s="4"/>
      <c r="T319">
        <v>104.284</v>
      </c>
      <c r="U319" s="7">
        <v>0.919348011200184</v>
      </c>
      <c r="V319">
        <v>4.48195981519287</v>
      </c>
      <c r="Y319">
        <v>0.0119553</v>
      </c>
      <c r="Z319" s="8">
        <v>8.01931260612448</v>
      </c>
      <c r="AA319">
        <v>0.513819705597937</v>
      </c>
      <c r="AD319" s="9">
        <v>2.279691</v>
      </c>
      <c r="AE319">
        <v>1.80747339984968</v>
      </c>
      <c r="AH319">
        <v>21.675</v>
      </c>
      <c r="AI319" s="10">
        <v>4.42321974625144</v>
      </c>
      <c r="AJ319">
        <v>0.931556892661438</v>
      </c>
    </row>
    <row r="320" customFormat="1" spans="1:36">
      <c r="A320" s="1" t="s">
        <v>338</v>
      </c>
      <c r="B320" s="1">
        <v>25898814</v>
      </c>
      <c r="C320" s="2">
        <v>0.0544782</v>
      </c>
      <c r="E320">
        <v>4.28559</v>
      </c>
      <c r="F320">
        <v>6043.232246</v>
      </c>
      <c r="G320" s="3">
        <v>6.043232246</v>
      </c>
      <c r="H320" s="4"/>
      <c r="I320" t="s">
        <v>338</v>
      </c>
      <c r="J320">
        <v>4.33059</v>
      </c>
      <c r="K320" s="5">
        <v>5.98043546029525</v>
      </c>
      <c r="L320">
        <v>0.989608741953229</v>
      </c>
      <c r="O320">
        <v>0.0044096</v>
      </c>
      <c r="P320" s="6">
        <v>5.87327966255443</v>
      </c>
      <c r="Q320" s="4">
        <v>1.01824462717551</v>
      </c>
      <c r="R320" s="4"/>
      <c r="T320">
        <v>44.759</v>
      </c>
      <c r="U320" s="7">
        <v>0.578628074800599</v>
      </c>
      <c r="V320">
        <v>10.3355431938835</v>
      </c>
      <c r="Y320">
        <v>0.0105481</v>
      </c>
      <c r="Z320" s="8">
        <v>2.45530607407969</v>
      </c>
      <c r="AA320">
        <v>2.4357189205166</v>
      </c>
      <c r="AD320" s="9">
        <v>2.072643</v>
      </c>
      <c r="AE320">
        <v>2.88541512469598</v>
      </c>
      <c r="AH320">
        <v>7.9703</v>
      </c>
      <c r="AI320" s="10">
        <v>3.24941520394464</v>
      </c>
      <c r="AJ320">
        <v>1.840465156018</v>
      </c>
    </row>
    <row r="321" customFormat="1" spans="1:36">
      <c r="A321" s="1" t="s">
        <v>337</v>
      </c>
      <c r="B321" s="1">
        <v>25898814</v>
      </c>
      <c r="C321" s="2">
        <v>0.0544782</v>
      </c>
      <c r="E321">
        <v>4.27226</v>
      </c>
      <c r="F321">
        <v>6062.087242</v>
      </c>
      <c r="G321" s="3">
        <v>6.062087242</v>
      </c>
      <c r="H321" s="4"/>
      <c r="I321" t="s">
        <v>337</v>
      </c>
      <c r="J321">
        <v>4.40769</v>
      </c>
      <c r="K321" s="5">
        <v>5.87582475174071</v>
      </c>
      <c r="L321">
        <v>0.969274198337363</v>
      </c>
      <c r="O321">
        <v>0.004448</v>
      </c>
      <c r="P321" s="6">
        <v>5.82257508992806</v>
      </c>
      <c r="Q321" s="4">
        <v>1.00914538000631</v>
      </c>
      <c r="R321" s="4"/>
      <c r="T321">
        <v>44.795</v>
      </c>
      <c r="U321" s="7">
        <v>0.578163053912267</v>
      </c>
      <c r="V321">
        <v>10.1629198060662</v>
      </c>
      <c r="Y321">
        <v>0.0105862</v>
      </c>
      <c r="Z321" s="8">
        <v>2.44646936577809</v>
      </c>
      <c r="AA321">
        <v>2.40175692936663</v>
      </c>
      <c r="AD321" s="9">
        <v>2.02776</v>
      </c>
      <c r="AE321">
        <v>2.897692405285</v>
      </c>
      <c r="AH321">
        <v>8.1722</v>
      </c>
      <c r="AI321" s="10">
        <v>3.16913609554343</v>
      </c>
      <c r="AJ321">
        <v>1.85407775955206</v>
      </c>
    </row>
    <row r="322" customFormat="1" spans="1:36">
      <c r="A322" s="1" t="s">
        <v>403</v>
      </c>
      <c r="B322" s="1">
        <v>43168124</v>
      </c>
      <c r="C322" s="2">
        <v>0.0545982</v>
      </c>
      <c r="E322">
        <v>33.67974</v>
      </c>
      <c r="F322">
        <v>1281.723809</v>
      </c>
      <c r="G322" s="3">
        <v>1.281723809</v>
      </c>
      <c r="H322" s="4"/>
      <c r="I322" t="s">
        <v>403</v>
      </c>
      <c r="J322">
        <v>40.8472</v>
      </c>
      <c r="K322" s="5">
        <v>1.05681965960947</v>
      </c>
      <c r="L322">
        <v>0.824529943337794</v>
      </c>
      <c r="O322">
        <v>0.032248</v>
      </c>
      <c r="P322" s="6">
        <v>1.33862949640288</v>
      </c>
      <c r="Q322" s="4">
        <v>0.78947883820678</v>
      </c>
      <c r="R322" s="4"/>
      <c r="T322">
        <v>699.767</v>
      </c>
      <c r="U322" s="7">
        <v>0.0616892822896764</v>
      </c>
      <c r="V322">
        <v>17.1313333594469</v>
      </c>
      <c r="Y322">
        <v>0.0602301</v>
      </c>
      <c r="Z322" s="8">
        <v>0.716720111704945</v>
      </c>
      <c r="AA322">
        <v>1.47452212146732</v>
      </c>
      <c r="AD322" s="9">
        <v>0.96591</v>
      </c>
      <c r="AE322">
        <v>1.0941181472492</v>
      </c>
      <c r="AH322">
        <v>48.9881</v>
      </c>
      <c r="AI322" s="10">
        <v>0.881196127222734</v>
      </c>
      <c r="AJ322">
        <v>1.19930129849782</v>
      </c>
    </row>
    <row r="323" customFormat="1" spans="1:36">
      <c r="A323" s="1" t="s">
        <v>394</v>
      </c>
      <c r="B323" s="1">
        <v>38440814</v>
      </c>
      <c r="C323" s="2">
        <v>0.054763</v>
      </c>
      <c r="E323">
        <v>7.977126</v>
      </c>
      <c r="F323">
        <v>4818.880244</v>
      </c>
      <c r="G323" s="3">
        <v>4.818880244</v>
      </c>
      <c r="H323" s="4"/>
      <c r="I323" t="s">
        <v>394</v>
      </c>
      <c r="J323">
        <v>6.95178</v>
      </c>
      <c r="K323" s="5">
        <v>5.52963615074125</v>
      </c>
      <c r="L323">
        <v>1.14749399668652</v>
      </c>
      <c r="O323">
        <v>0.0078704</v>
      </c>
      <c r="P323" s="6">
        <v>4.88422621467778</v>
      </c>
      <c r="Q323" s="4">
        <v>1.13214169608359</v>
      </c>
      <c r="R323" s="4"/>
      <c r="T323">
        <v>64.896</v>
      </c>
      <c r="U323" s="7">
        <v>0.592344890285996</v>
      </c>
      <c r="V323">
        <v>9.33516308053477</v>
      </c>
      <c r="Y323">
        <v>0.021941</v>
      </c>
      <c r="Z323" s="8">
        <v>1.75200829497288</v>
      </c>
      <c r="AA323">
        <v>3.15617007442698</v>
      </c>
      <c r="AD323" s="9">
        <v>2.076429</v>
      </c>
      <c r="AE323">
        <v>2.66305091613595</v>
      </c>
      <c r="AH323">
        <v>11.9868</v>
      </c>
      <c r="AI323" s="10">
        <v>3.20692878833383</v>
      </c>
      <c r="AJ323">
        <v>1.72427781086283</v>
      </c>
    </row>
    <row r="324" customFormat="1" spans="1:36">
      <c r="A324" s="1" t="s">
        <v>395</v>
      </c>
      <c r="B324" s="1">
        <v>38440814</v>
      </c>
      <c r="C324" s="2">
        <v>0.054763</v>
      </c>
      <c r="E324">
        <v>7.982973</v>
      </c>
      <c r="F324">
        <v>4815.350434</v>
      </c>
      <c r="G324" s="3">
        <v>4.815350434</v>
      </c>
      <c r="H324" s="4"/>
      <c r="I324" t="s">
        <v>395</v>
      </c>
      <c r="J324">
        <v>6.99574</v>
      </c>
      <c r="K324" s="5">
        <v>5.4948888895242</v>
      </c>
      <c r="L324">
        <v>1.14111921133011</v>
      </c>
      <c r="O324">
        <v>0.0075744</v>
      </c>
      <c r="P324" s="6">
        <v>5.07509690536544</v>
      </c>
      <c r="Q324" s="4">
        <v>1.0827160529122</v>
      </c>
      <c r="R324" s="4"/>
      <c r="T324">
        <v>65.31</v>
      </c>
      <c r="U324" s="7">
        <v>0.58859001684275</v>
      </c>
      <c r="V324">
        <v>9.33568142898392</v>
      </c>
      <c r="Y324">
        <v>0.0148976</v>
      </c>
      <c r="Z324" s="8">
        <v>2.58033602727956</v>
      </c>
      <c r="AA324">
        <v>2.12952453921958</v>
      </c>
      <c r="AD324" s="9">
        <v>2.028954</v>
      </c>
      <c r="AE324">
        <v>2.70823729346461</v>
      </c>
      <c r="AH324">
        <v>11.9286</v>
      </c>
      <c r="AI324" s="10">
        <v>3.22257549083715</v>
      </c>
      <c r="AJ324">
        <v>1.70512340367138</v>
      </c>
    </row>
    <row r="325" customFormat="1" spans="1:36">
      <c r="A325" s="1" t="s">
        <v>174</v>
      </c>
      <c r="B325" s="1">
        <v>7654280</v>
      </c>
      <c r="C325" s="2">
        <v>0.0549041</v>
      </c>
      <c r="E325">
        <v>1.860041</v>
      </c>
      <c r="F325">
        <v>4115.113831</v>
      </c>
      <c r="G325" s="3">
        <v>4.115113831</v>
      </c>
      <c r="H325" s="4"/>
      <c r="I325" t="s">
        <v>174</v>
      </c>
      <c r="J325">
        <v>1.50178</v>
      </c>
      <c r="K325" s="5">
        <v>5.09680512458549</v>
      </c>
      <c r="L325">
        <v>1.23855750628092</v>
      </c>
      <c r="O325">
        <v>0.0016544</v>
      </c>
      <c r="P325" s="6">
        <v>4.62661992263056</v>
      </c>
      <c r="Q325" s="4">
        <v>1.10162607039646</v>
      </c>
      <c r="R325" s="4"/>
      <c r="T325">
        <v>22.661</v>
      </c>
      <c r="U325" s="7">
        <v>0.337773266846123</v>
      </c>
      <c r="V325">
        <v>15.0894272130405</v>
      </c>
      <c r="Y325">
        <v>0.0046898</v>
      </c>
      <c r="Z325" s="8">
        <v>1.63211224359248</v>
      </c>
      <c r="AA325">
        <v>3.12282757794084</v>
      </c>
      <c r="AD325" s="9">
        <v>1.955919</v>
      </c>
      <c r="AE325">
        <v>2.60583650170866</v>
      </c>
      <c r="AH325">
        <v>2.8543</v>
      </c>
      <c r="AI325" s="10">
        <v>2.68166625792664</v>
      </c>
      <c r="AJ325">
        <v>1.90061127462078</v>
      </c>
    </row>
    <row r="326" customFormat="1" spans="1:36">
      <c r="A326" s="1" t="s">
        <v>416</v>
      </c>
      <c r="B326" s="1">
        <v>50814278</v>
      </c>
      <c r="C326" s="2">
        <v>0.0549182</v>
      </c>
      <c r="E326">
        <v>10.841497</v>
      </c>
      <c r="F326">
        <v>4687.016913</v>
      </c>
      <c r="G326" s="3">
        <v>4.687016913</v>
      </c>
      <c r="H326" s="4"/>
      <c r="I326" t="s">
        <v>416</v>
      </c>
      <c r="J326">
        <v>19.5973</v>
      </c>
      <c r="K326" s="5">
        <v>2.59292239237038</v>
      </c>
      <c r="L326">
        <v>0.55321379045563</v>
      </c>
      <c r="O326">
        <v>0.024336</v>
      </c>
      <c r="P326" s="6">
        <v>2.08802917488494</v>
      </c>
      <c r="Q326" s="4">
        <v>1.24180371785909</v>
      </c>
      <c r="R326" s="4"/>
      <c r="T326">
        <v>995.009</v>
      </c>
      <c r="U326" s="7">
        <v>0.0510691641985148</v>
      </c>
      <c r="V326">
        <v>50.77275951279</v>
      </c>
      <c r="Y326">
        <v>0.080991</v>
      </c>
      <c r="Z326" s="8">
        <v>0.627406477262906</v>
      </c>
      <c r="AA326">
        <v>4.13276318676552</v>
      </c>
      <c r="AD326" s="9">
        <v>1.184664</v>
      </c>
      <c r="AE326">
        <v>2.18874076731493</v>
      </c>
      <c r="AH326">
        <v>62.7944</v>
      </c>
      <c r="AI326" s="10">
        <v>0.809216713592295</v>
      </c>
      <c r="AJ326">
        <v>3.20423731840611</v>
      </c>
    </row>
    <row r="327" customFormat="1" spans="1:36">
      <c r="A327" s="1" t="s">
        <v>363</v>
      </c>
      <c r="B327" s="1">
        <v>32169814</v>
      </c>
      <c r="C327" s="2">
        <v>0.0549244</v>
      </c>
      <c r="E327">
        <v>5.678065</v>
      </c>
      <c r="F327">
        <v>5665.629283</v>
      </c>
      <c r="G327" s="3">
        <v>5.665629283</v>
      </c>
      <c r="H327" s="4"/>
      <c r="I327" t="s">
        <v>363</v>
      </c>
      <c r="J327">
        <v>5.91312</v>
      </c>
      <c r="K327" s="5">
        <v>5.4404128446573</v>
      </c>
      <c r="L327">
        <v>0.960248645456125</v>
      </c>
      <c r="O327">
        <v>0.0057104</v>
      </c>
      <c r="P327" s="6">
        <v>5.63354826281872</v>
      </c>
      <c r="Q327" s="4">
        <v>0.965716914251698</v>
      </c>
      <c r="R327" s="4"/>
      <c r="T327">
        <v>54.985</v>
      </c>
      <c r="U327" s="7">
        <v>0.585065272347004</v>
      </c>
      <c r="V327">
        <v>9.29881348594312</v>
      </c>
      <c r="Y327">
        <v>0.0129654</v>
      </c>
      <c r="Z327" s="8">
        <v>2.48120489919324</v>
      </c>
      <c r="AA327">
        <v>2.1926495657115</v>
      </c>
      <c r="AD327" s="9">
        <v>2.063511</v>
      </c>
      <c r="AE327">
        <v>2.63648356837318</v>
      </c>
      <c r="AH327">
        <v>10.5598</v>
      </c>
      <c r="AI327" s="10">
        <v>3.04644159927271</v>
      </c>
      <c r="AJ327">
        <v>1.78582541872988</v>
      </c>
    </row>
    <row r="328" customFormat="1" spans="1:36">
      <c r="A328" s="1" t="s">
        <v>362</v>
      </c>
      <c r="B328" s="1">
        <v>32169814</v>
      </c>
      <c r="C328" s="2">
        <v>0.0549244</v>
      </c>
      <c r="E328">
        <v>5.663623</v>
      </c>
      <c r="F328">
        <v>5680.077071</v>
      </c>
      <c r="G328" s="3">
        <v>5.680077071</v>
      </c>
      <c r="H328" s="4"/>
      <c r="I328" t="s">
        <v>362</v>
      </c>
      <c r="J328">
        <v>7.17067</v>
      </c>
      <c r="K328" s="5">
        <v>4.48630518487115</v>
      </c>
      <c r="L328">
        <v>0.789831745026184</v>
      </c>
      <c r="O328">
        <v>0.0054688</v>
      </c>
      <c r="P328" s="6">
        <v>5.88242649210064</v>
      </c>
      <c r="Q328" s="4">
        <v>0.762662345359639</v>
      </c>
      <c r="R328" s="4"/>
      <c r="T328">
        <v>54.759</v>
      </c>
      <c r="U328" s="7">
        <v>0.587479939370697</v>
      </c>
      <c r="V328">
        <v>7.63652489934692</v>
      </c>
      <c r="Y328">
        <v>0.0129512</v>
      </c>
      <c r="Z328" s="8">
        <v>2.48392535054667</v>
      </c>
      <c r="AA328">
        <v>1.80613527048379</v>
      </c>
      <c r="AD328" s="9">
        <v>2.040468</v>
      </c>
      <c r="AE328">
        <v>2.19866480869641</v>
      </c>
      <c r="AH328">
        <v>10.5242</v>
      </c>
      <c r="AI328" s="10">
        <v>3.05674673609395</v>
      </c>
      <c r="AJ328">
        <v>1.46767317419432</v>
      </c>
    </row>
    <row r="329" customFormat="1" spans="1:36">
      <c r="A329" s="1" t="s">
        <v>244</v>
      </c>
      <c r="B329" s="1">
        <v>13415824</v>
      </c>
      <c r="C329" s="2">
        <v>0.0558818</v>
      </c>
      <c r="E329">
        <v>2.601353</v>
      </c>
      <c r="F329">
        <v>5157.24909</v>
      </c>
      <c r="G329" s="3">
        <v>5.15724909</v>
      </c>
      <c r="H329" s="4"/>
      <c r="I329" t="s">
        <v>244</v>
      </c>
      <c r="J329">
        <v>2.22382</v>
      </c>
      <c r="K329" s="5">
        <v>6.03278322885845</v>
      </c>
      <c r="L329">
        <v>1.1697676655867</v>
      </c>
      <c r="O329">
        <v>0.0025376</v>
      </c>
      <c r="P329" s="6">
        <v>5.286815889029</v>
      </c>
      <c r="Q329" s="4">
        <v>1.14109954942396</v>
      </c>
      <c r="R329" s="4"/>
      <c r="T329">
        <v>24.973</v>
      </c>
      <c r="U329" s="7">
        <v>0.537213150202218</v>
      </c>
      <c r="V329">
        <v>11.2297757912061</v>
      </c>
      <c r="Y329">
        <v>0.00647037</v>
      </c>
      <c r="Z329" s="8">
        <v>2.07342454913707</v>
      </c>
      <c r="AA329">
        <v>2.90957451592305</v>
      </c>
      <c r="AD329" s="9">
        <v>1.979064</v>
      </c>
      <c r="AE329">
        <v>3.0483012317229</v>
      </c>
      <c r="AH329">
        <v>3.8308</v>
      </c>
      <c r="AI329" s="10">
        <v>3.50209460164979</v>
      </c>
      <c r="AJ329">
        <v>1.7226214351881</v>
      </c>
    </row>
    <row r="330" customFormat="1" spans="1:36">
      <c r="A330" s="1" t="s">
        <v>243</v>
      </c>
      <c r="B330" s="1">
        <v>13415824</v>
      </c>
      <c r="C330" s="2">
        <v>0.0558818</v>
      </c>
      <c r="E330">
        <v>4.445364</v>
      </c>
      <c r="F330">
        <v>3017.935768</v>
      </c>
      <c r="G330" s="3">
        <v>3.017935768</v>
      </c>
      <c r="H330" s="4"/>
      <c r="I330" t="s">
        <v>243</v>
      </c>
      <c r="J330">
        <v>2.30354</v>
      </c>
      <c r="K330" s="5">
        <v>5.82400305616573</v>
      </c>
      <c r="L330">
        <v>1.92979688895941</v>
      </c>
      <c r="O330">
        <v>0.00272</v>
      </c>
      <c r="P330" s="6">
        <v>4.93228823529412</v>
      </c>
      <c r="Q330" s="4">
        <v>1.18079130381934</v>
      </c>
      <c r="R330" s="4"/>
      <c r="T330">
        <v>24.937</v>
      </c>
      <c r="U330" s="7">
        <v>0.537988691502586</v>
      </c>
      <c r="V330">
        <v>10.8255120379937</v>
      </c>
      <c r="Y330">
        <v>0.00647013</v>
      </c>
      <c r="Z330" s="8">
        <v>2.0735014597852</v>
      </c>
      <c r="AA330">
        <v>2.80877692594876</v>
      </c>
      <c r="AD330" s="9">
        <v>1.990395</v>
      </c>
      <c r="AE330">
        <v>2.92605390194696</v>
      </c>
      <c r="AH330">
        <v>3.7856</v>
      </c>
      <c r="AI330" s="10">
        <v>3.54390955198647</v>
      </c>
      <c r="AJ330">
        <v>1.64338366166856</v>
      </c>
    </row>
    <row r="331" customFormat="1" spans="1:36">
      <c r="A331" s="1" t="s">
        <v>302</v>
      </c>
      <c r="B331" s="1">
        <v>19627814</v>
      </c>
      <c r="C331" s="2">
        <v>0.0559994</v>
      </c>
      <c r="E331">
        <v>3.496234</v>
      </c>
      <c r="F331">
        <v>5613.988289</v>
      </c>
      <c r="G331" s="3">
        <v>5.613988289</v>
      </c>
      <c r="H331" s="4"/>
      <c r="I331" t="s">
        <v>302</v>
      </c>
      <c r="J331">
        <v>3.42488</v>
      </c>
      <c r="K331" s="5">
        <v>5.73094940552662</v>
      </c>
      <c r="L331">
        <v>1.02083387255292</v>
      </c>
      <c r="O331">
        <v>0.0034512</v>
      </c>
      <c r="P331" s="6">
        <v>5.68724327770051</v>
      </c>
      <c r="Q331" s="4">
        <v>1.00768494078625</v>
      </c>
      <c r="R331" s="4"/>
      <c r="T331">
        <v>35.287</v>
      </c>
      <c r="U331" s="7">
        <v>0.556233570436705</v>
      </c>
      <c r="V331">
        <v>10.3031347083693</v>
      </c>
      <c r="Y331">
        <v>0.00852013</v>
      </c>
      <c r="Z331" s="8">
        <v>2.30369888722355</v>
      </c>
      <c r="AA331">
        <v>2.48771635794539</v>
      </c>
      <c r="AD331" s="9">
        <v>2.023989</v>
      </c>
      <c r="AE331">
        <v>2.83151213051386</v>
      </c>
      <c r="AH331">
        <v>7.3193</v>
      </c>
      <c r="AI331" s="10">
        <v>2.68165179730302</v>
      </c>
      <c r="AJ331">
        <v>2.13709677419355</v>
      </c>
    </row>
    <row r="332" customFormat="1" spans="1:36">
      <c r="A332" s="1" t="s">
        <v>303</v>
      </c>
      <c r="B332" s="1">
        <v>19627814</v>
      </c>
      <c r="C332" s="2">
        <v>0.0559994</v>
      </c>
      <c r="E332">
        <v>3.508267</v>
      </c>
      <c r="F332">
        <v>5594.732334</v>
      </c>
      <c r="G332" s="3">
        <v>5.594732334</v>
      </c>
      <c r="H332" s="4"/>
      <c r="I332" t="s">
        <v>303</v>
      </c>
      <c r="J332">
        <v>3.2849</v>
      </c>
      <c r="K332" s="5">
        <v>5.97516332308442</v>
      </c>
      <c r="L332">
        <v>1.06799806789191</v>
      </c>
      <c r="O332">
        <v>0.0034176</v>
      </c>
      <c r="P332" s="6">
        <v>5.74315718632959</v>
      </c>
      <c r="Q332" s="4">
        <v>1.04039696794423</v>
      </c>
      <c r="R332" s="4"/>
      <c r="T332">
        <v>35.179</v>
      </c>
      <c r="U332" s="7">
        <v>0.557941214929361</v>
      </c>
      <c r="V332">
        <v>10.7093062193674</v>
      </c>
      <c r="Y332">
        <v>0.00860478</v>
      </c>
      <c r="Z332" s="8">
        <v>2.28103612178347</v>
      </c>
      <c r="AA332">
        <v>2.61949526621815</v>
      </c>
      <c r="AD332" s="9">
        <v>2.002098</v>
      </c>
      <c r="AE332">
        <v>2.98445097247209</v>
      </c>
      <c r="AH332">
        <v>7.2088</v>
      </c>
      <c r="AI332" s="10">
        <v>2.72275746310065</v>
      </c>
      <c r="AJ332">
        <v>2.19452646960334</v>
      </c>
    </row>
    <row r="333" customFormat="1" spans="1:36">
      <c r="A333" s="1" t="s">
        <v>115</v>
      </c>
      <c r="B333" s="1">
        <v>4704084</v>
      </c>
      <c r="C333" s="2">
        <v>0.0563232</v>
      </c>
      <c r="E333">
        <v>3.933684</v>
      </c>
      <c r="F333">
        <v>1195.846913</v>
      </c>
      <c r="G333" s="3">
        <v>1.195846913</v>
      </c>
      <c r="H333" s="4"/>
      <c r="I333" t="s">
        <v>115</v>
      </c>
      <c r="J333">
        <v>3.084</v>
      </c>
      <c r="K333" s="5">
        <v>1.52531906614786</v>
      </c>
      <c r="L333">
        <v>1.27551365443702</v>
      </c>
      <c r="O333">
        <v>0.002296</v>
      </c>
      <c r="P333" s="6">
        <v>2.04881707317073</v>
      </c>
      <c r="Q333" s="4">
        <v>0.744487678339819</v>
      </c>
      <c r="R333" s="4"/>
      <c r="T333">
        <v>16.852</v>
      </c>
      <c r="U333" s="7">
        <v>0.279140992167102</v>
      </c>
      <c r="V333">
        <v>5.46433203631647</v>
      </c>
      <c r="Y333">
        <v>0.00467532</v>
      </c>
      <c r="Z333" s="8">
        <v>1.00615230615231</v>
      </c>
      <c r="AA333">
        <v>1.51599221789883</v>
      </c>
      <c r="AD333" s="9">
        <v>1.064781</v>
      </c>
      <c r="AE333">
        <v>1.43251904959598</v>
      </c>
      <c r="AH333">
        <v>3.3552</v>
      </c>
      <c r="AI333" s="10">
        <v>1.40202789699571</v>
      </c>
      <c r="AJ333">
        <v>1.08793774319066</v>
      </c>
    </row>
    <row r="334" customFormat="1" spans="1:36">
      <c r="A334" s="1" t="s">
        <v>129</v>
      </c>
      <c r="B334" s="1">
        <v>5136112</v>
      </c>
      <c r="C334" s="2">
        <v>0.056447</v>
      </c>
      <c r="E334">
        <v>1.504986</v>
      </c>
      <c r="F334">
        <v>3412.73009</v>
      </c>
      <c r="G334" s="3">
        <v>3.41273009</v>
      </c>
      <c r="H334" s="4"/>
      <c r="I334" t="s">
        <v>129</v>
      </c>
      <c r="J334">
        <v>1.1167</v>
      </c>
      <c r="K334" s="5">
        <v>4.59936598907495</v>
      </c>
      <c r="L334">
        <v>1.34770868711594</v>
      </c>
      <c r="O334">
        <v>0.001264</v>
      </c>
      <c r="P334" s="6">
        <v>4.06337974683544</v>
      </c>
      <c r="Q334" s="4">
        <v>1.13190651025343</v>
      </c>
      <c r="R334" s="4"/>
      <c r="T334">
        <v>10.623</v>
      </c>
      <c r="U334" s="7">
        <v>0.483489786312718</v>
      </c>
      <c r="V334">
        <v>9.51285036267574</v>
      </c>
      <c r="Y334">
        <v>0.0161248</v>
      </c>
      <c r="Z334" s="8">
        <v>0.318522524310379</v>
      </c>
      <c r="AA334">
        <v>14.4396883675114</v>
      </c>
      <c r="AD334" s="9">
        <v>1.826904</v>
      </c>
      <c r="AE334">
        <v>2.51757398805572</v>
      </c>
      <c r="AH334">
        <v>1.8907</v>
      </c>
      <c r="AI334" s="10">
        <v>2.71651346062305</v>
      </c>
      <c r="AJ334">
        <v>1.69311363839885</v>
      </c>
    </row>
    <row r="335" customFormat="1" spans="1:36">
      <c r="A335" s="1" t="s">
        <v>82</v>
      </c>
      <c r="B335" s="1">
        <v>3076540</v>
      </c>
      <c r="C335" s="2">
        <v>0.0564748</v>
      </c>
      <c r="E335">
        <v>2.088995</v>
      </c>
      <c r="F335">
        <v>1472.736924</v>
      </c>
      <c r="G335" s="3">
        <v>1.472736924</v>
      </c>
      <c r="H335" s="4"/>
      <c r="I335" t="s">
        <v>82</v>
      </c>
      <c r="J335">
        <v>0.782586</v>
      </c>
      <c r="K335" s="5">
        <v>3.93124845064951</v>
      </c>
      <c r="L335">
        <v>2.66934873879044</v>
      </c>
      <c r="O335">
        <v>0.0009088</v>
      </c>
      <c r="P335" s="6">
        <v>3.38527728873239</v>
      </c>
      <c r="Q335" s="4">
        <v>1.16127812150997</v>
      </c>
      <c r="R335" s="4"/>
      <c r="T335">
        <v>6.176</v>
      </c>
      <c r="U335" s="7">
        <v>0.498144430051814</v>
      </c>
      <c r="V335">
        <v>7.89178441730366</v>
      </c>
      <c r="Y335">
        <v>0.00385941</v>
      </c>
      <c r="Z335" s="8">
        <v>0.797152932702149</v>
      </c>
      <c r="AA335">
        <v>4.93161135006248</v>
      </c>
      <c r="AD335" s="9">
        <v>1.726704</v>
      </c>
      <c r="AE335">
        <v>2.27673559026302</v>
      </c>
      <c r="AH335">
        <v>1.4326</v>
      </c>
      <c r="AI335" s="10">
        <v>2.14752198799386</v>
      </c>
      <c r="AJ335">
        <v>1.83059753177287</v>
      </c>
    </row>
    <row r="336" customFormat="1" spans="1:36">
      <c r="A336" s="1" t="s">
        <v>83</v>
      </c>
      <c r="B336" s="1">
        <v>3076540</v>
      </c>
      <c r="C336" s="2">
        <v>0.0564748</v>
      </c>
      <c r="E336">
        <v>1.704258</v>
      </c>
      <c r="F336">
        <v>1805.207422</v>
      </c>
      <c r="G336" s="3">
        <v>1.805207422</v>
      </c>
      <c r="H336" s="4"/>
      <c r="I336" t="s">
        <v>83</v>
      </c>
      <c r="J336">
        <v>0.775406</v>
      </c>
      <c r="K336" s="5">
        <v>3.9676504953534</v>
      </c>
      <c r="L336">
        <v>2.19789174750767</v>
      </c>
      <c r="O336">
        <v>0.0009088</v>
      </c>
      <c r="P336" s="6">
        <v>3.38527728873239</v>
      </c>
      <c r="Q336" s="4">
        <v>1.17203116818802</v>
      </c>
      <c r="R336" s="4"/>
      <c r="T336">
        <v>16.333</v>
      </c>
      <c r="U336" s="7">
        <v>0.18836343598849</v>
      </c>
      <c r="V336">
        <v>21.0638039942946</v>
      </c>
      <c r="Y336">
        <v>0.00396378</v>
      </c>
      <c r="Z336" s="8">
        <v>0.776163157390168</v>
      </c>
      <c r="AA336">
        <v>5.11187687482429</v>
      </c>
      <c r="AD336" s="9">
        <v>1.619106</v>
      </c>
      <c r="AE336">
        <v>2.4505192960519</v>
      </c>
      <c r="AH336">
        <v>1.4498</v>
      </c>
      <c r="AI336" s="10">
        <v>2.12204441991999</v>
      </c>
      <c r="AJ336">
        <v>1.86973018006051</v>
      </c>
    </row>
    <row r="337" customFormat="1" spans="1:36">
      <c r="A337" s="1" t="s">
        <v>137</v>
      </c>
      <c r="B337" s="1">
        <v>5492324</v>
      </c>
      <c r="C337" s="2">
        <v>0.0600351</v>
      </c>
      <c r="E337">
        <v>3.517904</v>
      </c>
      <c r="F337">
        <v>1561.248757</v>
      </c>
      <c r="G337" s="3">
        <v>1.561248757</v>
      </c>
      <c r="H337" s="4"/>
      <c r="I337" t="s">
        <v>137</v>
      </c>
      <c r="J337">
        <v>3.34948</v>
      </c>
      <c r="K337" s="5">
        <v>1.63975423050742</v>
      </c>
      <c r="L337">
        <v>1.05028377006254</v>
      </c>
      <c r="O337">
        <v>0.0026608</v>
      </c>
      <c r="P337" s="6">
        <v>2.06416265784726</v>
      </c>
      <c r="Q337" s="4">
        <v>0.79439196531999</v>
      </c>
      <c r="R337" s="4"/>
      <c r="T337">
        <v>16.416</v>
      </c>
      <c r="U337" s="7">
        <v>0.334571393762183</v>
      </c>
      <c r="V337">
        <v>4.90105926890144</v>
      </c>
      <c r="Y337">
        <v>0.00529129</v>
      </c>
      <c r="Z337" s="8">
        <v>1.03799338157614</v>
      </c>
      <c r="AA337">
        <v>1.57973476479931</v>
      </c>
      <c r="AD337" s="9">
        <v>1.096146</v>
      </c>
      <c r="AE337">
        <v>1.49592684779894</v>
      </c>
      <c r="AH337">
        <v>4.5048</v>
      </c>
      <c r="AI337" s="10">
        <v>1.21921594743385</v>
      </c>
      <c r="AJ337">
        <v>1.34492518241638</v>
      </c>
    </row>
    <row r="338" customFormat="1" spans="1:36">
      <c r="A338" s="1" t="s">
        <v>478</v>
      </c>
      <c r="B338" s="1">
        <v>87552228</v>
      </c>
      <c r="C338" s="2">
        <v>0.0602062</v>
      </c>
      <c r="E338">
        <v>17.904295</v>
      </c>
      <c r="F338">
        <v>4890.01268</v>
      </c>
      <c r="G338" s="3">
        <v>4.89001268</v>
      </c>
      <c r="H338" s="4"/>
      <c r="I338" t="s">
        <v>478</v>
      </c>
      <c r="J338">
        <v>32.9482</v>
      </c>
      <c r="K338" s="5">
        <v>2.65726892516131</v>
      </c>
      <c r="L338">
        <v>0.543407369070731</v>
      </c>
      <c r="O338">
        <v>0.0418384</v>
      </c>
      <c r="P338" s="6">
        <v>2.09262849439749</v>
      </c>
      <c r="Q338" s="4">
        <v>1.26982354119497</v>
      </c>
      <c r="R338" s="4"/>
      <c r="T338">
        <v>1406.897</v>
      </c>
      <c r="U338" s="7">
        <v>0.0622307304656986</v>
      </c>
      <c r="V338">
        <v>42.7002689069509</v>
      </c>
      <c r="Y338">
        <v>0.101101</v>
      </c>
      <c r="Z338" s="8">
        <v>0.865987754819438</v>
      </c>
      <c r="AA338">
        <v>3.06848325553444</v>
      </c>
      <c r="AD338" s="9">
        <v>1.184739</v>
      </c>
      <c r="AE338">
        <v>2.24291504302746</v>
      </c>
      <c r="AH338">
        <v>95.6219</v>
      </c>
      <c r="AI338" s="10">
        <v>0.915608537374807</v>
      </c>
      <c r="AJ338">
        <v>2.90218889044014</v>
      </c>
    </row>
    <row r="339" customFormat="1" spans="1:36">
      <c r="A339" s="1" t="s">
        <v>114</v>
      </c>
      <c r="B339" s="1">
        <v>4704084</v>
      </c>
      <c r="C339" s="2">
        <v>0.0603407</v>
      </c>
      <c r="E339">
        <v>3.935408</v>
      </c>
      <c r="F339">
        <v>1195.323088</v>
      </c>
      <c r="G339" s="3">
        <v>1.195323088</v>
      </c>
      <c r="H339" s="4"/>
      <c r="I339" t="s">
        <v>114</v>
      </c>
      <c r="J339">
        <v>2.82645</v>
      </c>
      <c r="K339" s="5">
        <v>1.66430823117338</v>
      </c>
      <c r="L339">
        <v>1.39235010841971</v>
      </c>
      <c r="O339">
        <v>0.0023888</v>
      </c>
      <c r="P339" s="6">
        <v>1.96922471533825</v>
      </c>
      <c r="Q339" s="4">
        <v>0.845159121866653</v>
      </c>
      <c r="R339" s="4"/>
      <c r="T339">
        <v>14.425</v>
      </c>
      <c r="U339" s="7">
        <v>0.326106343154246</v>
      </c>
      <c r="V339">
        <v>5.10357515611456</v>
      </c>
      <c r="Y339">
        <v>0.00468426</v>
      </c>
      <c r="Z339" s="8">
        <v>1.00423204518963</v>
      </c>
      <c r="AA339">
        <v>1.65729448601603</v>
      </c>
      <c r="AD339" s="9">
        <v>1.097775</v>
      </c>
      <c r="AE339">
        <v>1.51607408728873</v>
      </c>
      <c r="AH339">
        <v>3.3158</v>
      </c>
      <c r="AI339" s="10">
        <v>1.41868749623017</v>
      </c>
      <c r="AJ339">
        <v>1.17313237453343</v>
      </c>
    </row>
    <row r="340" customFormat="1" spans="1:36">
      <c r="A340" s="1" t="s">
        <v>136</v>
      </c>
      <c r="B340" s="1">
        <v>5492324</v>
      </c>
      <c r="C340" s="2">
        <v>0.0604692</v>
      </c>
      <c r="E340">
        <v>3.472537</v>
      </c>
      <c r="F340">
        <v>1581.645995</v>
      </c>
      <c r="G340" s="3">
        <v>1.581645995</v>
      </c>
      <c r="H340" s="4"/>
      <c r="I340" t="s">
        <v>136</v>
      </c>
      <c r="J340">
        <v>3.31665</v>
      </c>
      <c r="K340" s="5">
        <v>1.65598540696184</v>
      </c>
      <c r="L340">
        <v>1.04700129624255</v>
      </c>
      <c r="O340">
        <v>0.0026848</v>
      </c>
      <c r="P340" s="6">
        <v>2.04571066746126</v>
      </c>
      <c r="Q340" s="4">
        <v>0.809491504982437</v>
      </c>
      <c r="R340" s="4"/>
      <c r="T340">
        <v>20.275</v>
      </c>
      <c r="U340" s="7">
        <v>0.270891442663379</v>
      </c>
      <c r="V340">
        <v>6.11309604570877</v>
      </c>
      <c r="Y340">
        <v>0.00529654</v>
      </c>
      <c r="Z340" s="8">
        <v>1.03696450890581</v>
      </c>
      <c r="AA340">
        <v>1.59695475856663</v>
      </c>
      <c r="AD340" s="9">
        <v>1.096494</v>
      </c>
      <c r="AE340">
        <v>1.51025487322488</v>
      </c>
      <c r="AH340">
        <v>4.553</v>
      </c>
      <c r="AI340" s="10">
        <v>1.20630880737975</v>
      </c>
      <c r="AJ340">
        <v>1.37277071744079</v>
      </c>
    </row>
    <row r="341" customFormat="1" spans="1:36">
      <c r="A341" s="1" t="s">
        <v>147</v>
      </c>
      <c r="B341" s="1">
        <v>6074024</v>
      </c>
      <c r="C341" s="2">
        <v>0.0605639</v>
      </c>
      <c r="E341">
        <v>1.89581</v>
      </c>
      <c r="F341">
        <v>3203.920912</v>
      </c>
      <c r="G341" s="3">
        <v>3.203920912</v>
      </c>
      <c r="H341" s="4"/>
      <c r="I341" t="s">
        <v>147</v>
      </c>
      <c r="J341">
        <v>1.01303</v>
      </c>
      <c r="K341" s="5">
        <v>5.99589745614641</v>
      </c>
      <c r="L341">
        <v>1.87142492615511</v>
      </c>
      <c r="O341">
        <v>0.0012752</v>
      </c>
      <c r="P341" s="6">
        <v>4.76319322459222</v>
      </c>
      <c r="Q341" s="4">
        <v>1.25879786383424</v>
      </c>
      <c r="R341" s="4"/>
      <c r="T341">
        <v>4.874</v>
      </c>
      <c r="U341" s="7">
        <v>1.24620927369717</v>
      </c>
      <c r="V341">
        <v>4.81130864831249</v>
      </c>
      <c r="Y341">
        <v>0.00263218</v>
      </c>
      <c r="Z341" s="8">
        <v>2.30760206368865</v>
      </c>
      <c r="AA341">
        <v>2.59832384036011</v>
      </c>
      <c r="AD341" s="9">
        <v>2.133693</v>
      </c>
      <c r="AE341">
        <v>2.81010316673786</v>
      </c>
      <c r="AH341">
        <v>1.5307</v>
      </c>
      <c r="AI341" s="10">
        <v>3.96813484026916</v>
      </c>
      <c r="AJ341">
        <v>1.51101151989576</v>
      </c>
    </row>
    <row r="342" customFormat="1" spans="1:36">
      <c r="A342" s="1" t="s">
        <v>99</v>
      </c>
      <c r="B342" s="1">
        <v>3915844</v>
      </c>
      <c r="C342" s="2">
        <v>0.0610972</v>
      </c>
      <c r="E342">
        <v>2.562644</v>
      </c>
      <c r="F342">
        <v>1528.048121</v>
      </c>
      <c r="G342" s="3">
        <v>1.528048121</v>
      </c>
      <c r="H342" s="4"/>
      <c r="I342" t="s">
        <v>99</v>
      </c>
      <c r="J342">
        <v>2.28725</v>
      </c>
      <c r="K342" s="5">
        <v>1.71203147885015</v>
      </c>
      <c r="L342">
        <v>1.1204041648438</v>
      </c>
      <c r="O342">
        <v>0.0019936</v>
      </c>
      <c r="P342" s="6">
        <v>1.96420746388443</v>
      </c>
      <c r="Q342" s="4">
        <v>0.871614384085692</v>
      </c>
      <c r="R342" s="4"/>
      <c r="T342">
        <v>11.711</v>
      </c>
      <c r="U342" s="7">
        <v>0.334373153445479</v>
      </c>
      <c r="V342">
        <v>5.12012241775057</v>
      </c>
      <c r="Y342">
        <v>0.00404024</v>
      </c>
      <c r="Z342" s="8">
        <v>0.969210739956042</v>
      </c>
      <c r="AA342">
        <v>1.76641818778009</v>
      </c>
      <c r="AD342" s="9">
        <v>1.109193</v>
      </c>
      <c r="AE342">
        <v>1.543492862694</v>
      </c>
      <c r="AH342">
        <v>2.8305</v>
      </c>
      <c r="AI342" s="10">
        <v>1.38344603426956</v>
      </c>
      <c r="AJ342">
        <v>1.23751229642584</v>
      </c>
    </row>
    <row r="343" customFormat="1" spans="1:36">
      <c r="A343" s="1" t="s">
        <v>98</v>
      </c>
      <c r="B343" s="1">
        <v>3915844</v>
      </c>
      <c r="C343" s="2">
        <v>0.0610972</v>
      </c>
      <c r="E343">
        <v>2.563555</v>
      </c>
      <c r="F343">
        <v>1527.505634</v>
      </c>
      <c r="G343" s="3">
        <v>1.527505634</v>
      </c>
      <c r="H343" s="4"/>
      <c r="I343" t="s">
        <v>98</v>
      </c>
      <c r="J343">
        <v>2.26172</v>
      </c>
      <c r="K343" s="5">
        <v>1.73135666660771</v>
      </c>
      <c r="L343">
        <v>1.13345353893976</v>
      </c>
      <c r="O343">
        <v>0.001992</v>
      </c>
      <c r="P343" s="6">
        <v>1.96578514056225</v>
      </c>
      <c r="Q343" s="4">
        <v>0.880745627221761</v>
      </c>
      <c r="R343" s="4"/>
      <c r="T343">
        <v>11.696</v>
      </c>
      <c r="U343" s="7">
        <v>0.334801983584131</v>
      </c>
      <c r="V343">
        <v>5.17128557027395</v>
      </c>
      <c r="Y343">
        <v>0.00402592</v>
      </c>
      <c r="Z343" s="8">
        <v>0.972658175025833</v>
      </c>
      <c r="AA343">
        <v>1.78002582105654</v>
      </c>
      <c r="AD343" s="9">
        <v>1.101897</v>
      </c>
      <c r="AE343">
        <v>1.5712509123881</v>
      </c>
      <c r="AH343">
        <v>2.7761</v>
      </c>
      <c r="AI343" s="10">
        <v>1.41055581571269</v>
      </c>
      <c r="AJ343">
        <v>1.22742868259555</v>
      </c>
    </row>
    <row r="344" customFormat="1" spans="1:36">
      <c r="A344" s="1" t="s">
        <v>440</v>
      </c>
      <c r="B344" s="1">
        <v>59838604</v>
      </c>
      <c r="C344" s="2">
        <v>0.0640357</v>
      </c>
      <c r="E344">
        <v>55.736799</v>
      </c>
      <c r="F344">
        <v>1073.592407</v>
      </c>
      <c r="G344" s="3">
        <v>1.073592407</v>
      </c>
      <c r="H344" s="4"/>
      <c r="I344" t="s">
        <v>440</v>
      </c>
      <c r="J344">
        <v>33.2692</v>
      </c>
      <c r="K344" s="5">
        <v>1.79861866230628</v>
      </c>
      <c r="L344">
        <v>1.67532729421239</v>
      </c>
      <c r="O344">
        <v>0.0306096</v>
      </c>
      <c r="P344" s="6">
        <v>1.95489663373582</v>
      </c>
      <c r="Q344" s="4">
        <v>0.920058191961334</v>
      </c>
      <c r="R344" s="4"/>
      <c r="T344">
        <v>227.271</v>
      </c>
      <c r="U344" s="7">
        <v>0.263291858618125</v>
      </c>
      <c r="V344">
        <v>6.83127336996381</v>
      </c>
      <c r="Y344">
        <v>0.0477276</v>
      </c>
      <c r="Z344" s="8">
        <v>1.25375262950578</v>
      </c>
      <c r="AA344">
        <v>1.43458814759597</v>
      </c>
      <c r="AD344" s="9">
        <v>1.085781</v>
      </c>
      <c r="AE344">
        <v>1.65652066328871</v>
      </c>
      <c r="AH344">
        <v>81.1154</v>
      </c>
      <c r="AI344" s="10">
        <v>0.737697206695646</v>
      </c>
      <c r="AJ344">
        <v>2.43815300638428</v>
      </c>
    </row>
    <row r="345" customFormat="1" spans="1:36">
      <c r="A345" s="1" t="s">
        <v>291</v>
      </c>
      <c r="B345" s="1">
        <v>18139536</v>
      </c>
      <c r="C345" s="2">
        <v>0.0645319</v>
      </c>
      <c r="E345">
        <v>5.094233</v>
      </c>
      <c r="F345">
        <v>3560.798216</v>
      </c>
      <c r="G345" s="3">
        <v>3.560798216</v>
      </c>
      <c r="H345" s="4"/>
      <c r="I345" t="s">
        <v>291</v>
      </c>
      <c r="J345">
        <v>7.86014</v>
      </c>
      <c r="K345" s="5">
        <v>2.30778790199666</v>
      </c>
      <c r="L345">
        <v>0.648109710802174</v>
      </c>
      <c r="O345">
        <v>0.0110176</v>
      </c>
      <c r="P345" s="6">
        <v>1.64641446413012</v>
      </c>
      <c r="Q345" s="4">
        <v>1.40170531313692</v>
      </c>
      <c r="R345" s="4"/>
      <c r="T345">
        <v>52.253</v>
      </c>
      <c r="U345" s="7">
        <v>0.347148221154766</v>
      </c>
      <c r="V345">
        <v>6.64784596712018</v>
      </c>
      <c r="Y345">
        <v>0.0188778</v>
      </c>
      <c r="Z345" s="8">
        <v>0.960892476877602</v>
      </c>
      <c r="AA345">
        <v>2.40171294658874</v>
      </c>
      <c r="AD345" s="9">
        <v>1.191132</v>
      </c>
      <c r="AE345">
        <v>1.93747452171267</v>
      </c>
      <c r="AH345">
        <v>22.2081</v>
      </c>
      <c r="AI345" s="10">
        <v>0.816798195253083</v>
      </c>
      <c r="AJ345">
        <v>2.82540768993936</v>
      </c>
    </row>
    <row r="346" customFormat="1" spans="1:36">
      <c r="A346" s="1" t="s">
        <v>508</v>
      </c>
      <c r="B346" s="1">
        <v>120030302</v>
      </c>
      <c r="C346" s="2">
        <v>0.0648484</v>
      </c>
      <c r="E346">
        <v>11.150666</v>
      </c>
      <c r="F346">
        <v>10764.406718</v>
      </c>
      <c r="G346" s="3">
        <v>10.764406718</v>
      </c>
      <c r="H346" s="4"/>
      <c r="I346" t="s">
        <v>508</v>
      </c>
      <c r="J346">
        <v>18.4862</v>
      </c>
      <c r="K346" s="5">
        <v>6.49296783546646</v>
      </c>
      <c r="L346">
        <v>0.603188638776446</v>
      </c>
      <c r="O346">
        <v>0.0137024</v>
      </c>
      <c r="P346" s="6">
        <v>8.75980134866885</v>
      </c>
      <c r="Q346" s="4">
        <v>0.741223182698445</v>
      </c>
      <c r="R346" s="4"/>
      <c r="T346">
        <v>54.761</v>
      </c>
      <c r="U346" s="7">
        <v>2.19189390259491</v>
      </c>
      <c r="V346">
        <v>2.96226374268373</v>
      </c>
      <c r="Y346">
        <v>0.000930032</v>
      </c>
      <c r="Z346" s="8">
        <v>129.060400072256</v>
      </c>
      <c r="AA346">
        <v>0.0503095281885947</v>
      </c>
      <c r="AD346" s="9">
        <v>2.990082</v>
      </c>
      <c r="AE346">
        <v>2.17150159609885</v>
      </c>
      <c r="AH346">
        <v>29.3104</v>
      </c>
      <c r="AI346" s="10">
        <v>4.09514377149408</v>
      </c>
      <c r="AJ346">
        <v>1.5855286646255</v>
      </c>
    </row>
    <row r="347" customFormat="1" spans="1:36">
      <c r="A347" s="1" t="s">
        <v>513</v>
      </c>
      <c r="B347" s="1">
        <v>129187496</v>
      </c>
      <c r="C347" s="2">
        <v>0.0652535</v>
      </c>
      <c r="E347">
        <v>28.187472</v>
      </c>
      <c r="F347">
        <v>4583.15292</v>
      </c>
      <c r="G347" s="3">
        <v>4.58315292</v>
      </c>
      <c r="H347" s="4"/>
      <c r="I347" t="s">
        <v>513</v>
      </c>
      <c r="J347">
        <v>23.7912</v>
      </c>
      <c r="K347" s="5">
        <v>5.43005380140556</v>
      </c>
      <c r="L347">
        <v>1.18478564782551</v>
      </c>
      <c r="O347">
        <v>0.0361936</v>
      </c>
      <c r="P347" s="6">
        <v>3.56934640378409</v>
      </c>
      <c r="Q347" s="4">
        <v>1.52130199401459</v>
      </c>
      <c r="R347" s="4"/>
      <c r="T347">
        <v>7272.346</v>
      </c>
      <c r="U347" s="7">
        <v>0.0177642119888135</v>
      </c>
      <c r="V347">
        <v>305.673778539964</v>
      </c>
      <c r="Y347">
        <v>0.052021</v>
      </c>
      <c r="Z347" s="8">
        <v>2.48337202283693</v>
      </c>
      <c r="AA347">
        <v>2.18656478025488</v>
      </c>
      <c r="AD347" s="9">
        <v>2.197875</v>
      </c>
      <c r="AE347">
        <v>2.47059264125829</v>
      </c>
      <c r="AH347">
        <v>55.249</v>
      </c>
      <c r="AI347" s="10">
        <v>2.33827754348495</v>
      </c>
      <c r="AJ347">
        <v>2.32224519990585</v>
      </c>
    </row>
    <row r="348" customFormat="1" spans="1:36">
      <c r="A348" s="1" t="s">
        <v>33</v>
      </c>
      <c r="B348" s="1">
        <v>1203720</v>
      </c>
      <c r="C348" s="2">
        <v>0.0696517</v>
      </c>
      <c r="E348">
        <v>1.025627</v>
      </c>
      <c r="F348">
        <v>1173.643402</v>
      </c>
      <c r="G348" s="3">
        <v>1.173643402</v>
      </c>
      <c r="H348" s="4"/>
      <c r="I348" t="s">
        <v>33</v>
      </c>
      <c r="J348">
        <v>0.521327</v>
      </c>
      <c r="K348" s="5">
        <v>2.30895388115329</v>
      </c>
      <c r="L348">
        <v>1.96733852652229</v>
      </c>
      <c r="O348">
        <v>0.0009024</v>
      </c>
      <c r="P348" s="6">
        <v>1.33390957446808</v>
      </c>
      <c r="Q348" s="4">
        <v>1.73096731993547</v>
      </c>
      <c r="R348" s="4"/>
      <c r="T348">
        <v>1.92</v>
      </c>
      <c r="U348" s="7">
        <v>0.6269375</v>
      </c>
      <c r="V348">
        <v>3.68290919135207</v>
      </c>
      <c r="Y348">
        <v>0.00178955</v>
      </c>
      <c r="Z348" s="8">
        <v>0.672638372775279</v>
      </c>
      <c r="AA348">
        <v>3.43268236634588</v>
      </c>
      <c r="AD348" s="9">
        <v>1.154598</v>
      </c>
      <c r="AE348">
        <v>1.9997903003065</v>
      </c>
      <c r="AH348">
        <v>0.976</v>
      </c>
      <c r="AI348" s="10">
        <v>1.23331967213115</v>
      </c>
      <c r="AJ348">
        <v>1.87214550560397</v>
      </c>
    </row>
    <row r="349" customFormat="1" spans="1:36">
      <c r="A349" s="1" t="s">
        <v>67</v>
      </c>
      <c r="B349" s="1">
        <v>2339364</v>
      </c>
      <c r="C349" s="2">
        <v>0.0702167</v>
      </c>
      <c r="E349">
        <v>1.688458</v>
      </c>
      <c r="F349">
        <v>1385.503144</v>
      </c>
      <c r="G349" s="3">
        <v>1.385503144</v>
      </c>
      <c r="H349" s="4"/>
      <c r="I349" t="s">
        <v>67</v>
      </c>
      <c r="J349">
        <v>1.24474</v>
      </c>
      <c r="K349" s="5">
        <v>1.8793997139965</v>
      </c>
      <c r="L349">
        <v>1.35647452128517</v>
      </c>
      <c r="O349">
        <v>0.0012288</v>
      </c>
      <c r="P349" s="6">
        <v>1.903779296875</v>
      </c>
      <c r="Q349" s="4">
        <v>0.987194112826775</v>
      </c>
      <c r="R349" s="4"/>
      <c r="T349">
        <v>7.062</v>
      </c>
      <c r="U349" s="7">
        <v>0.331260832625319</v>
      </c>
      <c r="V349">
        <v>5.67347397850153</v>
      </c>
      <c r="Y349">
        <v>0.0034744</v>
      </c>
      <c r="Z349" s="8">
        <v>0.673314529127331</v>
      </c>
      <c r="AA349">
        <v>2.79126564583768</v>
      </c>
      <c r="AD349" s="9">
        <v>1.154352</v>
      </c>
      <c r="AE349">
        <v>1.6280993267188</v>
      </c>
      <c r="AH349">
        <v>1.7025</v>
      </c>
      <c r="AI349" s="10">
        <v>1.37407577092511</v>
      </c>
      <c r="AJ349">
        <v>1.367755515208</v>
      </c>
    </row>
    <row r="350" customFormat="1" spans="1:36">
      <c r="A350" s="1" t="s">
        <v>68</v>
      </c>
      <c r="B350" s="1">
        <v>2339364</v>
      </c>
      <c r="C350" s="2">
        <v>0.0702167</v>
      </c>
      <c r="E350">
        <v>1.674639</v>
      </c>
      <c r="F350">
        <v>1396.936225</v>
      </c>
      <c r="G350" s="3">
        <v>1.396936225</v>
      </c>
      <c r="H350" s="4"/>
      <c r="I350" t="s">
        <v>68</v>
      </c>
      <c r="J350">
        <v>1.27545</v>
      </c>
      <c r="K350" s="5">
        <v>1.83414794778314</v>
      </c>
      <c r="L350">
        <v>1.31297901433055</v>
      </c>
      <c r="O350">
        <v>0.001248</v>
      </c>
      <c r="P350" s="6">
        <v>1.87449038461538</v>
      </c>
      <c r="Q350" s="4">
        <v>0.978478184170293</v>
      </c>
      <c r="R350" s="4"/>
      <c r="T350">
        <v>7.114</v>
      </c>
      <c r="U350" s="7">
        <v>0.328839471464717</v>
      </c>
      <c r="V350">
        <v>5.57763926457329</v>
      </c>
      <c r="Y350">
        <v>0.00352274</v>
      </c>
      <c r="Z350" s="8">
        <v>0.66407512334149</v>
      </c>
      <c r="AA350">
        <v>2.76195852444235</v>
      </c>
      <c r="AD350" s="9">
        <v>1.153713</v>
      </c>
      <c r="AE350">
        <v>1.58977834850013</v>
      </c>
      <c r="AH350">
        <v>1.7891</v>
      </c>
      <c r="AI350" s="10">
        <v>1.30756469733386</v>
      </c>
      <c r="AJ350">
        <v>1.40272060841272</v>
      </c>
    </row>
    <row r="351" customFormat="1" spans="1:36">
      <c r="A351" s="1" t="s">
        <v>298</v>
      </c>
      <c r="B351" s="1">
        <v>19165264</v>
      </c>
      <c r="C351" s="2">
        <v>0.0703475</v>
      </c>
      <c r="E351">
        <v>8.705362</v>
      </c>
      <c r="F351">
        <v>2201.547122</v>
      </c>
      <c r="G351" s="3">
        <v>2.201547122</v>
      </c>
      <c r="H351" s="4"/>
      <c r="I351" t="s">
        <v>298</v>
      </c>
      <c r="J351">
        <v>7.93675</v>
      </c>
      <c r="K351" s="5">
        <v>2.41474961413677</v>
      </c>
      <c r="L351">
        <v>1.09684212070968</v>
      </c>
      <c r="O351">
        <v>0.0090816</v>
      </c>
      <c r="P351" s="6">
        <v>2.11034002818887</v>
      </c>
      <c r="Q351" s="4">
        <v>1.14424670047564</v>
      </c>
      <c r="R351" s="4"/>
      <c r="T351">
        <v>6375.247</v>
      </c>
      <c r="U351" s="7">
        <v>0.00300619944607636</v>
      </c>
      <c r="V351">
        <v>803.256622673009</v>
      </c>
      <c r="Y351">
        <v>0.0118565</v>
      </c>
      <c r="Z351" s="8">
        <v>1.61643520431831</v>
      </c>
      <c r="AA351">
        <v>1.49387343686018</v>
      </c>
      <c r="AD351" s="9">
        <v>1.293279</v>
      </c>
      <c r="AE351">
        <v>1.86715288359029</v>
      </c>
      <c r="AH351">
        <v>9.0158</v>
      </c>
      <c r="AI351" s="10">
        <v>2.1257419197409</v>
      </c>
      <c r="AJ351">
        <v>1.13595615333732</v>
      </c>
    </row>
    <row r="352" customFormat="1" spans="1:36">
      <c r="A352" s="1" t="s">
        <v>546</v>
      </c>
      <c r="B352" s="1">
        <v>191801712</v>
      </c>
      <c r="C352" s="2">
        <v>0.071976</v>
      </c>
      <c r="E352">
        <v>107.773268</v>
      </c>
      <c r="F352">
        <v>1779.677975</v>
      </c>
      <c r="G352" s="3">
        <v>1.779677975</v>
      </c>
      <c r="H352" s="4"/>
      <c r="I352" t="s">
        <v>546</v>
      </c>
      <c r="J352">
        <v>157.665</v>
      </c>
      <c r="K352" s="5">
        <v>1.21651420416706</v>
      </c>
      <c r="L352">
        <v>0.683558610746454</v>
      </c>
      <c r="O352">
        <v>0.139368</v>
      </c>
      <c r="P352" s="6">
        <v>1.37622490098157</v>
      </c>
      <c r="Q352" s="4">
        <v>0.883950147464561</v>
      </c>
      <c r="R352" s="4"/>
      <c r="T352">
        <v>620.27</v>
      </c>
      <c r="U352" s="7">
        <v>0.309222938397794</v>
      </c>
      <c r="V352">
        <v>3.93410078330638</v>
      </c>
      <c r="Y352">
        <v>0.204418</v>
      </c>
      <c r="Z352" s="8">
        <v>0.938281912551732</v>
      </c>
      <c r="AA352">
        <v>1.29653378999778</v>
      </c>
      <c r="AD352" s="9">
        <v>1.06215</v>
      </c>
      <c r="AE352">
        <v>1.145331830878</v>
      </c>
      <c r="AH352">
        <v>149.6203</v>
      </c>
      <c r="AI352" s="10">
        <v>1.28192305455877</v>
      </c>
      <c r="AJ352">
        <v>0.948975993403736</v>
      </c>
    </row>
    <row r="353" customFormat="1" spans="1:36">
      <c r="A353" s="1" t="s">
        <v>443</v>
      </c>
      <c r="B353" s="1">
        <v>61701012</v>
      </c>
      <c r="C353" s="2">
        <v>0.0734007</v>
      </c>
      <c r="E353">
        <v>3.908804</v>
      </c>
      <c r="F353">
        <v>15785.137755</v>
      </c>
      <c r="G353" s="3">
        <v>15.785137755</v>
      </c>
      <c r="H353" s="4"/>
      <c r="I353" t="s">
        <v>443</v>
      </c>
      <c r="J353">
        <v>2.5793</v>
      </c>
      <c r="K353" s="5">
        <v>23.9216112898849</v>
      </c>
      <c r="L353">
        <v>1.51545153809681</v>
      </c>
      <c r="O353">
        <v>0.0052704</v>
      </c>
      <c r="P353" s="6">
        <v>11.7070833333333</v>
      </c>
      <c r="Q353" s="4">
        <v>2.04334509363006</v>
      </c>
      <c r="R353" s="4"/>
      <c r="T353">
        <v>38.542</v>
      </c>
      <c r="U353" s="7">
        <v>1.60087727673707</v>
      </c>
      <c r="V353">
        <v>14.9428139417671</v>
      </c>
      <c r="Y353">
        <v>0.00375868</v>
      </c>
      <c r="Z353" s="8">
        <v>16.4156065427224</v>
      </c>
      <c r="AA353">
        <v>1.45724809056721</v>
      </c>
      <c r="AD353" s="9">
        <v>3.3369</v>
      </c>
      <c r="AE353">
        <v>7.16881275731513</v>
      </c>
      <c r="AH353">
        <v>4.7709</v>
      </c>
      <c r="AI353" s="10">
        <v>12.9327824938691</v>
      </c>
      <c r="AJ353">
        <v>1.84968789981778</v>
      </c>
    </row>
    <row r="354" customFormat="1" spans="1:36">
      <c r="A354" s="1" t="s">
        <v>209</v>
      </c>
      <c r="B354" s="1">
        <v>10437072</v>
      </c>
      <c r="C354" s="2">
        <v>0.0769709</v>
      </c>
      <c r="E354">
        <v>5.026337</v>
      </c>
      <c r="F354">
        <v>2076.476808</v>
      </c>
      <c r="G354" s="3">
        <v>2.076476808</v>
      </c>
      <c r="H354" s="4"/>
      <c r="I354" t="s">
        <v>209</v>
      </c>
      <c r="J354">
        <v>7.66554</v>
      </c>
      <c r="K354" s="5">
        <v>1.36155730711731</v>
      </c>
      <c r="L354">
        <v>0.655705520943775</v>
      </c>
      <c r="O354">
        <v>0.0043008</v>
      </c>
      <c r="P354" s="6">
        <v>2.42677455357143</v>
      </c>
      <c r="Q354" s="4">
        <v>0.561056363935222</v>
      </c>
      <c r="R354" s="4"/>
      <c r="T354">
        <v>22.015</v>
      </c>
      <c r="U354" s="7">
        <v>0.474089121053827</v>
      </c>
      <c r="V354">
        <v>2.87194379000044</v>
      </c>
      <c r="Y354">
        <v>0.00409793</v>
      </c>
      <c r="Z354" s="8">
        <v>2.54691319763881</v>
      </c>
      <c r="AA354">
        <v>0.5345911703546</v>
      </c>
      <c r="AD354" s="9">
        <v>1.031442</v>
      </c>
      <c r="AE354">
        <v>1.32005222505706</v>
      </c>
      <c r="AH354">
        <v>7.2223</v>
      </c>
      <c r="AI354" s="10">
        <v>1.44511748335018</v>
      </c>
      <c r="AJ354">
        <v>0.942177589576207</v>
      </c>
    </row>
    <row r="355" customFormat="1" spans="1:36">
      <c r="A355" s="1" t="s">
        <v>445</v>
      </c>
      <c r="B355" s="1">
        <v>62153632</v>
      </c>
      <c r="C355" s="2">
        <v>0.0781043</v>
      </c>
      <c r="E355">
        <v>7.293063</v>
      </c>
      <c r="F355">
        <v>8522.294128</v>
      </c>
      <c r="G355" s="3">
        <v>8.522294128</v>
      </c>
      <c r="H355" s="4"/>
      <c r="I355" t="s">
        <v>445</v>
      </c>
      <c r="J355">
        <v>6.08097</v>
      </c>
      <c r="K355" s="5">
        <v>10.2210061881575</v>
      </c>
      <c r="L355">
        <v>1.19932567858417</v>
      </c>
      <c r="O355">
        <v>0.0096928</v>
      </c>
      <c r="P355" s="6">
        <v>6.41235061076263</v>
      </c>
      <c r="Q355" s="4">
        <v>1.5939562273782</v>
      </c>
      <c r="R355" s="4"/>
      <c r="T355">
        <v>33.104</v>
      </c>
      <c r="U355" s="7">
        <v>1.87752634122765</v>
      </c>
      <c r="V355">
        <v>5.44386833021705</v>
      </c>
      <c r="Y355">
        <v>0.00261949</v>
      </c>
      <c r="Z355" s="8">
        <v>23.7273789936209</v>
      </c>
      <c r="AA355">
        <v>0.4307684464814</v>
      </c>
      <c r="AD355" s="9">
        <v>2.840853</v>
      </c>
      <c r="AE355">
        <v>3.59786521448223</v>
      </c>
      <c r="AH355">
        <v>15.8715</v>
      </c>
      <c r="AI355" s="10">
        <v>3.91605279904231</v>
      </c>
      <c r="AJ355">
        <v>2.61002767650556</v>
      </c>
    </row>
    <row r="356" customFormat="1" spans="1:36">
      <c r="A356" s="1" t="s">
        <v>166</v>
      </c>
      <c r="B356" s="1">
        <v>7134236</v>
      </c>
      <c r="C356" s="2">
        <v>0.0785204</v>
      </c>
      <c r="E356">
        <v>1.905958</v>
      </c>
      <c r="F356">
        <v>3743.122938</v>
      </c>
      <c r="G356" s="3">
        <v>3.743122938</v>
      </c>
      <c r="H356" s="4"/>
      <c r="I356" t="s">
        <v>166</v>
      </c>
      <c r="J356">
        <v>1.20268</v>
      </c>
      <c r="K356" s="5">
        <v>5.93194864801942</v>
      </c>
      <c r="L356">
        <v>1.58475923614439</v>
      </c>
      <c r="O356">
        <v>0.0016256</v>
      </c>
      <c r="P356" s="6">
        <v>4.38867864173228</v>
      </c>
      <c r="Q356" s="4">
        <v>1.35164798616423</v>
      </c>
      <c r="R356" s="4"/>
      <c r="T356">
        <v>7.985</v>
      </c>
      <c r="U356" s="7">
        <v>0.893454727614277</v>
      </c>
      <c r="V356">
        <v>6.63933880999102</v>
      </c>
      <c r="Y356">
        <v>0.00318729</v>
      </c>
      <c r="Z356" s="8">
        <v>2.23833915332461</v>
      </c>
      <c r="AA356">
        <v>2.65015631755746</v>
      </c>
      <c r="AD356" s="9">
        <v>2.072661</v>
      </c>
      <c r="AE356">
        <v>2.86199655805721</v>
      </c>
      <c r="AH356">
        <v>1.6788</v>
      </c>
      <c r="AI356" s="10">
        <v>4.24960447939004</v>
      </c>
      <c r="AJ356">
        <v>1.39588252901853</v>
      </c>
    </row>
    <row r="357" customFormat="1" spans="1:36">
      <c r="A357" s="1" t="s">
        <v>165</v>
      </c>
      <c r="B357" s="1">
        <v>7134236</v>
      </c>
      <c r="C357" s="2">
        <v>0.0785204</v>
      </c>
      <c r="E357">
        <v>1.84549</v>
      </c>
      <c r="F357">
        <v>3865.768677</v>
      </c>
      <c r="G357" s="3">
        <v>3.865768677</v>
      </c>
      <c r="H357" s="4"/>
      <c r="I357" t="s">
        <v>165</v>
      </c>
      <c r="J357">
        <v>1.04612</v>
      </c>
      <c r="K357" s="5">
        <v>6.81971093182427</v>
      </c>
      <c r="L357">
        <v>1.76412804325287</v>
      </c>
      <c r="O357">
        <v>0.0016224</v>
      </c>
      <c r="P357" s="6">
        <v>4.39733481262327</v>
      </c>
      <c r="Q357" s="4">
        <v>1.55087370473751</v>
      </c>
      <c r="R357" s="4"/>
      <c r="T357">
        <v>7.985</v>
      </c>
      <c r="U357" s="7">
        <v>0.893454727614277</v>
      </c>
      <c r="V357">
        <v>7.63296753718503</v>
      </c>
      <c r="Y357">
        <v>0.00316948</v>
      </c>
      <c r="Z357" s="8">
        <v>2.25091686964423</v>
      </c>
      <c r="AA357">
        <v>3.02974802125951</v>
      </c>
      <c r="AD357" s="9">
        <v>2.095443</v>
      </c>
      <c r="AE357">
        <v>3.25454375605744</v>
      </c>
      <c r="AH357">
        <v>1.6668</v>
      </c>
      <c r="AI357" s="10">
        <v>4.28019918406527</v>
      </c>
      <c r="AJ357">
        <v>1.59331625434941</v>
      </c>
    </row>
    <row r="358" customFormat="1" spans="1:36">
      <c r="A358" s="1" t="s">
        <v>85</v>
      </c>
      <c r="B358" s="1">
        <v>3127604</v>
      </c>
      <c r="C358" s="2">
        <v>0.0848134</v>
      </c>
      <c r="E358">
        <v>2.147109</v>
      </c>
      <c r="F358">
        <v>1456.657906</v>
      </c>
      <c r="G358" s="3">
        <v>1.456657906</v>
      </c>
      <c r="H358" s="4"/>
      <c r="I358" t="s">
        <v>85</v>
      </c>
      <c r="J358">
        <v>1.67735</v>
      </c>
      <c r="K358" s="5">
        <v>1.86461024830834</v>
      </c>
      <c r="L358">
        <v>1.28006050056639</v>
      </c>
      <c r="O358">
        <v>0.0016176</v>
      </c>
      <c r="P358" s="6">
        <v>1.93348417408506</v>
      </c>
      <c r="Q358" s="4">
        <v>0.964378334873461</v>
      </c>
      <c r="R358" s="4"/>
      <c r="T358">
        <v>9.441</v>
      </c>
      <c r="U358" s="7">
        <v>0.331278889948099</v>
      </c>
      <c r="V358">
        <v>5.62852117924107</v>
      </c>
      <c r="Y358">
        <v>0.00373082</v>
      </c>
      <c r="Z358" s="8">
        <v>0.838315437356935</v>
      </c>
      <c r="AA358">
        <v>2.22423465585596</v>
      </c>
      <c r="AD358" s="9">
        <v>1.094448</v>
      </c>
      <c r="AE358">
        <v>1.7036992605481</v>
      </c>
      <c r="AH358">
        <v>2.2658</v>
      </c>
      <c r="AI358" s="10">
        <v>1.38035307617618</v>
      </c>
      <c r="AJ358">
        <v>1.35082123587802</v>
      </c>
    </row>
    <row r="359" customFormat="1" spans="1:36">
      <c r="A359" s="1" t="s">
        <v>86</v>
      </c>
      <c r="B359" s="1">
        <v>3127604</v>
      </c>
      <c r="C359" s="2">
        <v>0.0848134</v>
      </c>
      <c r="E359">
        <v>2.113758</v>
      </c>
      <c r="F359">
        <v>1479.641633</v>
      </c>
      <c r="G359" s="3">
        <v>1.479641633</v>
      </c>
      <c r="H359" s="4"/>
      <c r="I359" t="s">
        <v>86</v>
      </c>
      <c r="J359">
        <v>1.72151</v>
      </c>
      <c r="K359" s="5">
        <v>1.81677945524569</v>
      </c>
      <c r="L359">
        <v>1.22785099765146</v>
      </c>
      <c r="O359">
        <v>0.0016016</v>
      </c>
      <c r="P359" s="6">
        <v>1.9527997002997</v>
      </c>
      <c r="Q359" s="4">
        <v>0.930346033424145</v>
      </c>
      <c r="R359" s="4"/>
      <c r="T359">
        <v>9.391</v>
      </c>
      <c r="U359" s="7">
        <v>0.333042700457885</v>
      </c>
      <c r="V359">
        <v>5.45509465527357</v>
      </c>
      <c r="Y359">
        <v>0.00371201</v>
      </c>
      <c r="Z359" s="8">
        <v>0.842563462921705</v>
      </c>
      <c r="AA359">
        <v>2.15625235984688</v>
      </c>
      <c r="AD359" s="9">
        <v>1.103202</v>
      </c>
      <c r="AE359">
        <v>1.64682393183269</v>
      </c>
      <c r="AH359">
        <v>2.2489</v>
      </c>
      <c r="AI359" s="10">
        <v>1.39072613277602</v>
      </c>
      <c r="AJ359">
        <v>1.30635314346126</v>
      </c>
    </row>
    <row r="360" customFormat="1" spans="1:36">
      <c r="A360" s="1" t="s">
        <v>657</v>
      </c>
      <c r="B360" s="1">
        <v>1385249962</v>
      </c>
      <c r="C360" s="2">
        <v>0.0884587</v>
      </c>
      <c r="E360">
        <v>135.337515</v>
      </c>
      <c r="F360">
        <v>10235.520868</v>
      </c>
      <c r="G360" s="3">
        <v>10.235520868</v>
      </c>
      <c r="H360" s="4"/>
      <c r="I360" t="s">
        <v>657</v>
      </c>
      <c r="J360">
        <v>248.396</v>
      </c>
      <c r="K360" s="5">
        <v>5.57678047150518</v>
      </c>
      <c r="L360">
        <v>0.544845791770133</v>
      </c>
      <c r="O360">
        <v>0.180264</v>
      </c>
      <c r="P360" s="6">
        <v>7.68456243065726</v>
      </c>
      <c r="Q360" s="4">
        <v>0.725712169278088</v>
      </c>
      <c r="R360" s="4"/>
      <c r="T360">
        <v>651.282</v>
      </c>
      <c r="U360" s="7">
        <v>2.12695877054793</v>
      </c>
      <c r="V360">
        <v>2.62195043398444</v>
      </c>
      <c r="Y360">
        <v>0.00144688</v>
      </c>
      <c r="Z360" s="8">
        <v>957.404872553356</v>
      </c>
      <c r="AA360">
        <v>0.00582489251034638</v>
      </c>
      <c r="AD360" s="9">
        <v>2.482134</v>
      </c>
      <c r="AE360">
        <v>2.24676849497456</v>
      </c>
      <c r="AH360">
        <v>437.2982</v>
      </c>
      <c r="AI360" s="10">
        <v>3.1677467732545</v>
      </c>
      <c r="AJ360">
        <v>1.76048809159568</v>
      </c>
    </row>
    <row r="361" customFormat="1" spans="1:36">
      <c r="A361" s="1" t="s">
        <v>290</v>
      </c>
      <c r="B361" s="1">
        <v>17999304</v>
      </c>
      <c r="C361" s="2">
        <v>0.0898876</v>
      </c>
      <c r="E361">
        <v>2.436161</v>
      </c>
      <c r="F361">
        <v>7388.389327</v>
      </c>
      <c r="G361" s="3">
        <v>7.388389327</v>
      </c>
      <c r="H361" s="4"/>
      <c r="I361" t="s">
        <v>290</v>
      </c>
      <c r="J361">
        <v>1.48349</v>
      </c>
      <c r="K361" s="5">
        <v>12.1330807757383</v>
      </c>
      <c r="L361">
        <v>1.64218211016566</v>
      </c>
      <c r="O361">
        <v>0.0022384</v>
      </c>
      <c r="P361" s="6">
        <v>8.04114724803431</v>
      </c>
      <c r="Q361" s="4">
        <v>1.50887434360865</v>
      </c>
      <c r="R361" s="4"/>
      <c r="T361">
        <v>12.546</v>
      </c>
      <c r="U361" s="7">
        <v>1.43466475370636</v>
      </c>
      <c r="V361">
        <v>8.4570843079495</v>
      </c>
      <c r="Y361">
        <v>0.00345463</v>
      </c>
      <c r="Z361" s="8">
        <v>5.21019732938115</v>
      </c>
      <c r="AA361">
        <v>2.32871809044887</v>
      </c>
      <c r="AD361" s="9">
        <v>2.906187</v>
      </c>
      <c r="AE361">
        <v>4.17491399408857</v>
      </c>
      <c r="AH361">
        <v>2.7316</v>
      </c>
      <c r="AI361" s="10">
        <v>6.5892897935276</v>
      </c>
      <c r="AJ361">
        <v>1.84133361195559</v>
      </c>
    </row>
    <row r="362" customFormat="1" spans="1:36">
      <c r="A362" s="1" t="s">
        <v>36</v>
      </c>
      <c r="B362" s="1">
        <v>1551124</v>
      </c>
      <c r="C362" s="2">
        <v>0.0909091</v>
      </c>
      <c r="E362">
        <v>1.376252</v>
      </c>
      <c r="F362">
        <v>1127.064193</v>
      </c>
      <c r="G362" s="3">
        <v>1.127064193</v>
      </c>
      <c r="H362" s="4"/>
      <c r="I362" t="s">
        <v>36</v>
      </c>
      <c r="J362">
        <v>0.795487</v>
      </c>
      <c r="K362" s="5">
        <v>1.9499049010229</v>
      </c>
      <c r="L362">
        <v>1.73007439428332</v>
      </c>
      <c r="O362">
        <v>0.0008704</v>
      </c>
      <c r="P362" s="6">
        <v>1.78208180147059</v>
      </c>
      <c r="Q362" s="4">
        <v>1.09417250061912</v>
      </c>
      <c r="R362" s="4"/>
      <c r="T362">
        <v>4.763</v>
      </c>
      <c r="U362" s="7">
        <v>0.325661137938274</v>
      </c>
      <c r="V362">
        <v>5.98752713746422</v>
      </c>
      <c r="Y362">
        <v>0.0032753</v>
      </c>
      <c r="Z362" s="8">
        <v>0.473582267273227</v>
      </c>
      <c r="AA362">
        <v>4.11735201203791</v>
      </c>
      <c r="AD362" s="9">
        <v>1.13958</v>
      </c>
      <c r="AE362">
        <v>1.71107329105714</v>
      </c>
      <c r="AH362">
        <v>1.2764</v>
      </c>
      <c r="AI362" s="10">
        <v>1.21523346913193</v>
      </c>
      <c r="AJ362">
        <v>1.60455167714872</v>
      </c>
    </row>
    <row r="363" customFormat="1" spans="1:36">
      <c r="A363" s="1" t="s">
        <v>37</v>
      </c>
      <c r="B363" s="1">
        <v>1551124</v>
      </c>
      <c r="C363" s="2">
        <v>0.0909091</v>
      </c>
      <c r="E363">
        <v>1.413312</v>
      </c>
      <c r="F363">
        <v>1097.510038</v>
      </c>
      <c r="G363" s="3">
        <v>1.097510038</v>
      </c>
      <c r="H363" s="4"/>
      <c r="I363" t="s">
        <v>37</v>
      </c>
      <c r="J363">
        <v>0.801447</v>
      </c>
      <c r="K363" s="5">
        <v>1.93540433740472</v>
      </c>
      <c r="L363">
        <v>1.76345023771411</v>
      </c>
      <c r="O363">
        <v>0.0008704</v>
      </c>
      <c r="P363" s="6">
        <v>1.78208180147059</v>
      </c>
      <c r="Q363" s="4">
        <v>1.08603563304872</v>
      </c>
      <c r="R363" s="4"/>
      <c r="T363">
        <v>4.744</v>
      </c>
      <c r="U363" s="7">
        <v>0.326965430016863</v>
      </c>
      <c r="V363">
        <v>5.91929347792181</v>
      </c>
      <c r="Y363">
        <v>0.00330809</v>
      </c>
      <c r="Z363" s="8">
        <v>0.468888089501797</v>
      </c>
      <c r="AA363">
        <v>4.12764661917756</v>
      </c>
      <c r="AD363" s="9">
        <v>1.118682</v>
      </c>
      <c r="AE363">
        <v>1.73007551511933</v>
      </c>
      <c r="AH363">
        <v>1.2597</v>
      </c>
      <c r="AI363" s="10">
        <v>1.2313439707867</v>
      </c>
      <c r="AJ363">
        <v>1.57178203923653</v>
      </c>
    </row>
    <row r="364" customFormat="1" spans="1:36">
      <c r="A364" s="1" t="s">
        <v>441</v>
      </c>
      <c r="B364" s="1">
        <v>61431294</v>
      </c>
      <c r="C364" s="2">
        <v>0.0913733</v>
      </c>
      <c r="E364">
        <v>22.842644</v>
      </c>
      <c r="F364">
        <v>2689.325006</v>
      </c>
      <c r="G364" s="3">
        <v>2.689325006</v>
      </c>
      <c r="H364" s="4"/>
      <c r="I364" t="s">
        <v>441</v>
      </c>
      <c r="J364">
        <v>30.624</v>
      </c>
      <c r="K364" s="5">
        <v>2.00598530564263</v>
      </c>
      <c r="L364">
        <v>0.745906612688014</v>
      </c>
      <c r="O364">
        <v>0.052624</v>
      </c>
      <c r="P364" s="6">
        <v>1.16736268622682</v>
      </c>
      <c r="Q364" s="4">
        <v>1.7183908045977</v>
      </c>
      <c r="R364" s="4"/>
      <c r="T364">
        <v>164.285</v>
      </c>
      <c r="U364" s="7">
        <v>0.37393124144018</v>
      </c>
      <c r="V364">
        <v>5.36458333333333</v>
      </c>
      <c r="Y364">
        <v>0.057765</v>
      </c>
      <c r="Z364" s="8">
        <v>1.06346912490262</v>
      </c>
      <c r="AA364">
        <v>1.88626567398119</v>
      </c>
      <c r="AD364" s="9">
        <v>0.964791</v>
      </c>
      <c r="AE364">
        <v>2.07919156132534</v>
      </c>
      <c r="AH364">
        <v>57.5472</v>
      </c>
      <c r="AI364" s="10">
        <v>1.0674940570523</v>
      </c>
      <c r="AJ364">
        <v>1.87915360501567</v>
      </c>
    </row>
    <row r="365" customFormat="1" spans="1:36">
      <c r="A365" s="1" t="s">
        <v>130</v>
      </c>
      <c r="B365" s="1">
        <v>5209580</v>
      </c>
      <c r="C365" s="2">
        <v>0.0955726</v>
      </c>
      <c r="E365">
        <v>7.684117</v>
      </c>
      <c r="F365">
        <v>677.967293</v>
      </c>
      <c r="G365" s="3">
        <v>0.677967293</v>
      </c>
      <c r="H365" s="4"/>
      <c r="I365" t="s">
        <v>130</v>
      </c>
      <c r="J365">
        <v>7.32533</v>
      </c>
      <c r="K365" s="5">
        <v>0.711173421538688</v>
      </c>
      <c r="L365">
        <v>1.04897895352997</v>
      </c>
      <c r="O365">
        <v>0.0101664</v>
      </c>
      <c r="P365" s="6">
        <v>0.51243114573497</v>
      </c>
      <c r="Q365" s="4">
        <v>1.38784191292406</v>
      </c>
      <c r="R365" s="4"/>
      <c r="T365">
        <v>21.456</v>
      </c>
      <c r="U365" s="7">
        <v>0.242802945563013</v>
      </c>
      <c r="V365">
        <v>2.92901480206352</v>
      </c>
      <c r="Y365">
        <v>0.0085145</v>
      </c>
      <c r="Z365" s="8">
        <v>0.611848023959129</v>
      </c>
      <c r="AA365">
        <v>1.16233671384088</v>
      </c>
      <c r="AD365" s="9">
        <v>0.465192</v>
      </c>
      <c r="AE365">
        <v>1.52877397190555</v>
      </c>
      <c r="AH365">
        <v>13.8985</v>
      </c>
      <c r="AI365" s="10">
        <v>0.374830377378854</v>
      </c>
      <c r="AJ365">
        <v>1.89732066678225</v>
      </c>
    </row>
    <row r="366" customFormat="1" spans="1:36">
      <c r="A366" s="1" t="s">
        <v>419</v>
      </c>
      <c r="B366" s="1">
        <v>51802184</v>
      </c>
      <c r="C366" s="2">
        <v>0.095743</v>
      </c>
      <c r="E366">
        <v>19.109365</v>
      </c>
      <c r="F366">
        <v>2710.827091</v>
      </c>
      <c r="G366" s="3">
        <v>2.710827091</v>
      </c>
      <c r="H366" s="4"/>
      <c r="I366" t="s">
        <v>419</v>
      </c>
      <c r="J366">
        <v>25.4311</v>
      </c>
      <c r="K366" s="5">
        <v>2.03696198748776</v>
      </c>
      <c r="L366">
        <v>0.751417157608656</v>
      </c>
      <c r="O366">
        <v>0.02356</v>
      </c>
      <c r="P366" s="6">
        <v>2.19873446519525</v>
      </c>
      <c r="Q366" s="4">
        <v>0.926424731922725</v>
      </c>
      <c r="R366" s="4"/>
      <c r="T366">
        <v>58.177</v>
      </c>
      <c r="U366" s="7">
        <v>0.890423775718927</v>
      </c>
      <c r="V366">
        <v>2.2876320725411</v>
      </c>
      <c r="Y366">
        <v>0.00879123</v>
      </c>
      <c r="Z366" s="8">
        <v>5.89248421438183</v>
      </c>
      <c r="AA366">
        <v>0.345688153481367</v>
      </c>
      <c r="AD366" s="9">
        <v>1.257375</v>
      </c>
      <c r="AE366">
        <v>1.62001152201035</v>
      </c>
      <c r="AH366">
        <v>49.107</v>
      </c>
      <c r="AI366" s="10">
        <v>1.05488390657136</v>
      </c>
      <c r="AJ366">
        <v>1.93098214391041</v>
      </c>
    </row>
    <row r="367" customFormat="1" spans="1:36">
      <c r="A367" s="1" t="s">
        <v>154</v>
      </c>
      <c r="B367" s="1">
        <v>6408660</v>
      </c>
      <c r="C367" s="2">
        <v>0.0992634</v>
      </c>
      <c r="E367">
        <v>4.680097</v>
      </c>
      <c r="F367">
        <v>1369.343438</v>
      </c>
      <c r="G367" s="3">
        <v>1.369343438</v>
      </c>
      <c r="H367" s="4"/>
      <c r="I367" t="s">
        <v>154</v>
      </c>
      <c r="J367">
        <v>9.74514</v>
      </c>
      <c r="K367" s="5">
        <v>0.657626262937218</v>
      </c>
      <c r="L367">
        <v>0.48024932583583</v>
      </c>
      <c r="O367">
        <v>0.0051104</v>
      </c>
      <c r="P367" s="6">
        <v>1.25404273638071</v>
      </c>
      <c r="Q367" s="4">
        <v>0.524404985459419</v>
      </c>
      <c r="R367" s="4"/>
      <c r="T367">
        <v>10.113</v>
      </c>
      <c r="U367" s="7">
        <v>0.633705132008306</v>
      </c>
      <c r="V367">
        <v>1.03774804671867</v>
      </c>
      <c r="Y367">
        <v>0.00270759</v>
      </c>
      <c r="Z367" s="8">
        <v>2.36692409116594</v>
      </c>
      <c r="AA367">
        <v>0.277840031030852</v>
      </c>
      <c r="AD367" s="9">
        <v>1.101846</v>
      </c>
      <c r="AE367">
        <v>0.596840450423397</v>
      </c>
      <c r="AH367">
        <v>4.5452</v>
      </c>
      <c r="AI367" s="10">
        <v>1.40998415911291</v>
      </c>
      <c r="AJ367">
        <v>0.466406844847791</v>
      </c>
    </row>
    <row r="368" customFormat="1" spans="1:36">
      <c r="A368" s="1" t="s">
        <v>538</v>
      </c>
      <c r="B368" s="1">
        <v>167635182</v>
      </c>
      <c r="C368" s="2">
        <v>0.103185</v>
      </c>
      <c r="E368">
        <v>21.650646</v>
      </c>
      <c r="F368">
        <v>7742.73333</v>
      </c>
      <c r="G368" s="3">
        <v>7.74273333</v>
      </c>
      <c r="H368" s="4"/>
      <c r="I368" t="s">
        <v>538</v>
      </c>
      <c r="J368">
        <v>19.9736</v>
      </c>
      <c r="K368" s="5">
        <v>8.39283764569231</v>
      </c>
      <c r="L368">
        <v>1.0839631546102</v>
      </c>
      <c r="O368">
        <v>0.031304</v>
      </c>
      <c r="P368" s="6">
        <v>5.35507225913621</v>
      </c>
      <c r="Q368" s="4">
        <v>1.56726879480915</v>
      </c>
      <c r="R368" s="4"/>
      <c r="T368">
        <v>266.279</v>
      </c>
      <c r="U368" s="7">
        <v>0.629547136649905</v>
      </c>
      <c r="V368">
        <v>13.3315476428886</v>
      </c>
      <c r="Y368">
        <v>0.0310569</v>
      </c>
      <c r="Z368" s="8">
        <v>5.39767916308453</v>
      </c>
      <c r="AA368">
        <v>1.55489746465334</v>
      </c>
      <c r="AD368" s="9">
        <v>2.686236</v>
      </c>
      <c r="AE368">
        <v>3.12438581185432</v>
      </c>
      <c r="AH368">
        <v>33.2235</v>
      </c>
      <c r="AI368" s="10">
        <v>5.04568097882523</v>
      </c>
      <c r="AJ368">
        <v>1.66337064925702</v>
      </c>
    </row>
    <row r="369" customFormat="1" spans="1:36">
      <c r="A369" s="1" t="s">
        <v>566</v>
      </c>
      <c r="B369" s="1">
        <v>234252916</v>
      </c>
      <c r="C369" s="2">
        <v>0.103839</v>
      </c>
      <c r="E369">
        <v>165.867283</v>
      </c>
      <c r="F369">
        <v>1412.291272</v>
      </c>
      <c r="G369" s="3">
        <v>1.412291272</v>
      </c>
      <c r="H369" s="4"/>
      <c r="I369" t="s">
        <v>566</v>
      </c>
      <c r="J369">
        <v>208.84</v>
      </c>
      <c r="K369" s="5">
        <v>1.12168605631105</v>
      </c>
      <c r="L369">
        <v>0.794231387355803</v>
      </c>
      <c r="O369">
        <v>0.147896</v>
      </c>
      <c r="P369" s="6">
        <v>1.58390298588197</v>
      </c>
      <c r="Q369" s="4">
        <v>0.708178509864011</v>
      </c>
      <c r="R369" s="4"/>
      <c r="T369">
        <v>1896.343</v>
      </c>
      <c r="U369" s="7">
        <v>0.123528768793409</v>
      </c>
      <c r="V369">
        <v>9.08036295728788</v>
      </c>
      <c r="Y369">
        <v>0.195</v>
      </c>
      <c r="Z369" s="8">
        <v>1.20129700512821</v>
      </c>
      <c r="AA369">
        <v>0.933729170656962</v>
      </c>
      <c r="AD369" s="9">
        <v>0.931575</v>
      </c>
      <c r="AE369">
        <v>1.20407487997322</v>
      </c>
      <c r="AH369">
        <v>196.3052</v>
      </c>
      <c r="AI369" s="10">
        <v>1.19330978496749</v>
      </c>
      <c r="AJ369">
        <v>0.939978931239226</v>
      </c>
    </row>
    <row r="370" customFormat="1" spans="1:36">
      <c r="A370" s="1" t="s">
        <v>562</v>
      </c>
      <c r="B370" s="1">
        <v>223678350</v>
      </c>
      <c r="C370" s="2">
        <v>0.105613</v>
      </c>
      <c r="E370">
        <v>160.335864</v>
      </c>
      <c r="F370">
        <v>1395.061241</v>
      </c>
      <c r="G370" s="3">
        <v>1.395061241</v>
      </c>
      <c r="H370" s="4"/>
      <c r="I370" t="s">
        <v>562</v>
      </c>
      <c r="J370">
        <v>200.75</v>
      </c>
      <c r="K370" s="5">
        <v>1.11421344956413</v>
      </c>
      <c r="L370">
        <v>0.798684256158855</v>
      </c>
      <c r="O370">
        <v>0.1404256</v>
      </c>
      <c r="P370" s="6">
        <v>1.59286020497687</v>
      </c>
      <c r="Q370" s="4">
        <v>0.699504856787049</v>
      </c>
      <c r="R370" s="4"/>
      <c r="T370">
        <v>2452.902</v>
      </c>
      <c r="U370" s="7">
        <v>0.0911892729509781</v>
      </c>
      <c r="V370">
        <v>12.2186899128269</v>
      </c>
      <c r="Y370">
        <v>0.187789</v>
      </c>
      <c r="Z370" s="8">
        <v>1.19111529429306</v>
      </c>
      <c r="AA370">
        <v>0.935437110834371</v>
      </c>
      <c r="AD370" s="9">
        <v>0.968049</v>
      </c>
      <c r="AE370">
        <v>1.15098868917186</v>
      </c>
      <c r="AH370">
        <v>194.0327</v>
      </c>
      <c r="AI370" s="10">
        <v>1.15278687561426</v>
      </c>
      <c r="AJ370">
        <v>0.96653897882939</v>
      </c>
    </row>
    <row r="371" customFormat="1" spans="1:36">
      <c r="A371" s="1" t="s">
        <v>550</v>
      </c>
      <c r="B371" s="1">
        <v>195901372</v>
      </c>
      <c r="C371" s="2">
        <v>0.106111</v>
      </c>
      <c r="E371">
        <v>21.052334</v>
      </c>
      <c r="F371">
        <v>9305.446799</v>
      </c>
      <c r="G371" s="3">
        <v>9.305446799</v>
      </c>
      <c r="H371" s="4"/>
      <c r="I371" t="s">
        <v>550</v>
      </c>
      <c r="J371">
        <v>18.0096</v>
      </c>
      <c r="K371" s="5">
        <v>10.8776081645345</v>
      </c>
      <c r="L371">
        <v>1.16895065862968</v>
      </c>
      <c r="O371">
        <v>0.0213776</v>
      </c>
      <c r="P371" s="6">
        <v>9.16386179926652</v>
      </c>
      <c r="Q371" s="4">
        <v>1.18701137171286</v>
      </c>
      <c r="R371" s="4"/>
      <c r="T371">
        <v>93.114</v>
      </c>
      <c r="U371" s="7">
        <v>2.10388740683463</v>
      </c>
      <c r="V371">
        <v>5.17024253731343</v>
      </c>
      <c r="Y371">
        <v>0.000989811</v>
      </c>
      <c r="Z371" s="8">
        <v>197.917958074824</v>
      </c>
      <c r="AA371">
        <v>0.0549601878997868</v>
      </c>
      <c r="AD371" s="9">
        <v>3.01149</v>
      </c>
      <c r="AE371">
        <v>3.61203529300594</v>
      </c>
      <c r="AH371">
        <v>49.7956</v>
      </c>
      <c r="AI371" s="10">
        <v>3.93411008201528</v>
      </c>
      <c r="AJ371">
        <v>2.76494758351102</v>
      </c>
    </row>
    <row r="372" customFormat="1" spans="1:36">
      <c r="A372" s="1" t="s">
        <v>32</v>
      </c>
      <c r="B372" s="1">
        <v>1199210</v>
      </c>
      <c r="C372" s="2">
        <v>0.10926</v>
      </c>
      <c r="E372">
        <v>2.105535</v>
      </c>
      <c r="F372">
        <v>569.551129</v>
      </c>
      <c r="G372" s="3">
        <v>0.569551129</v>
      </c>
      <c r="H372" s="4"/>
      <c r="I372" t="s">
        <v>32</v>
      </c>
      <c r="J372">
        <v>0.633077</v>
      </c>
      <c r="K372" s="5">
        <v>1.89425614893607</v>
      </c>
      <c r="L372">
        <v>3.32587550526314</v>
      </c>
      <c r="O372">
        <v>0.000608</v>
      </c>
      <c r="P372" s="6">
        <v>1.97238486842105</v>
      </c>
      <c r="Q372" s="4">
        <v>0.96038870469153</v>
      </c>
      <c r="R372" s="4"/>
      <c r="T372">
        <v>1.396</v>
      </c>
      <c r="U372" s="7">
        <v>0.859032951289398</v>
      </c>
      <c r="V372">
        <v>2.20510301274568</v>
      </c>
      <c r="Y372">
        <v>0.00178409</v>
      </c>
      <c r="Z372" s="8">
        <v>0.672169004926882</v>
      </c>
      <c r="AA372">
        <v>2.81812480946236</v>
      </c>
      <c r="AD372" s="9">
        <v>1.13505</v>
      </c>
      <c r="AE372">
        <v>1.66887463013618</v>
      </c>
      <c r="AH372">
        <v>0.9</v>
      </c>
      <c r="AI372" s="10">
        <v>1.33245555555556</v>
      </c>
      <c r="AJ372">
        <v>1.42162801681312</v>
      </c>
    </row>
    <row r="373" customFormat="1" spans="1:36">
      <c r="A373" s="1" t="s">
        <v>624</v>
      </c>
      <c r="B373" s="1">
        <v>16489419010</v>
      </c>
      <c r="C373" s="2">
        <v>0.1093</v>
      </c>
      <c r="E373">
        <v>2088.469376</v>
      </c>
      <c r="F373">
        <v>7895.456453</v>
      </c>
      <c r="G373" s="3">
        <v>7.895456453</v>
      </c>
      <c r="H373" s="4"/>
      <c r="I373" t="s">
        <v>624</v>
      </c>
      <c r="J373">
        <v>2366.15</v>
      </c>
      <c r="K373" s="5">
        <v>6.96888152061365</v>
      </c>
      <c r="L373">
        <v>0.88264453893172</v>
      </c>
      <c r="O373">
        <v>1.7314032</v>
      </c>
      <c r="P373" s="6">
        <v>9.52373139312668</v>
      </c>
      <c r="Q373" s="4">
        <v>0.731738562643957</v>
      </c>
      <c r="R373" s="4"/>
      <c r="T373">
        <v>6602.287</v>
      </c>
      <c r="U373" s="7">
        <v>2.49753138722991</v>
      </c>
      <c r="V373">
        <v>2.79030788411555</v>
      </c>
      <c r="Y373">
        <v>2.54821</v>
      </c>
      <c r="Z373" s="8">
        <v>6.47098120249116</v>
      </c>
      <c r="AA373">
        <v>1.07694355810071</v>
      </c>
      <c r="AD373" s="9">
        <v>0.762396</v>
      </c>
      <c r="AE373">
        <v>9.14076348854618</v>
      </c>
      <c r="AH373">
        <v>58843.45</v>
      </c>
      <c r="AI373" s="10">
        <v>0.280225224897588</v>
      </c>
      <c r="AJ373">
        <v>24.8688586945037</v>
      </c>
    </row>
    <row r="374" customFormat="1" spans="1:36">
      <c r="A374" s="1" t="s">
        <v>195</v>
      </c>
      <c r="B374" s="1">
        <v>9791210</v>
      </c>
      <c r="C374" s="2">
        <v>0.111185</v>
      </c>
      <c r="E374">
        <v>3.586589</v>
      </c>
      <c r="F374">
        <v>2729.950195</v>
      </c>
      <c r="G374" s="3">
        <v>2.729950195</v>
      </c>
      <c r="H374" s="4"/>
      <c r="I374" t="s">
        <v>195</v>
      </c>
      <c r="J374">
        <v>2.76651</v>
      </c>
      <c r="K374" s="5">
        <v>3.53919197834094</v>
      </c>
      <c r="L374">
        <v>1.29643096962835</v>
      </c>
      <c r="O374">
        <v>0.0057248</v>
      </c>
      <c r="P374" s="6">
        <v>1.71031477082169</v>
      </c>
      <c r="Q374" s="4">
        <v>2.06932199775168</v>
      </c>
      <c r="R374" s="4"/>
      <c r="T374">
        <v>15.923</v>
      </c>
      <c r="U374" s="7">
        <v>0.614909878791685</v>
      </c>
      <c r="V374">
        <v>5.75562712587339</v>
      </c>
      <c r="Y374">
        <v>0.00599573</v>
      </c>
      <c r="Z374" s="8">
        <v>1.63303050671061</v>
      </c>
      <c r="AA374">
        <v>2.16725404932568</v>
      </c>
      <c r="AD374" s="9">
        <v>1.281459</v>
      </c>
      <c r="AE374">
        <v>2.7618456605642</v>
      </c>
      <c r="AH374">
        <v>4.8533</v>
      </c>
      <c r="AI374" s="10">
        <v>2.01743349885645</v>
      </c>
      <c r="AJ374">
        <v>1.75430415939216</v>
      </c>
    </row>
    <row r="375" customFormat="1" spans="1:36">
      <c r="A375" s="1" t="s">
        <v>317</v>
      </c>
      <c r="B375" s="1">
        <v>21786832</v>
      </c>
      <c r="C375" s="2">
        <v>0.111975</v>
      </c>
      <c r="E375">
        <v>7.102906</v>
      </c>
      <c r="F375">
        <v>3067.312628</v>
      </c>
      <c r="G375" s="3">
        <v>3.067312628</v>
      </c>
      <c r="H375" s="4"/>
      <c r="I375" t="s">
        <v>317</v>
      </c>
      <c r="J375">
        <v>7.84268</v>
      </c>
      <c r="K375" s="5">
        <v>2.77798303641102</v>
      </c>
      <c r="L375">
        <v>0.905673262989945</v>
      </c>
      <c r="O375">
        <v>0.0062864</v>
      </c>
      <c r="P375" s="6">
        <v>3.46570883176381</v>
      </c>
      <c r="Q375" s="4">
        <v>0.801562731107224</v>
      </c>
      <c r="R375" s="4"/>
      <c r="T375">
        <v>31.694</v>
      </c>
      <c r="U375" s="7">
        <v>0.68741187606487</v>
      </c>
      <c r="V375">
        <v>4.04122060316116</v>
      </c>
      <c r="Y375">
        <v>0.00510521</v>
      </c>
      <c r="Z375" s="8">
        <v>4.26756822931868</v>
      </c>
      <c r="AA375">
        <v>0.650952225514748</v>
      </c>
      <c r="AD375" s="9">
        <v>1.50261</v>
      </c>
      <c r="AE375">
        <v>1.84877182796003</v>
      </c>
      <c r="AH375">
        <v>8.2837</v>
      </c>
      <c r="AI375" s="10">
        <v>2.63008462402067</v>
      </c>
      <c r="AJ375">
        <v>1.05623332840305</v>
      </c>
    </row>
    <row r="376" customFormat="1" spans="1:36">
      <c r="A376" s="1" t="s">
        <v>564</v>
      </c>
      <c r="B376" s="1">
        <v>229322284</v>
      </c>
      <c r="C376" s="2">
        <v>0.114863</v>
      </c>
      <c r="E376">
        <v>27.754034</v>
      </c>
      <c r="F376">
        <v>8262.664817</v>
      </c>
      <c r="G376" s="3">
        <v>8.262664817</v>
      </c>
      <c r="H376" s="4"/>
      <c r="I376" t="s">
        <v>564</v>
      </c>
      <c r="J376">
        <v>23.6057</v>
      </c>
      <c r="K376" s="5">
        <v>9.71469958526966</v>
      </c>
      <c r="L376">
        <v>1.17573443924316</v>
      </c>
      <c r="O376">
        <v>0.0301664</v>
      </c>
      <c r="P376" s="6">
        <v>7.60191086772038</v>
      </c>
      <c r="Q376" s="4">
        <v>1.27792863588032</v>
      </c>
      <c r="R376" s="4"/>
      <c r="T376">
        <v>334.535</v>
      </c>
      <c r="U376" s="7">
        <v>0.685495640217018</v>
      </c>
      <c r="V376">
        <v>14.1717890170594</v>
      </c>
      <c r="Y376">
        <v>0.0378786</v>
      </c>
      <c r="Z376" s="8">
        <v>6.0541383261261</v>
      </c>
      <c r="AA376">
        <v>1.60463786288905</v>
      </c>
      <c r="AD376" s="9">
        <v>2.773584</v>
      </c>
      <c r="AE376">
        <v>3.50257990573556</v>
      </c>
      <c r="AH376">
        <v>37.8563</v>
      </c>
      <c r="AI376" s="10">
        <v>6.05770463568812</v>
      </c>
      <c r="AJ376">
        <v>1.60369317580076</v>
      </c>
    </row>
    <row r="377" customFormat="1" spans="1:36">
      <c r="A377" s="1" t="s">
        <v>570</v>
      </c>
      <c r="B377" s="1">
        <v>254331808</v>
      </c>
      <c r="C377" s="2">
        <v>0.115523</v>
      </c>
      <c r="E377">
        <v>30.112665</v>
      </c>
      <c r="F377">
        <v>8446.007916</v>
      </c>
      <c r="G377" s="3">
        <v>8.446007916</v>
      </c>
      <c r="H377" s="4"/>
      <c r="I377" t="s">
        <v>570</v>
      </c>
      <c r="J377">
        <v>32.0827</v>
      </c>
      <c r="K377" s="5">
        <v>7.92738167298887</v>
      </c>
      <c r="L377">
        <v>0.93859510337083</v>
      </c>
      <c r="O377">
        <v>0.0328768</v>
      </c>
      <c r="P377" s="6">
        <v>7.73590519758614</v>
      </c>
      <c r="Q377" s="4">
        <v>1.02475165743532</v>
      </c>
      <c r="R377" s="4"/>
      <c r="T377">
        <v>642.498</v>
      </c>
      <c r="U377" s="7">
        <v>0.395848404197367</v>
      </c>
      <c r="V377">
        <v>20.0263070128138</v>
      </c>
      <c r="Y377">
        <v>0.0417059</v>
      </c>
      <c r="Z377" s="8">
        <v>6.0982213068175</v>
      </c>
      <c r="AA377">
        <v>1.2999498171912</v>
      </c>
      <c r="AD377" s="9">
        <v>2.701563</v>
      </c>
      <c r="AE377">
        <v>2.93436861290626</v>
      </c>
      <c r="AH377">
        <v>42.8344</v>
      </c>
      <c r="AI377" s="10">
        <v>5.93755971835721</v>
      </c>
      <c r="AJ377">
        <v>1.33512453752334</v>
      </c>
    </row>
    <row r="378" customFormat="1" spans="1:36">
      <c r="A378" s="1" t="s">
        <v>565</v>
      </c>
      <c r="B378" s="1">
        <v>230709890</v>
      </c>
      <c r="C378" s="2">
        <v>0.119412</v>
      </c>
      <c r="E378">
        <v>28.553807</v>
      </c>
      <c r="F378">
        <v>8079.829514</v>
      </c>
      <c r="G378" s="3">
        <v>8.079829514</v>
      </c>
      <c r="H378" s="4"/>
      <c r="I378" t="s">
        <v>565</v>
      </c>
      <c r="J378">
        <v>31.6034</v>
      </c>
      <c r="K378" s="5">
        <v>7.30016042577697</v>
      </c>
      <c r="L378">
        <v>0.903504264926372</v>
      </c>
      <c r="O378">
        <v>0.0315296</v>
      </c>
      <c r="P378" s="6">
        <v>7.31724760225312</v>
      </c>
      <c r="Q378" s="4">
        <v>0.997664808216838</v>
      </c>
      <c r="R378" s="4"/>
      <c r="T378">
        <v>640.888</v>
      </c>
      <c r="U378" s="7">
        <v>0.359984724320006</v>
      </c>
      <c r="V378">
        <v>20.2790838960365</v>
      </c>
      <c r="Y378">
        <v>0.039439</v>
      </c>
      <c r="Z378" s="8">
        <v>5.84979056264104</v>
      </c>
      <c r="AA378">
        <v>1.2479353487283</v>
      </c>
      <c r="AD378" s="9">
        <v>2.586969</v>
      </c>
      <c r="AE378">
        <v>2.82189714131749</v>
      </c>
      <c r="AH378">
        <v>42.1631</v>
      </c>
      <c r="AI378" s="10">
        <v>5.47184362629883</v>
      </c>
      <c r="AJ378">
        <v>1.33413177063227</v>
      </c>
    </row>
    <row r="379" customFormat="1" spans="1:36">
      <c r="A379" s="1" t="s">
        <v>442</v>
      </c>
      <c r="B379" s="1">
        <v>61590860</v>
      </c>
      <c r="C379" s="2">
        <v>0.122781</v>
      </c>
      <c r="E379">
        <v>12.566123</v>
      </c>
      <c r="F379">
        <v>4901.341426</v>
      </c>
      <c r="G379" s="3">
        <v>4.901341426</v>
      </c>
      <c r="H379" s="4"/>
      <c r="I379" t="s">
        <v>442</v>
      </c>
      <c r="J379">
        <v>7.85031</v>
      </c>
      <c r="K379" s="5">
        <v>7.845659598156</v>
      </c>
      <c r="L379">
        <v>1.60071680714536</v>
      </c>
      <c r="O379">
        <v>0.0112912</v>
      </c>
      <c r="P379" s="6">
        <v>5.45476654385716</v>
      </c>
      <c r="Q379" s="4">
        <v>1.43831262714466</v>
      </c>
      <c r="R379" s="4"/>
      <c r="T379">
        <v>26.215</v>
      </c>
      <c r="U379" s="7">
        <v>2.34945107762731</v>
      </c>
      <c r="V379">
        <v>3.33935857310094</v>
      </c>
      <c r="Y379">
        <v>0.00595023</v>
      </c>
      <c r="Z379" s="8">
        <v>10.3510049191376</v>
      </c>
      <c r="AA379">
        <v>0.757961150578767</v>
      </c>
      <c r="AD379" s="9">
        <v>2.364357</v>
      </c>
      <c r="AE379">
        <v>3.31830582190253</v>
      </c>
      <c r="AH379">
        <v>11.8464</v>
      </c>
      <c r="AI379" s="10">
        <v>5.19912040788763</v>
      </c>
      <c r="AJ379">
        <v>1.50903594889883</v>
      </c>
    </row>
    <row r="380" customFormat="1" spans="1:36">
      <c r="A380" s="1" t="s">
        <v>188</v>
      </c>
      <c r="B380" s="1">
        <v>9085610</v>
      </c>
      <c r="C380" s="2">
        <v>0.123068</v>
      </c>
      <c r="E380">
        <v>4.268727</v>
      </c>
      <c r="F380">
        <v>2128.412211</v>
      </c>
      <c r="G380" s="3">
        <v>2.128412211</v>
      </c>
      <c r="H380" s="4"/>
      <c r="I380" t="s">
        <v>188</v>
      </c>
      <c r="J380">
        <v>3.5498</v>
      </c>
      <c r="K380" s="5">
        <v>2.5594709561102</v>
      </c>
      <c r="L380">
        <v>1.20252596883368</v>
      </c>
      <c r="O380">
        <v>0.0032192</v>
      </c>
      <c r="P380" s="6">
        <v>2.82231920974155</v>
      </c>
      <c r="Q380" s="4">
        <v>0.906867992562961</v>
      </c>
      <c r="R380" s="4"/>
      <c r="T380">
        <v>25.89</v>
      </c>
      <c r="U380" s="7">
        <v>0.350931247585941</v>
      </c>
      <c r="V380">
        <v>7.29336864048679</v>
      </c>
      <c r="Y380">
        <v>0.00563606</v>
      </c>
      <c r="Z380" s="8">
        <v>1.61204990720468</v>
      </c>
      <c r="AA380">
        <v>1.58771198377373</v>
      </c>
      <c r="AD380" s="9">
        <v>1.360809</v>
      </c>
      <c r="AE380">
        <v>1.88084511206951</v>
      </c>
      <c r="AH380">
        <v>3.8903</v>
      </c>
      <c r="AI380" s="10">
        <v>2.33545227874457</v>
      </c>
      <c r="AJ380">
        <v>1.09592089695194</v>
      </c>
    </row>
    <row r="381" customFormat="1" spans="1:36">
      <c r="A381" s="1" t="s">
        <v>320</v>
      </c>
      <c r="B381" s="1">
        <v>22087302</v>
      </c>
      <c r="C381" s="2">
        <v>0.12623</v>
      </c>
      <c r="E381">
        <v>9.373979</v>
      </c>
      <c r="F381">
        <v>2356.235387</v>
      </c>
      <c r="G381" s="3">
        <v>2.356235387</v>
      </c>
      <c r="H381" s="4"/>
      <c r="I381" t="s">
        <v>320</v>
      </c>
      <c r="J381">
        <v>11.9346</v>
      </c>
      <c r="K381" s="5">
        <v>1.8506947865869</v>
      </c>
      <c r="L381">
        <v>0.785445629412788</v>
      </c>
      <c r="O381">
        <v>0.00792</v>
      </c>
      <c r="P381" s="6">
        <v>2.78880075757576</v>
      </c>
      <c r="Q381" s="4">
        <v>0.663616711075361</v>
      </c>
      <c r="R381" s="4"/>
      <c r="T381">
        <v>37.062</v>
      </c>
      <c r="U381" s="7">
        <v>0.595955480006476</v>
      </c>
      <c r="V381">
        <v>3.10542456387311</v>
      </c>
      <c r="Y381">
        <v>0.0126678</v>
      </c>
      <c r="Z381" s="8">
        <v>1.74357836404111</v>
      </c>
      <c r="AA381">
        <v>1.06143481976773</v>
      </c>
      <c r="AD381" s="9">
        <v>1.370478</v>
      </c>
      <c r="AE381">
        <v>1.35040094520809</v>
      </c>
      <c r="AH381">
        <v>13.0927</v>
      </c>
      <c r="AI381" s="10">
        <v>1.68699366822733</v>
      </c>
      <c r="AJ381">
        <v>1.09703718599702</v>
      </c>
    </row>
    <row r="382" customFormat="1" spans="1:36">
      <c r="A382" s="1" t="s">
        <v>398</v>
      </c>
      <c r="B382" s="1">
        <v>40588948</v>
      </c>
      <c r="C382" s="2">
        <v>0.126906</v>
      </c>
      <c r="E382">
        <v>18.341432</v>
      </c>
      <c r="F382">
        <v>2212.965026</v>
      </c>
      <c r="G382" s="3">
        <v>2.212965026</v>
      </c>
      <c r="H382" s="4"/>
      <c r="I382" t="s">
        <v>398</v>
      </c>
      <c r="J382">
        <v>28.1289</v>
      </c>
      <c r="K382" s="5">
        <v>1.4429625047549</v>
      </c>
      <c r="L382">
        <v>0.652049394274926</v>
      </c>
      <c r="O382">
        <v>0.046048</v>
      </c>
      <c r="P382" s="6">
        <v>0.881448662265462</v>
      </c>
      <c r="Q382" s="4">
        <v>1.63703522000505</v>
      </c>
      <c r="R382" s="4"/>
      <c r="T382">
        <v>85.824</v>
      </c>
      <c r="U382" s="7">
        <v>0.472932373228934</v>
      </c>
      <c r="V382">
        <v>3.05109691456118</v>
      </c>
      <c r="Y382">
        <v>0.0417185</v>
      </c>
      <c r="Z382" s="8">
        <v>0.972924434004099</v>
      </c>
      <c r="AA382">
        <v>1.48311878530622</v>
      </c>
      <c r="AD382" s="9">
        <v>0.798699</v>
      </c>
      <c r="AE382">
        <v>1.80664118116449</v>
      </c>
      <c r="AH382">
        <v>43.8809</v>
      </c>
      <c r="AI382" s="10">
        <v>0.924979843166389</v>
      </c>
      <c r="AJ382">
        <v>1.55999345868484</v>
      </c>
    </row>
    <row r="383" customFormat="1" spans="1:36">
      <c r="A383" s="1" t="s">
        <v>553</v>
      </c>
      <c r="B383" s="1">
        <v>200939936</v>
      </c>
      <c r="C383" s="2">
        <v>0.129126</v>
      </c>
      <c r="E383">
        <v>32.062468</v>
      </c>
      <c r="F383">
        <v>6267.138766</v>
      </c>
      <c r="G383" s="3">
        <v>6.267138766</v>
      </c>
      <c r="H383" s="4"/>
      <c r="I383" t="s">
        <v>553</v>
      </c>
      <c r="J383">
        <v>68.3212</v>
      </c>
      <c r="K383" s="5">
        <v>2.94110665503533</v>
      </c>
      <c r="L383">
        <v>0.469290176083414</v>
      </c>
      <c r="O383">
        <v>0.1000064</v>
      </c>
      <c r="P383" s="6">
        <v>2.00927076667093</v>
      </c>
      <c r="Q383" s="4">
        <v>1.46376820079273</v>
      </c>
      <c r="R383" s="4"/>
      <c r="T383">
        <v>95.175</v>
      </c>
      <c r="U383" s="7">
        <v>2.11126804307854</v>
      </c>
      <c r="V383">
        <v>1.39305222976177</v>
      </c>
      <c r="Y383">
        <v>0.00107808</v>
      </c>
      <c r="Z383" s="8">
        <v>186.386850697536</v>
      </c>
      <c r="AA383">
        <v>0.0157795823258374</v>
      </c>
      <c r="AD383" s="9">
        <v>1.206435</v>
      </c>
      <c r="AE383">
        <v>2.43784924594805</v>
      </c>
      <c r="AH383">
        <v>256.0085</v>
      </c>
      <c r="AI383" s="10">
        <v>0.784895564014476</v>
      </c>
      <c r="AJ383">
        <v>3.74713119792978</v>
      </c>
    </row>
    <row r="384" customFormat="1" spans="1:36">
      <c r="A384" s="1" t="s">
        <v>658</v>
      </c>
      <c r="B384" s="1">
        <v>7795935960</v>
      </c>
      <c r="C384" s="2">
        <v>0.130542</v>
      </c>
      <c r="E384">
        <v>3699.609986</v>
      </c>
      <c r="F384">
        <v>2107.23184</v>
      </c>
      <c r="G384" s="3">
        <v>2.10723184</v>
      </c>
      <c r="H384" s="4"/>
      <c r="I384" t="s">
        <v>658</v>
      </c>
      <c r="J384">
        <v>3231.42</v>
      </c>
      <c r="K384" s="5">
        <v>2.41254184228605</v>
      </c>
      <c r="L384">
        <v>1.14488676399558</v>
      </c>
      <c r="O384">
        <v>1.890392</v>
      </c>
      <c r="P384" s="6">
        <v>4.12397849758145</v>
      </c>
      <c r="Q384" s="4">
        <v>0.585003496914669</v>
      </c>
      <c r="R384" s="4"/>
      <c r="T384">
        <v>3716.958</v>
      </c>
      <c r="U384" s="7">
        <v>2.09739683902804</v>
      </c>
      <c r="V384">
        <v>1.15025530571699</v>
      </c>
      <c r="Y384">
        <v>0.00312661</v>
      </c>
      <c r="Z384" s="8">
        <v>2493.4148998436</v>
      </c>
      <c r="AA384">
        <v>0.000967565342790476</v>
      </c>
      <c r="AD384" s="9">
        <v>1.499085</v>
      </c>
      <c r="AE384">
        <v>1.6093429273764</v>
      </c>
      <c r="AH384">
        <v>29146.3333</v>
      </c>
      <c r="AI384" s="10">
        <v>0.267475701995077</v>
      </c>
      <c r="AJ384">
        <v>9.01966729796808</v>
      </c>
    </row>
    <row r="385" customFormat="1" spans="1:36">
      <c r="A385" s="1" t="s">
        <v>659</v>
      </c>
      <c r="B385" s="1">
        <v>7795935960</v>
      </c>
      <c r="C385" s="2">
        <v>0.130542</v>
      </c>
      <c r="E385">
        <v>3720.806875</v>
      </c>
      <c r="F385">
        <v>2095.227251</v>
      </c>
      <c r="G385" s="3">
        <v>2.095227251</v>
      </c>
      <c r="H385" s="4"/>
      <c r="I385" t="s">
        <v>659</v>
      </c>
      <c r="J385">
        <v>3257.7</v>
      </c>
      <c r="K385" s="5">
        <v>2.39307976793443</v>
      </c>
      <c r="L385">
        <v>1.14215761884172</v>
      </c>
      <c r="O385">
        <v>1.8852544</v>
      </c>
      <c r="P385" s="6">
        <v>4.13521695533505</v>
      </c>
      <c r="Q385" s="4">
        <v>0.578707186051509</v>
      </c>
      <c r="R385" s="4"/>
      <c r="T385">
        <v>3732.348</v>
      </c>
      <c r="U385" s="7">
        <v>2.08874841252745</v>
      </c>
      <c r="V385">
        <v>1.14570034073119</v>
      </c>
      <c r="Y385">
        <v>0.00307531</v>
      </c>
      <c r="Z385" s="8">
        <v>2535.00816503052</v>
      </c>
      <c r="AA385">
        <v>0.000944012646959511</v>
      </c>
      <c r="AD385" s="9">
        <v>1.485405</v>
      </c>
      <c r="AE385">
        <v>1.61106214664313</v>
      </c>
      <c r="AH385">
        <v>30918.9333</v>
      </c>
      <c r="AI385" s="10">
        <v>0.252141168143081</v>
      </c>
      <c r="AJ385">
        <v>9.49103149461276</v>
      </c>
    </row>
    <row r="386" customFormat="1" spans="1:36">
      <c r="A386" s="1" t="s">
        <v>576</v>
      </c>
      <c r="B386" s="1">
        <v>318033908</v>
      </c>
      <c r="C386" s="2">
        <v>0.135334</v>
      </c>
      <c r="E386">
        <v>47.360507</v>
      </c>
      <c r="F386">
        <v>6715.171079</v>
      </c>
      <c r="G386" s="3">
        <v>6.715171079</v>
      </c>
      <c r="H386" s="4"/>
      <c r="I386" t="s">
        <v>576</v>
      </c>
      <c r="J386">
        <v>37.9504</v>
      </c>
      <c r="K386" s="5">
        <v>8.38025180235254</v>
      </c>
      <c r="L386">
        <v>1.24795804958114</v>
      </c>
      <c r="O386">
        <v>0.0377536</v>
      </c>
      <c r="P386" s="6">
        <v>8.42393594253263</v>
      </c>
      <c r="Q386" s="4">
        <v>0.994814283907416</v>
      </c>
      <c r="R386" s="4"/>
      <c r="T386">
        <v>791.52</v>
      </c>
      <c r="U386" s="7">
        <v>0.401801480695371</v>
      </c>
      <c r="V386">
        <v>20.8566971626123</v>
      </c>
      <c r="Y386">
        <v>0.0489603</v>
      </c>
      <c r="Z386" s="8">
        <v>6.49575080218054</v>
      </c>
      <c r="AA386">
        <v>1.29011288418567</v>
      </c>
      <c r="AD386" s="9">
        <v>2.738457</v>
      </c>
      <c r="AE386">
        <v>3.06020938154316</v>
      </c>
      <c r="AH386">
        <v>49.7657</v>
      </c>
      <c r="AI386" s="10">
        <v>6.39062462700213</v>
      </c>
      <c r="AJ386">
        <v>1.31133532189384</v>
      </c>
    </row>
    <row r="387" customFormat="1" spans="1:36">
      <c r="A387" s="1" t="s">
        <v>332</v>
      </c>
      <c r="B387" s="1">
        <v>24510104</v>
      </c>
      <c r="C387" s="2">
        <v>0.137219</v>
      </c>
      <c r="E387">
        <v>6.319997</v>
      </c>
      <c r="F387">
        <v>3878.183029</v>
      </c>
      <c r="G387" s="3">
        <v>3.878183029</v>
      </c>
      <c r="H387" s="4"/>
      <c r="I387" t="s">
        <v>332</v>
      </c>
      <c r="J387">
        <v>6.40444</v>
      </c>
      <c r="K387" s="5">
        <v>3.82704873494014</v>
      </c>
      <c r="L387">
        <v>0.986814883754197</v>
      </c>
      <c r="O387">
        <v>0.0126368</v>
      </c>
      <c r="P387" s="6">
        <v>1.93958153963029</v>
      </c>
      <c r="Q387" s="4">
        <v>1.97313114027144</v>
      </c>
      <c r="R387" s="4"/>
      <c r="T387">
        <v>31.542</v>
      </c>
      <c r="U387" s="7">
        <v>0.77706245640733</v>
      </c>
      <c r="V387">
        <v>4.925020766843</v>
      </c>
      <c r="Y387">
        <v>0.0107363</v>
      </c>
      <c r="Z387" s="8">
        <v>2.28291906895299</v>
      </c>
      <c r="AA387">
        <v>1.6763838836807</v>
      </c>
      <c r="AD387" s="9">
        <v>1.435368</v>
      </c>
      <c r="AE387">
        <v>2.66624916741918</v>
      </c>
      <c r="AH387">
        <v>12.4623</v>
      </c>
      <c r="AI387" s="10">
        <v>1.96674000786372</v>
      </c>
      <c r="AJ387">
        <v>1.94588441768523</v>
      </c>
    </row>
    <row r="388" customFormat="1" spans="1:36">
      <c r="A388" s="1" t="s">
        <v>489</v>
      </c>
      <c r="B388" s="1">
        <v>95197696</v>
      </c>
      <c r="C388" s="2">
        <v>0.139505</v>
      </c>
      <c r="E388">
        <v>7.507344</v>
      </c>
      <c r="F388">
        <v>12680.608754</v>
      </c>
      <c r="G388" s="3">
        <v>12.680608754</v>
      </c>
      <c r="H388" s="4"/>
      <c r="I388" t="s">
        <v>489</v>
      </c>
      <c r="J388">
        <v>6.72145</v>
      </c>
      <c r="K388" s="5">
        <v>14.1632677472867</v>
      </c>
      <c r="L388">
        <v>1.11692332931721</v>
      </c>
      <c r="O388">
        <v>0.0148944</v>
      </c>
      <c r="P388" s="6">
        <v>6.39150929208293</v>
      </c>
      <c r="Q388" s="4">
        <v>2.21595042736314</v>
      </c>
      <c r="R388" s="4"/>
      <c r="T388">
        <v>64.57</v>
      </c>
      <c r="U388" s="7">
        <v>1.4743332197615</v>
      </c>
      <c r="V388">
        <v>9.60655810874142</v>
      </c>
      <c r="Y388">
        <v>0.0187662</v>
      </c>
      <c r="Z388" s="8">
        <v>5.07282753034711</v>
      </c>
      <c r="AA388">
        <v>2.79198684807594</v>
      </c>
      <c r="AD388" s="9">
        <v>2.84826</v>
      </c>
      <c r="AE388">
        <v>4.97260353594358</v>
      </c>
      <c r="AH388">
        <v>13.6562</v>
      </c>
      <c r="AI388" s="10">
        <v>6.97102385729559</v>
      </c>
      <c r="AJ388">
        <v>2.03173422401416</v>
      </c>
    </row>
    <row r="389" customFormat="1" spans="1:36">
      <c r="A389" s="1" t="s">
        <v>523</v>
      </c>
      <c r="B389" s="1">
        <v>142990310</v>
      </c>
      <c r="C389" s="2">
        <v>0.140629</v>
      </c>
      <c r="E389">
        <v>15.047707</v>
      </c>
      <c r="F389">
        <v>9502.464964</v>
      </c>
      <c r="G389" s="3">
        <v>9.502464964</v>
      </c>
      <c r="H389" s="4"/>
      <c r="I389" t="s">
        <v>523</v>
      </c>
      <c r="J389">
        <v>10.504</v>
      </c>
      <c r="K389" s="5">
        <v>13.6129388804265</v>
      </c>
      <c r="L389">
        <v>1.43256922619541</v>
      </c>
      <c r="O389">
        <v>0.0188224</v>
      </c>
      <c r="P389" s="6">
        <v>7.59681602771166</v>
      </c>
      <c r="Q389" s="4">
        <v>1.79192688499619</v>
      </c>
      <c r="R389" s="4"/>
      <c r="T389">
        <v>71.365</v>
      </c>
      <c r="U389" s="7">
        <v>2.00364758635185</v>
      </c>
      <c r="V389">
        <v>6.79407844630617</v>
      </c>
      <c r="Y389">
        <v>0.0179242</v>
      </c>
      <c r="Z389" s="8">
        <v>7.97750025105723</v>
      </c>
      <c r="AA389">
        <v>1.70641660319878</v>
      </c>
      <c r="AD389" s="9">
        <v>2.878872</v>
      </c>
      <c r="AE389">
        <v>4.72856691107715</v>
      </c>
      <c r="AH389">
        <v>20.266</v>
      </c>
      <c r="AI389" s="10">
        <v>7.05567502220468</v>
      </c>
      <c r="AJ389">
        <v>1.92936024371668</v>
      </c>
    </row>
    <row r="390" customFormat="1" spans="1:36">
      <c r="A390" s="1" t="s">
        <v>488</v>
      </c>
      <c r="B390" s="1">
        <v>95197696</v>
      </c>
      <c r="C390" s="2">
        <v>0.140769</v>
      </c>
      <c r="E390">
        <v>7.815455</v>
      </c>
      <c r="F390">
        <v>12180.697254</v>
      </c>
      <c r="G390" s="3">
        <v>12.180697254</v>
      </c>
      <c r="H390" s="4"/>
      <c r="I390" t="s">
        <v>488</v>
      </c>
      <c r="J390">
        <v>6.99587</v>
      </c>
      <c r="K390" s="5">
        <v>13.6076993997887</v>
      </c>
      <c r="L390">
        <v>1.117152747173</v>
      </c>
      <c r="O390">
        <v>0.0148512</v>
      </c>
      <c r="P390" s="6">
        <v>6.41010127127774</v>
      </c>
      <c r="Q390" s="4">
        <v>2.12285248296495</v>
      </c>
      <c r="R390" s="4"/>
      <c r="T390">
        <v>64.767</v>
      </c>
      <c r="U390" s="7">
        <v>1.46984878101502</v>
      </c>
      <c r="V390">
        <v>9.25789072695748</v>
      </c>
      <c r="Y390">
        <v>0.0190182</v>
      </c>
      <c r="Z390" s="8">
        <v>5.00561020496156</v>
      </c>
      <c r="AA390">
        <v>2.71848962316338</v>
      </c>
      <c r="AD390" s="9">
        <v>2.818413</v>
      </c>
      <c r="AE390">
        <v>4.82814243327317</v>
      </c>
      <c r="AH390">
        <v>13.6487</v>
      </c>
      <c r="AI390" s="10">
        <v>6.97485445500304</v>
      </c>
      <c r="AJ390">
        <v>1.9509653552739</v>
      </c>
    </row>
    <row r="391" customFormat="1" spans="1:36">
      <c r="A391" s="1" t="s">
        <v>487</v>
      </c>
      <c r="B391" s="1">
        <v>95197696</v>
      </c>
      <c r="C391" s="2">
        <v>0.140894</v>
      </c>
      <c r="E391">
        <v>7.77894</v>
      </c>
      <c r="F391">
        <v>12237.875632</v>
      </c>
      <c r="G391" s="3">
        <v>12.237875632</v>
      </c>
      <c r="H391" s="4"/>
      <c r="I391" t="s">
        <v>487</v>
      </c>
      <c r="J391">
        <v>7.06555</v>
      </c>
      <c r="K391" s="5">
        <v>13.4735011428693</v>
      </c>
      <c r="L391">
        <v>1.10096732047499</v>
      </c>
      <c r="O391">
        <v>0.0148448</v>
      </c>
      <c r="P391" s="6">
        <v>6.41286484156068</v>
      </c>
      <c r="Q391" s="4">
        <v>2.1010112447014</v>
      </c>
      <c r="R391" s="4"/>
      <c r="T391">
        <v>64.411</v>
      </c>
      <c r="U391" s="7">
        <v>1.47797264442409</v>
      </c>
      <c r="V391">
        <v>9.11620468328722</v>
      </c>
      <c r="Y391">
        <v>0.0185979</v>
      </c>
      <c r="Z391" s="8">
        <v>5.11873362046253</v>
      </c>
      <c r="AA391">
        <v>2.63219423824048</v>
      </c>
      <c r="AD391" s="9">
        <v>2.847762</v>
      </c>
      <c r="AE391">
        <v>4.73125954446659</v>
      </c>
      <c r="AH391">
        <v>13.5566</v>
      </c>
      <c r="AI391" s="10">
        <v>7.02223979463877</v>
      </c>
      <c r="AJ391">
        <v>1.91868998167163</v>
      </c>
    </row>
    <row r="392" customFormat="1" spans="1:36">
      <c r="A392" s="1" t="s">
        <v>122</v>
      </c>
      <c r="B392" s="1">
        <v>4922970</v>
      </c>
      <c r="C392" s="2">
        <v>0.143479</v>
      </c>
      <c r="E392">
        <v>2.980716</v>
      </c>
      <c r="F392">
        <v>1651.606635</v>
      </c>
      <c r="G392" s="3">
        <v>1.651606635</v>
      </c>
      <c r="H392" s="4"/>
      <c r="I392" t="s">
        <v>122</v>
      </c>
      <c r="J392">
        <v>1.92017</v>
      </c>
      <c r="K392" s="5">
        <v>2.56381987011567</v>
      </c>
      <c r="L392">
        <v>1.55231870336708</v>
      </c>
      <c r="O392">
        <v>0.00172</v>
      </c>
      <c r="P392" s="6">
        <v>2.86219186046512</v>
      </c>
      <c r="Q392" s="4">
        <v>0.895754021779322</v>
      </c>
      <c r="R392" s="4"/>
      <c r="T392">
        <v>56.381</v>
      </c>
      <c r="U392" s="7">
        <v>0.0873161171316578</v>
      </c>
      <c r="V392">
        <v>29.362504361593</v>
      </c>
      <c r="Y392">
        <v>0.00476372</v>
      </c>
      <c r="Z392" s="8">
        <v>1.03342975657679</v>
      </c>
      <c r="AA392">
        <v>2.48088450501778</v>
      </c>
      <c r="AD392" s="9">
        <v>1.257588</v>
      </c>
      <c r="AE392">
        <v>2.03868029125251</v>
      </c>
      <c r="AH392">
        <v>3.1397</v>
      </c>
      <c r="AI392" s="10">
        <v>1.56797464725929</v>
      </c>
      <c r="AJ392">
        <v>1.63511564080264</v>
      </c>
    </row>
    <row r="393" customFormat="1" spans="1:36">
      <c r="A393" s="1" t="s">
        <v>121</v>
      </c>
      <c r="B393" s="1">
        <v>4922970</v>
      </c>
      <c r="C393" s="2">
        <v>0.143479</v>
      </c>
      <c r="E393">
        <v>2.220288</v>
      </c>
      <c r="F393">
        <v>2217.266001</v>
      </c>
      <c r="G393" s="3">
        <v>2.217266001</v>
      </c>
      <c r="H393" s="4"/>
      <c r="I393" t="s">
        <v>121</v>
      </c>
      <c r="J393">
        <v>1.89109</v>
      </c>
      <c r="K393" s="5">
        <v>2.60324468957057</v>
      </c>
      <c r="L393">
        <v>1.17407865740804</v>
      </c>
      <c r="O393">
        <v>0.0017264</v>
      </c>
      <c r="P393" s="6">
        <v>2.8515813253012</v>
      </c>
      <c r="Q393" s="4">
        <v>0.912912658836967</v>
      </c>
      <c r="R393" s="4"/>
      <c r="T393">
        <v>53.382</v>
      </c>
      <c r="U393" s="7">
        <v>0.092221535348994</v>
      </c>
      <c r="V393">
        <v>28.2281647092418</v>
      </c>
      <c r="Y393">
        <v>0.00471653</v>
      </c>
      <c r="Z393" s="8">
        <v>1.04376946611174</v>
      </c>
      <c r="AA393">
        <v>2.49408013367952</v>
      </c>
      <c r="AD393" s="9">
        <v>1.279161</v>
      </c>
      <c r="AE393">
        <v>2.03511887054918</v>
      </c>
      <c r="AH393">
        <v>3.1836</v>
      </c>
      <c r="AI393" s="10">
        <v>1.5463531850735</v>
      </c>
      <c r="AJ393">
        <v>1.68347355228995</v>
      </c>
    </row>
    <row r="394" customFormat="1" spans="1:36">
      <c r="A394" s="1" t="s">
        <v>299</v>
      </c>
      <c r="B394" s="1">
        <v>19219980</v>
      </c>
      <c r="C394" s="2">
        <v>0.144195</v>
      </c>
      <c r="E394">
        <v>8.700316</v>
      </c>
      <c r="F394">
        <v>2209.112958</v>
      </c>
      <c r="G394" s="3">
        <v>2.209112958</v>
      </c>
      <c r="H394" s="4"/>
      <c r="I394" t="s">
        <v>299</v>
      </c>
      <c r="J394">
        <v>11.8662</v>
      </c>
      <c r="K394" s="5">
        <v>1.61972493300298</v>
      </c>
      <c r="L394">
        <v>0.733201499333645</v>
      </c>
      <c r="O394">
        <v>0.0094592</v>
      </c>
      <c r="P394" s="6">
        <v>2.03188218876861</v>
      </c>
      <c r="Q394" s="4">
        <v>0.797154944295562</v>
      </c>
      <c r="R394" s="4"/>
      <c r="T394">
        <v>42.162</v>
      </c>
      <c r="U394" s="7">
        <v>0.455860253308667</v>
      </c>
      <c r="V394">
        <v>3.55311725742024</v>
      </c>
      <c r="Y394">
        <v>0.00515227</v>
      </c>
      <c r="Z394" s="8">
        <v>3.73039068216534</v>
      </c>
      <c r="AA394">
        <v>0.434197131347862</v>
      </c>
      <c r="AD394" s="9">
        <v>0.998403</v>
      </c>
      <c r="AE394">
        <v>1.62231577128973</v>
      </c>
      <c r="AH394">
        <v>17.5144</v>
      </c>
      <c r="AI394" s="10">
        <v>1.09738158315443</v>
      </c>
      <c r="AJ394">
        <v>1.47599062884495</v>
      </c>
    </row>
    <row r="395" customFormat="1" spans="1:36">
      <c r="A395" s="1" t="s">
        <v>439</v>
      </c>
      <c r="B395" s="1">
        <v>59165700</v>
      </c>
      <c r="C395" s="2">
        <v>0.14575</v>
      </c>
      <c r="E395">
        <v>6.643723</v>
      </c>
      <c r="F395">
        <v>8905.503614</v>
      </c>
      <c r="G395" s="3">
        <v>8.905503614</v>
      </c>
      <c r="H395" s="4"/>
      <c r="I395" t="s">
        <v>439</v>
      </c>
      <c r="J395">
        <v>6.80482</v>
      </c>
      <c r="K395" s="5">
        <v>8.69467524489994</v>
      </c>
      <c r="L395">
        <v>0.976326058779132</v>
      </c>
      <c r="O395">
        <v>0.0118736</v>
      </c>
      <c r="P395" s="6">
        <v>4.98296220185959</v>
      </c>
      <c r="Q395" s="4">
        <v>1.74488083446733</v>
      </c>
      <c r="R395" s="4"/>
      <c r="T395">
        <v>37.024</v>
      </c>
      <c r="U395" s="7">
        <v>1.5980364088159</v>
      </c>
      <c r="V395">
        <v>5.44084928036304</v>
      </c>
      <c r="Y395">
        <v>0.016065</v>
      </c>
      <c r="Z395" s="8">
        <v>3.68289449112979</v>
      </c>
      <c r="AA395">
        <v>2.36082659056375</v>
      </c>
      <c r="AD395" s="9">
        <v>2.544342</v>
      </c>
      <c r="AE395">
        <v>3.41725886099429</v>
      </c>
      <c r="AH395">
        <v>11.6246</v>
      </c>
      <c r="AI395" s="10">
        <v>5.08969771002873</v>
      </c>
      <c r="AJ395">
        <v>1.70828912447353</v>
      </c>
    </row>
    <row r="396" customFormat="1" spans="1:36">
      <c r="A396" s="1" t="s">
        <v>346</v>
      </c>
      <c r="B396" s="1">
        <v>26752320</v>
      </c>
      <c r="C396" s="2">
        <v>0.148693</v>
      </c>
      <c r="E396">
        <v>19.083229</v>
      </c>
      <c r="F396">
        <v>1401.875933</v>
      </c>
      <c r="G396" s="3">
        <v>1.401875933</v>
      </c>
      <c r="H396" s="4"/>
      <c r="I396" t="s">
        <v>346</v>
      </c>
      <c r="J396">
        <v>19.7748</v>
      </c>
      <c r="K396" s="5">
        <v>1.3528490806481</v>
      </c>
      <c r="L396">
        <v>0.965027680982449</v>
      </c>
      <c r="O396">
        <v>0.0086256</v>
      </c>
      <c r="P396" s="6">
        <v>3.10150250417362</v>
      </c>
      <c r="Q396" s="4">
        <v>0.436191516475514</v>
      </c>
      <c r="R396" s="4"/>
      <c r="T396">
        <v>44.313</v>
      </c>
      <c r="U396" s="7">
        <v>0.603712680251845</v>
      </c>
      <c r="V396">
        <v>2.24088233509315</v>
      </c>
      <c r="Y396">
        <v>0.00487559</v>
      </c>
      <c r="Z396" s="8">
        <v>5.48699131797382</v>
      </c>
      <c r="AA396">
        <v>0.246555717377673</v>
      </c>
      <c r="AD396" s="9">
        <v>1.549032</v>
      </c>
      <c r="AE396">
        <v>0.873351280443592</v>
      </c>
      <c r="AH396">
        <v>11.1703</v>
      </c>
      <c r="AI396" s="10">
        <v>2.39495089657395</v>
      </c>
      <c r="AJ396">
        <v>0.564875498108704</v>
      </c>
    </row>
    <row r="397" customFormat="1" spans="1:36">
      <c r="A397" s="1" t="s">
        <v>660</v>
      </c>
      <c r="B397" s="1">
        <v>11497237884</v>
      </c>
      <c r="C397" s="2">
        <v>0.150757</v>
      </c>
      <c r="E397">
        <v>988.528098</v>
      </c>
      <c r="F397">
        <v>11630.663718</v>
      </c>
      <c r="G397" s="3">
        <v>11.630663718</v>
      </c>
      <c r="H397" s="4"/>
      <c r="I397" t="s">
        <v>660</v>
      </c>
      <c r="J397">
        <v>359.208</v>
      </c>
      <c r="K397" s="5">
        <v>32.0071877129685</v>
      </c>
      <c r="L397">
        <v>2.75196570797874</v>
      </c>
      <c r="O397">
        <v>0.7188032</v>
      </c>
      <c r="P397" s="6">
        <v>15.9949731498135</v>
      </c>
      <c r="Q397" s="4">
        <v>2.00107792699494</v>
      </c>
      <c r="R397" s="4"/>
      <c r="T397">
        <v>1611.881</v>
      </c>
      <c r="U397" s="7">
        <v>7.13280811920979</v>
      </c>
      <c r="V397">
        <v>4.48731932473664</v>
      </c>
      <c r="Y397">
        <v>0.00673436</v>
      </c>
      <c r="Z397" s="8">
        <v>1707.25026342518</v>
      </c>
      <c r="AA397">
        <v>0.0187478007171332</v>
      </c>
      <c r="AD397" s="9">
        <v>3.57756</v>
      </c>
      <c r="AE397">
        <v>8.94665294585375</v>
      </c>
      <c r="AH397">
        <v>775.6693</v>
      </c>
      <c r="AI397" s="10">
        <v>14.8223448884724</v>
      </c>
      <c r="AJ397">
        <v>2.15938759715819</v>
      </c>
    </row>
    <row r="398" customFormat="1" spans="1:36">
      <c r="A398" s="1" t="s">
        <v>462</v>
      </c>
      <c r="B398" s="1">
        <v>76045944</v>
      </c>
      <c r="C398" s="2">
        <v>0.151151</v>
      </c>
      <c r="E398">
        <v>4.568202</v>
      </c>
      <c r="F398">
        <v>16646.798574</v>
      </c>
      <c r="G398" s="3">
        <v>16.646798574</v>
      </c>
      <c r="H398" s="4"/>
      <c r="I398" t="s">
        <v>462</v>
      </c>
      <c r="J398">
        <v>2.93493</v>
      </c>
      <c r="K398" s="5">
        <v>25.9106499984667</v>
      </c>
      <c r="L398">
        <v>1.55649447449527</v>
      </c>
      <c r="O398">
        <v>0.0060688</v>
      </c>
      <c r="P398" s="6">
        <v>12.5306393356182</v>
      </c>
      <c r="Q398" s="4">
        <v>2.06778355872201</v>
      </c>
      <c r="R398" s="4"/>
      <c r="T398">
        <v>52.494</v>
      </c>
      <c r="U398" s="7">
        <v>1.44865973254086</v>
      </c>
      <c r="V398">
        <v>17.8859461724811</v>
      </c>
      <c r="Y398">
        <v>0.00337706</v>
      </c>
      <c r="Z398" s="8">
        <v>22.5183869993426</v>
      </c>
      <c r="AA398">
        <v>1.15064413802033</v>
      </c>
      <c r="AD398" s="9">
        <v>3.3069</v>
      </c>
      <c r="AE398">
        <v>7.83532915977706</v>
      </c>
      <c r="AH398">
        <v>7.1269</v>
      </c>
      <c r="AI398" s="10">
        <v>10.6702695421572</v>
      </c>
      <c r="AJ398">
        <v>2.42830323040073</v>
      </c>
    </row>
    <row r="399" customFormat="1" spans="1:36">
      <c r="A399" s="1" t="s">
        <v>143</v>
      </c>
      <c r="B399" s="1">
        <v>5869910</v>
      </c>
      <c r="C399" s="2">
        <v>0.151287</v>
      </c>
      <c r="E399">
        <v>2.563528</v>
      </c>
      <c r="F399">
        <v>2289.778435</v>
      </c>
      <c r="G399" s="3">
        <v>2.289778435</v>
      </c>
      <c r="H399" s="4"/>
      <c r="I399" t="s">
        <v>143</v>
      </c>
      <c r="J399">
        <v>1.49683</v>
      </c>
      <c r="K399" s="5">
        <v>3.92156089869925</v>
      </c>
      <c r="L399">
        <v>1.71263771147327</v>
      </c>
      <c r="O399">
        <v>0.0018288</v>
      </c>
      <c r="P399" s="6">
        <v>3.20970581802275</v>
      </c>
      <c r="Q399" s="4">
        <v>1.22178203269576</v>
      </c>
      <c r="R399" s="4"/>
      <c r="T399">
        <v>8.865</v>
      </c>
      <c r="U399" s="7">
        <v>0.662144388042865</v>
      </c>
      <c r="V399">
        <v>5.92251625101047</v>
      </c>
      <c r="Y399">
        <v>0.00205854</v>
      </c>
      <c r="Z399" s="8">
        <v>2.85149183401828</v>
      </c>
      <c r="AA399">
        <v>1.37526639631755</v>
      </c>
      <c r="AD399" s="9">
        <v>1.639047</v>
      </c>
      <c r="AE399">
        <v>2.39258599582517</v>
      </c>
      <c r="AH399">
        <v>1.9962</v>
      </c>
      <c r="AI399" s="10">
        <v>2.94054202985673</v>
      </c>
      <c r="AJ399">
        <v>1.33361838017677</v>
      </c>
    </row>
    <row r="400" customFormat="1" spans="1:36">
      <c r="A400" s="1" t="s">
        <v>498</v>
      </c>
      <c r="B400" s="1">
        <v>105050628</v>
      </c>
      <c r="C400" s="2">
        <v>0.151564</v>
      </c>
      <c r="E400">
        <v>5.990104</v>
      </c>
      <c r="F400">
        <v>17537.363625</v>
      </c>
      <c r="G400" s="3">
        <v>17.537363625</v>
      </c>
      <c r="H400" s="4"/>
      <c r="I400" t="s">
        <v>498</v>
      </c>
      <c r="J400">
        <v>5.59632</v>
      </c>
      <c r="K400" s="5">
        <v>18.7713761900678</v>
      </c>
      <c r="L400">
        <v>1.07036477040988</v>
      </c>
      <c r="O400">
        <v>0.0101472</v>
      </c>
      <c r="P400" s="6">
        <v>10.3526714758751</v>
      </c>
      <c r="Q400" s="4">
        <v>1.81319152585985</v>
      </c>
      <c r="R400" s="4"/>
      <c r="T400">
        <v>50.968</v>
      </c>
      <c r="U400" s="7">
        <v>2.06110948045833</v>
      </c>
      <c r="V400">
        <v>9.10741344311976</v>
      </c>
      <c r="Y400">
        <v>0.00431155</v>
      </c>
      <c r="Z400" s="8">
        <v>24.3649332606603</v>
      </c>
      <c r="AA400">
        <v>0.770425922749235</v>
      </c>
      <c r="AD400" s="9">
        <v>3.22713</v>
      </c>
      <c r="AE400">
        <v>5.8167400104947</v>
      </c>
      <c r="AH400">
        <v>9.3098</v>
      </c>
      <c r="AI400" s="10">
        <v>11.2838759157017</v>
      </c>
      <c r="AJ400">
        <v>1.66355748063013</v>
      </c>
    </row>
    <row r="401" customFormat="1" spans="1:36">
      <c r="A401" s="1" t="s">
        <v>144</v>
      </c>
      <c r="B401" s="1">
        <v>5869910</v>
      </c>
      <c r="C401" s="2">
        <v>0.153797</v>
      </c>
      <c r="E401">
        <v>2.55485</v>
      </c>
      <c r="F401">
        <v>2297.556047</v>
      </c>
      <c r="G401" s="3">
        <v>2.297556047</v>
      </c>
      <c r="H401" s="4"/>
      <c r="I401" t="s">
        <v>144</v>
      </c>
      <c r="J401">
        <v>1.54409</v>
      </c>
      <c r="K401" s="5">
        <v>3.80153358936331</v>
      </c>
      <c r="L401">
        <v>1.65459884834022</v>
      </c>
      <c r="O401">
        <v>0.0020256</v>
      </c>
      <c r="P401" s="6">
        <v>2.89786236176935</v>
      </c>
      <c r="Q401" s="4">
        <v>1.3118406310513</v>
      </c>
      <c r="R401" s="4"/>
      <c r="T401">
        <v>8.892</v>
      </c>
      <c r="U401" s="7">
        <v>0.660133828160144</v>
      </c>
      <c r="V401">
        <v>5.75873168014818</v>
      </c>
      <c r="Y401">
        <v>0.00211583</v>
      </c>
      <c r="Z401" s="8">
        <v>2.77428243289867</v>
      </c>
      <c r="AA401">
        <v>1.37027634399549</v>
      </c>
      <c r="AD401" s="9">
        <v>1.577913</v>
      </c>
      <c r="AE401">
        <v>2.40921621747417</v>
      </c>
      <c r="AH401">
        <v>1.9905</v>
      </c>
      <c r="AI401" s="10">
        <v>2.94896257221804</v>
      </c>
      <c r="AJ401">
        <v>1.28910879547177</v>
      </c>
    </row>
    <row r="402" customFormat="1" spans="1:36">
      <c r="A402" s="1" t="s">
        <v>142</v>
      </c>
      <c r="B402" s="1">
        <v>5869910</v>
      </c>
      <c r="C402" s="2">
        <v>0.153797</v>
      </c>
      <c r="E402">
        <v>3.118649</v>
      </c>
      <c r="F402">
        <v>1882.196181</v>
      </c>
      <c r="G402" s="3">
        <v>1.882196181</v>
      </c>
      <c r="H402" s="4"/>
      <c r="I402" t="s">
        <v>142</v>
      </c>
      <c r="J402">
        <v>1.55905</v>
      </c>
      <c r="K402" s="5">
        <v>3.76505564285943</v>
      </c>
      <c r="L402">
        <v>2.00035239730381</v>
      </c>
      <c r="O402">
        <v>0.0021376</v>
      </c>
      <c r="P402" s="6">
        <v>2.74602825598802</v>
      </c>
      <c r="Q402" s="4">
        <v>1.3710913697444</v>
      </c>
      <c r="R402" s="4"/>
      <c r="T402">
        <v>8.873</v>
      </c>
      <c r="U402" s="7">
        <v>0.661547390961343</v>
      </c>
      <c r="V402">
        <v>5.69128636028351</v>
      </c>
      <c r="Y402">
        <v>0.00210488</v>
      </c>
      <c r="Z402" s="8">
        <v>2.78871479609289</v>
      </c>
      <c r="AA402">
        <v>1.35010423014015</v>
      </c>
      <c r="AD402" s="9">
        <v>1.584363</v>
      </c>
      <c r="AE402">
        <v>2.37638447935191</v>
      </c>
      <c r="AH402">
        <v>1.9724</v>
      </c>
      <c r="AI402" s="10">
        <v>2.9760241330359</v>
      </c>
      <c r="AJ402">
        <v>1.26512940572785</v>
      </c>
    </row>
    <row r="403" customFormat="1" spans="1:36">
      <c r="A403" s="1" t="s">
        <v>176</v>
      </c>
      <c r="B403" s="1">
        <v>7713792</v>
      </c>
      <c r="C403" s="2">
        <v>0.154893</v>
      </c>
      <c r="E403">
        <v>4.390078</v>
      </c>
      <c r="F403">
        <v>1757.096839</v>
      </c>
      <c r="G403" s="3">
        <v>1.757096839</v>
      </c>
      <c r="H403" s="4"/>
      <c r="I403" t="s">
        <v>176</v>
      </c>
      <c r="J403">
        <v>4.14078</v>
      </c>
      <c r="K403" s="5">
        <v>1.8628838045006</v>
      </c>
      <c r="L403">
        <v>1.0602055408402</v>
      </c>
      <c r="O403">
        <v>0.0029312</v>
      </c>
      <c r="P403" s="6">
        <v>2.63161572052402</v>
      </c>
      <c r="Q403" s="4">
        <v>0.707885953854105</v>
      </c>
      <c r="R403" s="4"/>
      <c r="T403">
        <v>19.188</v>
      </c>
      <c r="U403" s="7">
        <v>0.402011257035647</v>
      </c>
      <c r="V403">
        <v>4.63390955327257</v>
      </c>
      <c r="Y403">
        <v>0.0023122</v>
      </c>
      <c r="Z403" s="8">
        <v>3.33612663264423</v>
      </c>
      <c r="AA403">
        <v>0.558397210187453</v>
      </c>
      <c r="AD403" s="9">
        <v>1.458705</v>
      </c>
      <c r="AE403">
        <v>1.27708056426803</v>
      </c>
      <c r="AH403">
        <v>4.7938</v>
      </c>
      <c r="AI403" s="10">
        <v>1.60911844465768</v>
      </c>
      <c r="AJ403">
        <v>1.15770458705848</v>
      </c>
    </row>
    <row r="404" customFormat="1" spans="1:36">
      <c r="A404" s="1" t="s">
        <v>265</v>
      </c>
      <c r="B404" s="1">
        <v>15427584</v>
      </c>
      <c r="C404" s="2">
        <v>0.15506</v>
      </c>
      <c r="E404">
        <v>7.429766</v>
      </c>
      <c r="F404">
        <v>2076.456191</v>
      </c>
      <c r="G404" s="3">
        <v>2.076456191</v>
      </c>
      <c r="H404" s="4"/>
      <c r="I404" t="s">
        <v>265</v>
      </c>
      <c r="J404">
        <v>7.99313</v>
      </c>
      <c r="K404" s="5">
        <v>1.9301054780793</v>
      </c>
      <c r="L404">
        <v>0.929518998014488</v>
      </c>
      <c r="O404">
        <v>0.0083856</v>
      </c>
      <c r="P404" s="6">
        <v>1.83977103606182</v>
      </c>
      <c r="Q404" s="4">
        <v>1.04910091541111</v>
      </c>
      <c r="R404" s="4"/>
      <c r="T404">
        <v>27.032</v>
      </c>
      <c r="U404" s="7">
        <v>0.570715596330275</v>
      </c>
      <c r="V404">
        <v>3.38190421024054</v>
      </c>
      <c r="Y404">
        <v>0.00290557</v>
      </c>
      <c r="Z404" s="8">
        <v>5.30965834586673</v>
      </c>
      <c r="AA404">
        <v>0.363508412849535</v>
      </c>
      <c r="AD404" s="9">
        <v>1.436079</v>
      </c>
      <c r="AE404">
        <v>1.34401065545788</v>
      </c>
      <c r="AH404">
        <v>9.9686</v>
      </c>
      <c r="AI404" s="10">
        <v>1.54761792026965</v>
      </c>
      <c r="AJ404">
        <v>1.24714598661601</v>
      </c>
    </row>
    <row r="405" customFormat="1" spans="1:36">
      <c r="A405" s="1" t="s">
        <v>563</v>
      </c>
      <c r="B405" s="1">
        <v>224531414</v>
      </c>
      <c r="C405" s="2">
        <v>0.159808</v>
      </c>
      <c r="E405">
        <v>32.791133</v>
      </c>
      <c r="F405">
        <v>6847.321111</v>
      </c>
      <c r="G405" s="3">
        <v>6.847321111</v>
      </c>
      <c r="H405" s="4"/>
      <c r="I405" t="s">
        <v>563</v>
      </c>
      <c r="J405">
        <v>34.3389</v>
      </c>
      <c r="K405" s="5">
        <v>6.53868976583408</v>
      </c>
      <c r="L405">
        <v>0.954926701966684</v>
      </c>
      <c r="O405">
        <v>0.0284016</v>
      </c>
      <c r="P405" s="6">
        <v>7.90559031885528</v>
      </c>
      <c r="Q405" s="4">
        <v>0.827096965831753</v>
      </c>
      <c r="R405" s="4"/>
      <c r="T405">
        <v>198.212</v>
      </c>
      <c r="U405" s="7">
        <v>1.13278416039392</v>
      </c>
      <c r="V405">
        <v>5.77222916284447</v>
      </c>
      <c r="Y405">
        <v>0.0149253</v>
      </c>
      <c r="Z405" s="8">
        <v>15.0436784520244</v>
      </c>
      <c r="AA405">
        <v>0.4346470038353</v>
      </c>
      <c r="AD405" s="9">
        <v>2.907516</v>
      </c>
      <c r="AE405">
        <v>2.24889210096663</v>
      </c>
      <c r="AH405">
        <v>38.1955</v>
      </c>
      <c r="AI405" s="10">
        <v>5.87847819769345</v>
      </c>
      <c r="AJ405">
        <v>1.11230994586315</v>
      </c>
    </row>
    <row r="406" customFormat="1" spans="1:36">
      <c r="A406" s="1" t="s">
        <v>661</v>
      </c>
      <c r="B406" s="1">
        <v>29099394732</v>
      </c>
      <c r="C406" s="2">
        <v>0.16047</v>
      </c>
      <c r="E406">
        <v>6432.017884</v>
      </c>
      <c r="F406">
        <v>4524.14705</v>
      </c>
      <c r="G406" s="3">
        <v>4.52414705</v>
      </c>
      <c r="H406" s="4"/>
      <c r="I406" t="s">
        <v>661</v>
      </c>
      <c r="J406">
        <v>3561.7</v>
      </c>
      <c r="K406" s="5">
        <v>8.17008583878485</v>
      </c>
      <c r="L406">
        <v>1.80588423596551</v>
      </c>
      <c r="O406">
        <v>2.3556688</v>
      </c>
      <c r="P406" s="6">
        <v>12.3529227589209</v>
      </c>
      <c r="Q406" s="4">
        <v>0.661388887329084</v>
      </c>
      <c r="R406" s="4"/>
      <c r="T406">
        <v>3997.1</v>
      </c>
      <c r="U406" s="7">
        <v>7.28012677491181</v>
      </c>
      <c r="V406">
        <v>1.12224499536738</v>
      </c>
      <c r="Y406">
        <v>0.0059534</v>
      </c>
      <c r="Z406" s="8">
        <v>4887.86151308496</v>
      </c>
      <c r="AA406">
        <v>0.00167150518011062</v>
      </c>
      <c r="AD406" s="9">
        <v>2.400198</v>
      </c>
      <c r="AE406">
        <v>3.40392160929425</v>
      </c>
      <c r="AH406">
        <v>15601.1</v>
      </c>
      <c r="AI406" s="10">
        <v>1.86521429463307</v>
      </c>
      <c r="AJ406">
        <v>4.38023977314204</v>
      </c>
    </row>
    <row r="407" customFormat="1" spans="1:36">
      <c r="A407" s="1" t="s">
        <v>266</v>
      </c>
      <c r="B407" s="1">
        <v>15427584</v>
      </c>
      <c r="C407" s="2">
        <v>0.160908</v>
      </c>
      <c r="E407">
        <v>7.525657</v>
      </c>
      <c r="F407">
        <v>2049.998216</v>
      </c>
      <c r="G407" s="3">
        <v>2.049998216</v>
      </c>
      <c r="H407" s="4"/>
      <c r="I407" t="s">
        <v>266</v>
      </c>
      <c r="J407">
        <v>8.52272</v>
      </c>
      <c r="K407" s="5">
        <v>1.8101714006796</v>
      </c>
      <c r="L407">
        <v>0.883011207791019</v>
      </c>
      <c r="O407">
        <v>0.008112</v>
      </c>
      <c r="P407" s="6">
        <v>1.9018224852071</v>
      </c>
      <c r="Q407" s="4">
        <v>0.951808812210186</v>
      </c>
      <c r="R407" s="4"/>
      <c r="T407">
        <v>27.023</v>
      </c>
      <c r="U407" s="7">
        <v>0.570905672945269</v>
      </c>
      <c r="V407">
        <v>3.17070137233184</v>
      </c>
      <c r="Y407">
        <v>0.00289481</v>
      </c>
      <c r="Z407" s="8">
        <v>5.32939432985239</v>
      </c>
      <c r="AA407">
        <v>0.339657996508157</v>
      </c>
      <c r="AD407" s="9">
        <v>1.433208</v>
      </c>
      <c r="AE407">
        <v>1.2630207204255</v>
      </c>
      <c r="AH407">
        <v>10.0372</v>
      </c>
      <c r="AI407" s="10">
        <v>1.53704060893476</v>
      </c>
      <c r="AJ407">
        <v>1.17769913830326</v>
      </c>
    </row>
    <row r="408" customFormat="1" spans="1:36">
      <c r="A408" s="1" t="s">
        <v>662</v>
      </c>
      <c r="B408" s="1">
        <v>8097139548</v>
      </c>
      <c r="C408" s="2">
        <v>0.170847</v>
      </c>
      <c r="E408">
        <v>668.039423</v>
      </c>
      <c r="F408">
        <v>12120.75107</v>
      </c>
      <c r="G408" s="3">
        <v>12.12075107</v>
      </c>
      <c r="H408" s="4"/>
      <c r="I408" t="s">
        <v>662</v>
      </c>
      <c r="J408">
        <v>597.888</v>
      </c>
      <c r="K408" s="5">
        <v>13.5429036006744</v>
      </c>
      <c r="L408">
        <v>1.11733204670743</v>
      </c>
      <c r="O408">
        <v>0.6403616</v>
      </c>
      <c r="P408" s="6">
        <v>12.6446363242268</v>
      </c>
      <c r="Q408" s="4">
        <v>1.07103939199315</v>
      </c>
      <c r="R408" s="4"/>
      <c r="T408">
        <v>1151.95</v>
      </c>
      <c r="U408" s="7">
        <v>7.02907205000217</v>
      </c>
      <c r="V408">
        <v>1.92669864590024</v>
      </c>
      <c r="Y408">
        <v>0.00370086</v>
      </c>
      <c r="Z408" s="8">
        <v>2187.90755337948</v>
      </c>
      <c r="AA408">
        <v>0.00618988840719332</v>
      </c>
      <c r="AD408" s="9">
        <v>2.660739</v>
      </c>
      <c r="AE408">
        <v>5.08990306853636</v>
      </c>
      <c r="AH408">
        <v>956.807</v>
      </c>
      <c r="AI408" s="10">
        <v>8.46266754737371</v>
      </c>
      <c r="AJ408">
        <v>1.6003114295654</v>
      </c>
    </row>
    <row r="409" customFormat="1" spans="1:36">
      <c r="A409" s="1" t="s">
        <v>65</v>
      </c>
      <c r="B409" s="1">
        <v>2329410</v>
      </c>
      <c r="C409" s="2">
        <v>0.17308</v>
      </c>
      <c r="E409">
        <v>1.507153</v>
      </c>
      <c r="F409">
        <v>1545.5698</v>
      </c>
      <c r="G409" s="3">
        <v>1.5455698</v>
      </c>
      <c r="H409" s="4"/>
      <c r="I409" t="s">
        <v>65</v>
      </c>
      <c r="J409">
        <v>1.06698</v>
      </c>
      <c r="K409" s="5">
        <v>2.18318056570882</v>
      </c>
      <c r="L409">
        <v>1.41254090608449</v>
      </c>
      <c r="O409">
        <v>0.000912</v>
      </c>
      <c r="P409" s="6">
        <v>2.55417763157895</v>
      </c>
      <c r="Q409" s="4">
        <v>0.854748917505483</v>
      </c>
      <c r="R409" s="4"/>
      <c r="T409">
        <v>28.229</v>
      </c>
      <c r="U409" s="7">
        <v>0.0825183322115555</v>
      </c>
      <c r="V409">
        <v>26.4569157809893</v>
      </c>
      <c r="Y409">
        <v>0.00361812</v>
      </c>
      <c r="Z409" s="8">
        <v>0.643817783821432</v>
      </c>
      <c r="AA409">
        <v>3.39099139627734</v>
      </c>
      <c r="AD409" s="9">
        <v>1.267317</v>
      </c>
      <c r="AE409">
        <v>1.72267914476711</v>
      </c>
      <c r="AH409">
        <v>1.7055</v>
      </c>
      <c r="AI409" s="10">
        <v>1.36582233948989</v>
      </c>
      <c r="AJ409">
        <v>1.59843670921667</v>
      </c>
    </row>
    <row r="410" customFormat="1" spans="1:36">
      <c r="A410" s="1" t="s">
        <v>66</v>
      </c>
      <c r="B410" s="1">
        <v>2329410</v>
      </c>
      <c r="C410" s="2">
        <v>0.17308</v>
      </c>
      <c r="E410">
        <v>1.374192</v>
      </c>
      <c r="F410">
        <v>1695.111956</v>
      </c>
      <c r="G410" s="3">
        <v>1.695111956</v>
      </c>
      <c r="H410" s="4"/>
      <c r="I410" t="s">
        <v>66</v>
      </c>
      <c r="J410">
        <v>1.04706</v>
      </c>
      <c r="K410" s="5">
        <v>2.22471491605066</v>
      </c>
      <c r="L410">
        <v>1.31242948772562</v>
      </c>
      <c r="O410">
        <v>0.0009024</v>
      </c>
      <c r="P410" s="6">
        <v>2.58134973404255</v>
      </c>
      <c r="Q410" s="4">
        <v>0.861841728267721</v>
      </c>
      <c r="R410" s="4"/>
      <c r="T410">
        <v>28.008</v>
      </c>
      <c r="U410" s="7">
        <v>0.0831694515852614</v>
      </c>
      <c r="V410">
        <v>26.7491834278838</v>
      </c>
      <c r="Y410">
        <v>0.00364519</v>
      </c>
      <c r="Z410" s="8">
        <v>0.639036648295425</v>
      </c>
      <c r="AA410">
        <v>3.48135732431761</v>
      </c>
      <c r="AD410" s="9">
        <v>1.253205</v>
      </c>
      <c r="AE410">
        <v>1.77522026807318</v>
      </c>
      <c r="AH410">
        <v>1.7543</v>
      </c>
      <c r="AI410" s="10">
        <v>1.32782876360942</v>
      </c>
      <c r="AJ410">
        <v>1.67545317364812</v>
      </c>
    </row>
    <row r="411" customFormat="1" spans="1:36">
      <c r="A411" s="1" t="s">
        <v>606</v>
      </c>
      <c r="B411" s="1">
        <v>648643046</v>
      </c>
      <c r="C411" s="2">
        <v>0.174105</v>
      </c>
      <c r="E411">
        <v>67.437433</v>
      </c>
      <c r="F411">
        <v>9618.442151</v>
      </c>
      <c r="G411" s="3">
        <v>9.618442151</v>
      </c>
      <c r="H411" s="4"/>
      <c r="I411" t="s">
        <v>606</v>
      </c>
      <c r="J411">
        <v>69.7062</v>
      </c>
      <c r="K411" s="5">
        <v>9.30538525984776</v>
      </c>
      <c r="L411">
        <v>0.967452432916105</v>
      </c>
      <c r="O411">
        <v>0.1439696</v>
      </c>
      <c r="P411" s="6">
        <v>4.50541674075638</v>
      </c>
      <c r="Q411" s="4">
        <v>2.06537725482095</v>
      </c>
      <c r="R411" s="4"/>
      <c r="T411">
        <v>1004.559</v>
      </c>
      <c r="U411" s="7">
        <v>0.645699302878178</v>
      </c>
      <c r="V411">
        <v>14.4113292648287</v>
      </c>
      <c r="Y411">
        <v>0.183125</v>
      </c>
      <c r="Z411" s="8">
        <v>3.5420780668942</v>
      </c>
      <c r="AA411">
        <v>2.62709773305674</v>
      </c>
      <c r="AD411" s="9">
        <v>1.557921</v>
      </c>
      <c r="AE411">
        <v>5.97295065657871</v>
      </c>
      <c r="AH411">
        <v>148.584</v>
      </c>
      <c r="AI411" s="10">
        <v>4.3654972675389</v>
      </c>
      <c r="AJ411">
        <v>2.13157509661981</v>
      </c>
    </row>
    <row r="412" customFormat="1" spans="1:36">
      <c r="A412" s="1" t="s">
        <v>577</v>
      </c>
      <c r="B412" s="1">
        <v>323280496</v>
      </c>
      <c r="C412" s="2">
        <v>0.177912</v>
      </c>
      <c r="E412">
        <v>19.079412</v>
      </c>
      <c r="F412">
        <v>16943.944553</v>
      </c>
      <c r="G412" s="3">
        <v>16.943944553</v>
      </c>
      <c r="H412" s="4"/>
      <c r="I412" t="s">
        <v>577</v>
      </c>
      <c r="J412">
        <v>25.1461</v>
      </c>
      <c r="K412" s="5">
        <v>12.8560888567213</v>
      </c>
      <c r="L412">
        <v>0.758742382360139</v>
      </c>
      <c r="O412">
        <v>0.052304</v>
      </c>
      <c r="P412" s="6">
        <v>6.18079871520343</v>
      </c>
      <c r="Q412" s="4">
        <v>2.08000445397099</v>
      </c>
      <c r="R412" s="4"/>
      <c r="T412">
        <v>65.646</v>
      </c>
      <c r="U412" s="7">
        <v>4.92460311367029</v>
      </c>
      <c r="V412">
        <v>2.61058374857334</v>
      </c>
      <c r="Y412">
        <v>0.00156854</v>
      </c>
      <c r="Z412" s="8">
        <v>206.102806431459</v>
      </c>
      <c r="AA412">
        <v>0.0623770684121991</v>
      </c>
      <c r="AD412" s="9">
        <v>2.342808</v>
      </c>
      <c r="AE412">
        <v>5.4874701028515</v>
      </c>
      <c r="AH412">
        <v>142.0867</v>
      </c>
      <c r="AI412" s="10">
        <v>2.27523403668324</v>
      </c>
      <c r="AJ412">
        <v>5.65044678896529</v>
      </c>
    </row>
    <row r="413" customFormat="1" spans="1:36">
      <c r="A413" s="1" t="s">
        <v>663</v>
      </c>
      <c r="B413" s="1">
        <v>323280496</v>
      </c>
      <c r="C413" s="2">
        <v>0.177912</v>
      </c>
      <c r="E413">
        <v>18.884441</v>
      </c>
      <c r="F413">
        <v>17118.880882</v>
      </c>
      <c r="G413" s="3">
        <v>17.118880882</v>
      </c>
      <c r="H413" s="4"/>
      <c r="I413" t="s">
        <v>663</v>
      </c>
      <c r="J413">
        <v>25.8809</v>
      </c>
      <c r="K413" s="5">
        <v>12.4910840040339</v>
      </c>
      <c r="L413">
        <v>0.729667090397706</v>
      </c>
      <c r="O413">
        <v>0.0497728</v>
      </c>
      <c r="P413" s="6">
        <v>6.49512376237624</v>
      </c>
      <c r="Q413" s="4">
        <v>1.92314795853313</v>
      </c>
      <c r="R413" s="4"/>
      <c r="T413">
        <v>67.256</v>
      </c>
      <c r="U413" s="7">
        <v>4.80671606994172</v>
      </c>
      <c r="V413">
        <v>2.59867315278835</v>
      </c>
      <c r="Y413">
        <v>0.00170779</v>
      </c>
      <c r="Z413" s="8">
        <v>189.297569373284</v>
      </c>
      <c r="AA413">
        <v>0.0659864996966875</v>
      </c>
      <c r="AD413" s="9">
        <v>2.345709</v>
      </c>
      <c r="AE413">
        <v>5.32507826164024</v>
      </c>
      <c r="AH413">
        <v>141.7177</v>
      </c>
      <c r="AI413" s="10">
        <v>2.28115821806309</v>
      </c>
      <c r="AJ413">
        <v>5.47576398038708</v>
      </c>
    </row>
    <row r="414" customFormat="1" spans="1:36">
      <c r="A414" s="1" t="s">
        <v>24</v>
      </c>
      <c r="B414" s="1">
        <v>971290</v>
      </c>
      <c r="C414" s="2">
        <v>0.178177</v>
      </c>
      <c r="E414">
        <v>1.216428</v>
      </c>
      <c r="F414">
        <v>798.477284</v>
      </c>
      <c r="G414" s="3">
        <v>0.798477284</v>
      </c>
      <c r="H414" s="4"/>
      <c r="I414" t="s">
        <v>24</v>
      </c>
      <c r="J414">
        <v>0.51382</v>
      </c>
      <c r="K414" s="5">
        <v>1.89033124440466</v>
      </c>
      <c r="L414">
        <v>2.36742019126076</v>
      </c>
      <c r="O414">
        <v>0.0005216</v>
      </c>
      <c r="P414" s="6">
        <v>1.86213573619632</v>
      </c>
      <c r="Q414" s="4">
        <v>1.01514148923748</v>
      </c>
      <c r="R414" s="4"/>
      <c r="T414">
        <v>1.099</v>
      </c>
      <c r="U414" s="7">
        <v>0.883794358507734</v>
      </c>
      <c r="V414">
        <v>2.13888132030672</v>
      </c>
      <c r="Y414">
        <v>0.0016354</v>
      </c>
      <c r="Z414" s="8">
        <v>0.59391586156292</v>
      </c>
      <c r="AA414">
        <v>3.18282667081857</v>
      </c>
      <c r="AD414" s="9">
        <v>1.241514</v>
      </c>
      <c r="AE414">
        <v>1.52260163349318</v>
      </c>
      <c r="AH414">
        <v>0.7968</v>
      </c>
      <c r="AI414" s="10">
        <v>1.21898845381526</v>
      </c>
      <c r="AJ414">
        <v>1.55073761239344</v>
      </c>
    </row>
    <row r="415" customFormat="1" spans="1:36">
      <c r="A415" s="1" t="s">
        <v>469</v>
      </c>
      <c r="B415" s="1">
        <v>81488060</v>
      </c>
      <c r="C415" s="2">
        <v>0.179308</v>
      </c>
      <c r="E415">
        <v>6.829424</v>
      </c>
      <c r="F415">
        <v>11931.908301</v>
      </c>
      <c r="G415" s="3">
        <v>11.931908301</v>
      </c>
      <c r="H415" s="4"/>
      <c r="I415" t="s">
        <v>469</v>
      </c>
      <c r="J415">
        <v>5.83083</v>
      </c>
      <c r="K415" s="5">
        <v>13.9753791484231</v>
      </c>
      <c r="L415">
        <v>1.17126102513308</v>
      </c>
      <c r="O415">
        <v>0.0100784</v>
      </c>
      <c r="P415" s="6">
        <v>8.08541633592634</v>
      </c>
      <c r="Q415" s="4">
        <v>1.72846747375588</v>
      </c>
      <c r="R415" s="4"/>
      <c r="T415">
        <v>42.503</v>
      </c>
      <c r="U415" s="7">
        <v>1.91723078370939</v>
      </c>
      <c r="V415">
        <v>7.28935674680963</v>
      </c>
      <c r="Y415">
        <v>0.0106323</v>
      </c>
      <c r="Z415" s="8">
        <v>7.66419871523565</v>
      </c>
      <c r="AA415">
        <v>1.82346252591827</v>
      </c>
      <c r="AD415" s="9">
        <v>2.915154</v>
      </c>
      <c r="AE415">
        <v>4.79404489382829</v>
      </c>
      <c r="AH415">
        <v>12.2391</v>
      </c>
      <c r="AI415" s="10">
        <v>6.65801080144782</v>
      </c>
      <c r="AJ415">
        <v>2.09903221325266</v>
      </c>
    </row>
    <row r="416" customFormat="1" spans="1:36">
      <c r="A416" s="1" t="s">
        <v>87</v>
      </c>
      <c r="B416" s="1">
        <v>3193930</v>
      </c>
      <c r="C416" s="2">
        <v>0.181876</v>
      </c>
      <c r="E416">
        <v>1.741235</v>
      </c>
      <c r="F416">
        <v>1834.290147</v>
      </c>
      <c r="G416" s="3">
        <v>1.834290147</v>
      </c>
      <c r="H416" s="4"/>
      <c r="I416" t="s">
        <v>87</v>
      </c>
      <c r="J416">
        <v>1.51317</v>
      </c>
      <c r="K416" s="5">
        <v>2.11075424440083</v>
      </c>
      <c r="L416">
        <v>1.15071993809321</v>
      </c>
      <c r="O416">
        <v>0.0013264</v>
      </c>
      <c r="P416" s="6">
        <v>2.4079689384801</v>
      </c>
      <c r="Q416" s="4">
        <v>0.876570378741318</v>
      </c>
      <c r="R416" s="4"/>
      <c r="T416">
        <v>35.35</v>
      </c>
      <c r="U416" s="7">
        <v>0.0903516265912306</v>
      </c>
      <c r="V416">
        <v>23.3615522380169</v>
      </c>
      <c r="Y416">
        <v>0.00390339</v>
      </c>
      <c r="Z416" s="8">
        <v>0.818245166381018</v>
      </c>
      <c r="AA416">
        <v>2.57961101528579</v>
      </c>
      <c r="AD416" s="9">
        <v>1.306425</v>
      </c>
      <c r="AE416">
        <v>1.61567196310605</v>
      </c>
      <c r="AH416">
        <v>1.8166</v>
      </c>
      <c r="AI416" s="10">
        <v>1.75819112627986</v>
      </c>
      <c r="AJ416">
        <v>1.20052604796553</v>
      </c>
    </row>
    <row r="417" customFormat="1" spans="1:36">
      <c r="A417" s="1" t="s">
        <v>549</v>
      </c>
      <c r="B417" s="1">
        <v>194811630</v>
      </c>
      <c r="C417" s="2">
        <v>0.184325</v>
      </c>
      <c r="E417">
        <v>15.897313</v>
      </c>
      <c r="F417">
        <v>12254.374404</v>
      </c>
      <c r="G417" s="3">
        <v>12.254374404</v>
      </c>
      <c r="H417" s="4"/>
      <c r="I417" t="s">
        <v>549</v>
      </c>
      <c r="J417">
        <v>31.3038</v>
      </c>
      <c r="K417" s="5">
        <v>6.22325819868514</v>
      </c>
      <c r="L417">
        <v>0.507839730819207</v>
      </c>
      <c r="O417">
        <v>0.0518864</v>
      </c>
      <c r="P417" s="6">
        <v>3.75457981282186</v>
      </c>
      <c r="Q417" s="4">
        <v>1.65751122866872</v>
      </c>
      <c r="R417" s="4"/>
      <c r="T417">
        <v>85.846</v>
      </c>
      <c r="U417" s="7">
        <v>2.2693151690236</v>
      </c>
      <c r="V417">
        <v>2.74235076891623</v>
      </c>
      <c r="Y417">
        <v>0.00132883</v>
      </c>
      <c r="Z417" s="8">
        <v>146.603877094888</v>
      </c>
      <c r="AA417">
        <v>0.0424494789769932</v>
      </c>
      <c r="AD417" s="9">
        <v>2.136888</v>
      </c>
      <c r="AE417">
        <v>2.91229966132298</v>
      </c>
      <c r="AH417">
        <v>121.3262</v>
      </c>
      <c r="AI417" s="10">
        <v>1.60568475729068</v>
      </c>
      <c r="AJ417">
        <v>3.87576588145848</v>
      </c>
    </row>
    <row r="418" customFormat="1" spans="1:36">
      <c r="A418" s="1" t="s">
        <v>88</v>
      </c>
      <c r="B418" s="1">
        <v>3193930</v>
      </c>
      <c r="C418" s="2">
        <v>0.185133</v>
      </c>
      <c r="E418">
        <v>1.728655</v>
      </c>
      <c r="F418">
        <v>1847.638794</v>
      </c>
      <c r="G418" s="3">
        <v>1.847638794</v>
      </c>
      <c r="H418" s="4"/>
      <c r="I418" t="s">
        <v>88</v>
      </c>
      <c r="J418">
        <v>2.19659</v>
      </c>
      <c r="K418" s="5">
        <v>1.4540401258314</v>
      </c>
      <c r="L418">
        <v>0.786972069732047</v>
      </c>
      <c r="O418">
        <v>0.0012</v>
      </c>
      <c r="P418" s="6">
        <v>2.66160833333333</v>
      </c>
      <c r="Q418" s="4">
        <v>0.546301312488903</v>
      </c>
      <c r="R418" s="4"/>
      <c r="T418">
        <v>35.216</v>
      </c>
      <c r="U418" s="7">
        <v>0.0906954225352113</v>
      </c>
      <c r="V418">
        <v>16.0321225171743</v>
      </c>
      <c r="Y418">
        <v>0.00399703</v>
      </c>
      <c r="Z418" s="8">
        <v>0.79907581379174</v>
      </c>
      <c r="AA418">
        <v>1.8196522792146</v>
      </c>
      <c r="AD418" s="9">
        <v>1.31865</v>
      </c>
      <c r="AE418">
        <v>1.10267328391264</v>
      </c>
      <c r="AH418">
        <v>1.8258</v>
      </c>
      <c r="AI418" s="10">
        <v>1.74933179975901</v>
      </c>
      <c r="AJ418">
        <v>0.831197446951866</v>
      </c>
    </row>
    <row r="419" customFormat="1" spans="1:36">
      <c r="A419" s="1" t="s">
        <v>325</v>
      </c>
      <c r="B419" s="1">
        <v>22590686</v>
      </c>
      <c r="C419" s="2">
        <v>0.187118</v>
      </c>
      <c r="E419">
        <v>6.354001</v>
      </c>
      <c r="F419">
        <v>3555.348053</v>
      </c>
      <c r="G419" s="3">
        <v>3.555348053</v>
      </c>
      <c r="H419" s="4"/>
      <c r="I419" t="s">
        <v>325</v>
      </c>
      <c r="J419">
        <v>6.65955</v>
      </c>
      <c r="K419" s="5">
        <v>3.39222409922592</v>
      </c>
      <c r="L419">
        <v>0.954118710364676</v>
      </c>
      <c r="O419">
        <v>0.003648</v>
      </c>
      <c r="P419" s="6">
        <v>6.19262225877193</v>
      </c>
      <c r="Q419" s="4">
        <v>0.547784760231547</v>
      </c>
      <c r="R419" s="4"/>
      <c r="T419">
        <v>43.415</v>
      </c>
      <c r="U419" s="7">
        <v>0.520342876885869</v>
      </c>
      <c r="V419">
        <v>6.51920925588065</v>
      </c>
      <c r="Y419">
        <v>0.00377584</v>
      </c>
      <c r="Z419" s="8">
        <v>5.98295637527014</v>
      </c>
      <c r="AA419">
        <v>0.56698125248703</v>
      </c>
      <c r="AD419" s="9">
        <v>2.554662</v>
      </c>
      <c r="AE419">
        <v>1.3278563266788</v>
      </c>
      <c r="AH419">
        <v>4.3001</v>
      </c>
      <c r="AI419" s="10">
        <v>5.25352573195972</v>
      </c>
      <c r="AJ419">
        <v>0.645704289328858</v>
      </c>
    </row>
    <row r="420" customFormat="1" spans="1:36">
      <c r="A420" s="1" t="s">
        <v>664</v>
      </c>
      <c r="B420" s="1">
        <v>953552282</v>
      </c>
      <c r="C420" s="2">
        <v>0.187342</v>
      </c>
      <c r="E420">
        <v>181.183936</v>
      </c>
      <c r="F420">
        <v>5262.896393</v>
      </c>
      <c r="G420" s="3">
        <v>5.262896393</v>
      </c>
      <c r="H420" s="4"/>
      <c r="I420" t="s">
        <v>664</v>
      </c>
      <c r="J420">
        <v>147.074</v>
      </c>
      <c r="K420" s="5">
        <v>6.48348642180127</v>
      </c>
      <c r="L420">
        <v>1.23192362867427</v>
      </c>
      <c r="O420">
        <v>0.1683312</v>
      </c>
      <c r="P420" s="6">
        <v>5.66473881253148</v>
      </c>
      <c r="Q420" s="4">
        <v>1.14453404408665</v>
      </c>
      <c r="R420" s="4"/>
      <c r="T420">
        <v>234.429</v>
      </c>
      <c r="U420" s="7">
        <v>4.06755257242065</v>
      </c>
      <c r="V420">
        <v>1.59395270408094</v>
      </c>
      <c r="Y420">
        <v>0.00145564</v>
      </c>
      <c r="Z420" s="8">
        <v>655.074250501498</v>
      </c>
      <c r="AA420">
        <v>0.00989733059548255</v>
      </c>
      <c r="AD420" s="9">
        <v>2.365503</v>
      </c>
      <c r="AE420">
        <v>2.74084895339438</v>
      </c>
      <c r="AH420">
        <v>454.836</v>
      </c>
      <c r="AI420" s="10">
        <v>2.09647495360965</v>
      </c>
      <c r="AJ420">
        <v>3.09256564722521</v>
      </c>
    </row>
    <row r="421" customFormat="1" spans="1:36">
      <c r="A421" s="1" t="s">
        <v>557</v>
      </c>
      <c r="B421" s="1">
        <v>207047594</v>
      </c>
      <c r="C421" s="2">
        <v>0.187679</v>
      </c>
      <c r="E421">
        <v>16.039513</v>
      </c>
      <c r="F421">
        <v>12908.595643</v>
      </c>
      <c r="G421" s="3">
        <v>12.908595643</v>
      </c>
      <c r="H421" s="4"/>
      <c r="I421" t="s">
        <v>557</v>
      </c>
      <c r="J421">
        <v>34.0699</v>
      </c>
      <c r="K421" s="5">
        <v>6.07714123023549</v>
      </c>
      <c r="L421">
        <v>0.470782523390216</v>
      </c>
      <c r="O421">
        <v>0.0533376</v>
      </c>
      <c r="P421" s="6">
        <v>3.88183184095272</v>
      </c>
      <c r="Q421" s="4">
        <v>1.56553438665802</v>
      </c>
      <c r="R421" s="4"/>
      <c r="T421">
        <v>96.01</v>
      </c>
      <c r="U421" s="7">
        <v>2.15652113321529</v>
      </c>
      <c r="V421">
        <v>2.81802999128263</v>
      </c>
      <c r="Y421">
        <v>0.00133087</v>
      </c>
      <c r="Z421" s="8">
        <v>155.57311683335</v>
      </c>
      <c r="AA421">
        <v>0.0390629265128457</v>
      </c>
      <c r="AD421" s="9">
        <v>2.117886</v>
      </c>
      <c r="AE421">
        <v>2.86943736831703</v>
      </c>
      <c r="AH421">
        <v>129.7377</v>
      </c>
      <c r="AI421" s="10">
        <v>1.59589382268994</v>
      </c>
      <c r="AJ421">
        <v>3.80798593479875</v>
      </c>
    </row>
    <row r="422" customFormat="1" spans="1:36">
      <c r="A422" s="1" t="s">
        <v>556</v>
      </c>
      <c r="B422" s="1">
        <v>202252606</v>
      </c>
      <c r="C422" s="2">
        <v>0.187748</v>
      </c>
      <c r="E422">
        <v>18.192688</v>
      </c>
      <c r="F422">
        <v>11117.246865</v>
      </c>
      <c r="G422" s="3">
        <v>11.117246865</v>
      </c>
      <c r="H422" s="4"/>
      <c r="I422" t="s">
        <v>556</v>
      </c>
      <c r="J422">
        <v>33.6435</v>
      </c>
      <c r="K422" s="5">
        <v>6.01163987100034</v>
      </c>
      <c r="L422">
        <v>0.540748977152478</v>
      </c>
      <c r="O422">
        <v>0.0529088</v>
      </c>
      <c r="P422" s="6">
        <v>3.82266477410185</v>
      </c>
      <c r="Q422" s="4">
        <v>1.57263067160075</v>
      </c>
      <c r="R422" s="4"/>
      <c r="T422">
        <v>87.672</v>
      </c>
      <c r="U422" s="7">
        <v>2.30692360160599</v>
      </c>
      <c r="V422">
        <v>2.60591198894289</v>
      </c>
      <c r="Y422">
        <v>0.00119044</v>
      </c>
      <c r="Z422" s="8">
        <v>169.897353919559</v>
      </c>
      <c r="AA422">
        <v>0.0353839523236286</v>
      </c>
      <c r="AD422" s="9">
        <v>2.125623</v>
      </c>
      <c r="AE422">
        <v>2.82817784291962</v>
      </c>
      <c r="AH422">
        <v>127.077</v>
      </c>
      <c r="AI422" s="10">
        <v>1.5915752339133</v>
      </c>
      <c r="AJ422">
        <v>3.7771634936912</v>
      </c>
    </row>
    <row r="423" customFormat="1" spans="1:36">
      <c r="A423" s="1" t="s">
        <v>157</v>
      </c>
      <c r="B423" s="1">
        <v>6673982</v>
      </c>
      <c r="C423" s="2">
        <v>0.188758</v>
      </c>
      <c r="E423">
        <v>6.227281</v>
      </c>
      <c r="F423">
        <v>1071.732893</v>
      </c>
      <c r="G423" s="3">
        <v>1.071732893</v>
      </c>
      <c r="H423" s="4"/>
      <c r="I423" t="s">
        <v>157</v>
      </c>
      <c r="J423">
        <v>5.47806</v>
      </c>
      <c r="K423" s="5">
        <v>1.21831122696721</v>
      </c>
      <c r="L423">
        <v>1.13676759846094</v>
      </c>
      <c r="O423">
        <v>0.0032976</v>
      </c>
      <c r="P423" s="6">
        <v>2.02389070839398</v>
      </c>
      <c r="Q423" s="4">
        <v>0.601964929190261</v>
      </c>
      <c r="R423" s="4"/>
      <c r="T423">
        <v>12.994</v>
      </c>
      <c r="U423" s="7">
        <v>0.513620286285978</v>
      </c>
      <c r="V423">
        <v>2.37200760853295</v>
      </c>
      <c r="Y423">
        <v>0.00738046</v>
      </c>
      <c r="Z423" s="8">
        <v>0.904277240172022</v>
      </c>
      <c r="AA423">
        <v>1.34727622552509</v>
      </c>
      <c r="AD423" s="9">
        <v>1.072086</v>
      </c>
      <c r="AE423">
        <v>1.13639318764279</v>
      </c>
      <c r="AH423">
        <v>4.6657</v>
      </c>
      <c r="AI423" s="10">
        <v>1.43043530445592</v>
      </c>
      <c r="AJ423">
        <v>0.851706626068353</v>
      </c>
    </row>
    <row r="424" customFormat="1" spans="1:36">
      <c r="A424" s="1" t="s">
        <v>544</v>
      </c>
      <c r="B424" s="1">
        <v>187790122</v>
      </c>
      <c r="C424" s="2">
        <v>0.189501</v>
      </c>
      <c r="E424">
        <v>18.525203</v>
      </c>
      <c r="F424">
        <v>10137.007518</v>
      </c>
      <c r="G424" s="3">
        <v>10.137007518</v>
      </c>
      <c r="H424" s="4"/>
      <c r="I424" t="s">
        <v>544</v>
      </c>
      <c r="J424">
        <v>30.4506</v>
      </c>
      <c r="K424" s="5">
        <v>6.16704176600789</v>
      </c>
      <c r="L424">
        <v>0.608369063064938</v>
      </c>
      <c r="O424">
        <v>0.0515376</v>
      </c>
      <c r="P424" s="6">
        <v>3.64374984477352</v>
      </c>
      <c r="Q424" s="4">
        <v>1.69249866997695</v>
      </c>
      <c r="R424" s="4"/>
      <c r="T424">
        <v>90.671</v>
      </c>
      <c r="U424" s="7">
        <v>2.07111559374001</v>
      </c>
      <c r="V424">
        <v>2.97764247666713</v>
      </c>
      <c r="Y424">
        <v>0.00118983</v>
      </c>
      <c r="Z424" s="8">
        <v>157.829372263265</v>
      </c>
      <c r="AA424">
        <v>0.0390741069141495</v>
      </c>
      <c r="AD424" s="9">
        <v>2.135118</v>
      </c>
      <c r="AE424">
        <v>2.8883845136465</v>
      </c>
      <c r="AH424">
        <v>117.4773</v>
      </c>
      <c r="AI424" s="10">
        <v>1.59852262522206</v>
      </c>
      <c r="AJ424">
        <v>3.85796338988394</v>
      </c>
    </row>
    <row r="425" customFormat="1" spans="1:36">
      <c r="A425" s="1" t="s">
        <v>496</v>
      </c>
      <c r="B425" s="1">
        <v>103002896</v>
      </c>
      <c r="C425" s="2">
        <v>0.190406</v>
      </c>
      <c r="E425">
        <v>57.9363</v>
      </c>
      <c r="F425">
        <v>1777.864582</v>
      </c>
      <c r="G425" s="3">
        <v>1.777864582</v>
      </c>
      <c r="H425" s="4"/>
      <c r="I425" t="s">
        <v>496</v>
      </c>
      <c r="J425">
        <v>63.9347</v>
      </c>
      <c r="K425" s="5">
        <v>1.61106403877706</v>
      </c>
      <c r="L425">
        <v>0.906179275456799</v>
      </c>
      <c r="O425">
        <v>0.0407328</v>
      </c>
      <c r="P425" s="6">
        <v>2.52874577735879</v>
      </c>
      <c r="Q425" s="4">
        <v>0.637100041135721</v>
      </c>
      <c r="R425" s="4"/>
      <c r="T425">
        <v>1429.925</v>
      </c>
      <c r="U425" s="7">
        <v>0.0720337751979999</v>
      </c>
      <c r="V425">
        <v>22.3653978199632</v>
      </c>
      <c r="Y425">
        <v>0.0101908</v>
      </c>
      <c r="Z425" s="8">
        <v>10.1074396514503</v>
      </c>
      <c r="AA425">
        <v>0.159393881569789</v>
      </c>
      <c r="AD425" s="9">
        <v>1.266654</v>
      </c>
      <c r="AE425">
        <v>1.27190538124623</v>
      </c>
      <c r="AH425">
        <v>86.9137</v>
      </c>
      <c r="AI425" s="10">
        <v>1.18511691482471</v>
      </c>
      <c r="AJ425">
        <v>1.35941358917771</v>
      </c>
    </row>
    <row r="426" customFormat="1" spans="1:36">
      <c r="A426" s="1" t="s">
        <v>558</v>
      </c>
      <c r="B426" s="1">
        <v>209498722</v>
      </c>
      <c r="C426" s="2">
        <v>0.191484</v>
      </c>
      <c r="E426">
        <v>17.626148</v>
      </c>
      <c r="F426">
        <v>11885.678222</v>
      </c>
      <c r="G426" s="3">
        <v>11.885678222</v>
      </c>
      <c r="H426" s="4"/>
      <c r="I426" t="s">
        <v>558</v>
      </c>
      <c r="J426">
        <v>37.7228</v>
      </c>
      <c r="K426" s="5">
        <v>5.55363658052955</v>
      </c>
      <c r="L426">
        <v>0.467254495435519</v>
      </c>
      <c r="O426">
        <v>0.0566224</v>
      </c>
      <c r="P426" s="6">
        <v>3.69992656616463</v>
      </c>
      <c r="Q426" s="4">
        <v>1.50101265017443</v>
      </c>
      <c r="R426" s="4"/>
      <c r="T426">
        <v>102.804</v>
      </c>
      <c r="U426" s="7">
        <v>2.03784601766468</v>
      </c>
      <c r="V426">
        <v>2.72524839089357</v>
      </c>
      <c r="Y426">
        <v>0.00109024</v>
      </c>
      <c r="Z426" s="8">
        <v>192.158352289404</v>
      </c>
      <c r="AA426">
        <v>0.0289013540882437</v>
      </c>
      <c r="AD426" s="9">
        <v>2.129211</v>
      </c>
      <c r="AE426">
        <v>2.60830729341974</v>
      </c>
      <c r="AH426">
        <v>131.1303</v>
      </c>
      <c r="AI426" s="10">
        <v>1.59763778470727</v>
      </c>
      <c r="AJ426">
        <v>3.47615500440052</v>
      </c>
    </row>
    <row r="427" customFormat="1" spans="1:36">
      <c r="A427" s="1" t="s">
        <v>507</v>
      </c>
      <c r="B427" s="1">
        <v>115027306</v>
      </c>
      <c r="C427" s="2">
        <v>0.192014</v>
      </c>
      <c r="E427">
        <v>10.749381</v>
      </c>
      <c r="F427">
        <v>10700.830969</v>
      </c>
      <c r="G427" s="3">
        <v>10.700830969</v>
      </c>
      <c r="H427" s="4"/>
      <c r="I427" t="s">
        <v>507</v>
      </c>
      <c r="J427">
        <v>14.814</v>
      </c>
      <c r="K427" s="5">
        <v>7.76477021736195</v>
      </c>
      <c r="L427">
        <v>0.725623107201326</v>
      </c>
      <c r="O427">
        <v>0.0333616</v>
      </c>
      <c r="P427" s="6">
        <v>3.44789536473071</v>
      </c>
      <c r="Q427" s="4">
        <v>2.2520318617524</v>
      </c>
      <c r="R427" s="4"/>
      <c r="T427">
        <v>52.716</v>
      </c>
      <c r="U427" s="7">
        <v>2.18201885575537</v>
      </c>
      <c r="V427">
        <v>3.55852571891454</v>
      </c>
      <c r="Y427">
        <v>0.00110335</v>
      </c>
      <c r="Z427" s="8">
        <v>104.252781075815</v>
      </c>
      <c r="AA427">
        <v>0.0744802214121777</v>
      </c>
      <c r="AD427" s="9">
        <v>2.138754</v>
      </c>
      <c r="AE427">
        <v>3.63051113749499</v>
      </c>
      <c r="AH427">
        <v>79.2135</v>
      </c>
      <c r="AI427" s="10">
        <v>1.45211745472678</v>
      </c>
      <c r="AJ427">
        <v>5.34720534629405</v>
      </c>
    </row>
    <row r="428" customFormat="1" spans="1:36">
      <c r="A428" s="1" t="s">
        <v>100</v>
      </c>
      <c r="B428" s="1">
        <v>4058450</v>
      </c>
      <c r="C428" s="2">
        <v>0.195903</v>
      </c>
      <c r="E428">
        <v>1.956024</v>
      </c>
      <c r="F428">
        <v>2074.846831</v>
      </c>
      <c r="G428" s="3">
        <v>2.074846831</v>
      </c>
      <c r="H428" s="4"/>
      <c r="I428" t="s">
        <v>100</v>
      </c>
      <c r="J428">
        <v>1.96327</v>
      </c>
      <c r="K428" s="5">
        <v>2.06718892460028</v>
      </c>
      <c r="L428">
        <v>0.996309170255221</v>
      </c>
      <c r="O428">
        <v>0.0016352</v>
      </c>
      <c r="P428" s="6">
        <v>2.48192881604697</v>
      </c>
      <c r="Q428" s="4">
        <v>0.832896137566407</v>
      </c>
      <c r="R428" s="4"/>
      <c r="T428">
        <v>40.866</v>
      </c>
      <c r="U428" s="7">
        <v>0.0993111633142466</v>
      </c>
      <c r="V428">
        <v>20.8152724790783</v>
      </c>
      <c r="Y428">
        <v>0.00445848</v>
      </c>
      <c r="Z428" s="8">
        <v>0.910276596508227</v>
      </c>
      <c r="AA428">
        <v>2.27094592185486</v>
      </c>
      <c r="AD428" s="9">
        <v>1.276353</v>
      </c>
      <c r="AE428">
        <v>1.61960595900999</v>
      </c>
      <c r="AH428">
        <v>2.5817</v>
      </c>
      <c r="AI428" s="10">
        <v>1.57200681721346</v>
      </c>
      <c r="AJ428">
        <v>1.31499997453229</v>
      </c>
    </row>
    <row r="429" customFormat="1" spans="1:36">
      <c r="A429" s="1" t="s">
        <v>101</v>
      </c>
      <c r="B429" s="1">
        <v>4058450</v>
      </c>
      <c r="C429" s="2">
        <v>0.195903</v>
      </c>
      <c r="E429">
        <v>1.968449</v>
      </c>
      <c r="F429">
        <v>2061.749622</v>
      </c>
      <c r="G429" s="3">
        <v>2.061749622</v>
      </c>
      <c r="H429" s="4"/>
      <c r="I429" t="s">
        <v>101</v>
      </c>
      <c r="J429">
        <v>2.10924</v>
      </c>
      <c r="K429" s="5">
        <v>1.92412907018642</v>
      </c>
      <c r="L429">
        <v>0.933250599226456</v>
      </c>
      <c r="O429">
        <v>0.001488</v>
      </c>
      <c r="P429" s="6">
        <v>2.72745295698925</v>
      </c>
      <c r="Q429" s="4">
        <v>0.705467372134039</v>
      </c>
      <c r="R429" s="4"/>
      <c r="T429">
        <v>40.624</v>
      </c>
      <c r="U429" s="7">
        <v>0.0999027668373375</v>
      </c>
      <c r="V429">
        <v>19.2600178263261</v>
      </c>
      <c r="Y429">
        <v>0.00438934</v>
      </c>
      <c r="Z429" s="8">
        <v>0.924615090195792</v>
      </c>
      <c r="AA429">
        <v>2.08100548064706</v>
      </c>
      <c r="AD429" s="9">
        <v>1.262589</v>
      </c>
      <c r="AE429">
        <v>1.52395519855346</v>
      </c>
      <c r="AH429">
        <v>2.6838</v>
      </c>
      <c r="AI429" s="10">
        <v>1.51220284670989</v>
      </c>
      <c r="AJ429">
        <v>1.27240143369176</v>
      </c>
    </row>
    <row r="430" customFormat="1" spans="1:36">
      <c r="A430" s="1" t="s">
        <v>537</v>
      </c>
      <c r="B430" s="1">
        <v>164773726</v>
      </c>
      <c r="C430" s="2">
        <v>0.202367</v>
      </c>
      <c r="E430">
        <v>12.474853</v>
      </c>
      <c r="F430">
        <v>13208.470638</v>
      </c>
      <c r="G430" s="3">
        <v>13.208470638</v>
      </c>
      <c r="H430" s="4"/>
      <c r="I430" t="s">
        <v>537</v>
      </c>
      <c r="J430">
        <v>24.1486</v>
      </c>
      <c r="K430" s="5">
        <v>6.82332416786066</v>
      </c>
      <c r="L430">
        <v>0.516586995941101</v>
      </c>
      <c r="O430">
        <v>0.0439392</v>
      </c>
      <c r="P430" s="6">
        <v>3.75003928155269</v>
      </c>
      <c r="Q430" s="4">
        <v>1.81953405166345</v>
      </c>
      <c r="R430" s="4"/>
      <c r="T430">
        <v>74.483</v>
      </c>
      <c r="U430" s="7">
        <v>2.21223267054227</v>
      </c>
      <c r="V430">
        <v>3.0843609981531</v>
      </c>
      <c r="Y430">
        <v>0.00116733</v>
      </c>
      <c r="Z430" s="8">
        <v>141.154365946219</v>
      </c>
      <c r="AA430">
        <v>0.048339448249588</v>
      </c>
      <c r="AD430" s="9">
        <v>2.117235</v>
      </c>
      <c r="AE430">
        <v>3.22275239539336</v>
      </c>
      <c r="AH430">
        <v>104.9595</v>
      </c>
      <c r="AI430" s="10">
        <v>1.56987910575031</v>
      </c>
      <c r="AJ430">
        <v>4.34640103360029</v>
      </c>
    </row>
    <row r="431" customFormat="1" spans="1:36">
      <c r="A431" s="1" t="s">
        <v>34</v>
      </c>
      <c r="B431" s="1">
        <v>1487464</v>
      </c>
      <c r="C431" s="2">
        <v>0.203175</v>
      </c>
      <c r="E431">
        <v>1.426961</v>
      </c>
      <c r="F431">
        <v>1042.399987</v>
      </c>
      <c r="G431" s="3">
        <v>1.042399987</v>
      </c>
      <c r="H431" s="4"/>
      <c r="I431" t="s">
        <v>34</v>
      </c>
      <c r="J431">
        <v>0.498192</v>
      </c>
      <c r="K431" s="5">
        <v>2.98572437935575</v>
      </c>
      <c r="L431">
        <v>2.86427898752051</v>
      </c>
      <c r="O431">
        <v>0.0006592</v>
      </c>
      <c r="P431" s="6">
        <v>2.25646844660194</v>
      </c>
      <c r="Q431" s="4">
        <v>1.32318463564248</v>
      </c>
      <c r="R431" s="4"/>
      <c r="T431">
        <v>2.148</v>
      </c>
      <c r="U431" s="7">
        <v>0.692487895716946</v>
      </c>
      <c r="V431">
        <v>4.31159071201464</v>
      </c>
      <c r="Y431">
        <v>0.0019286</v>
      </c>
      <c r="Z431" s="8">
        <v>0.771266203463652</v>
      </c>
      <c r="AA431">
        <v>3.87119825288242</v>
      </c>
      <c r="AD431" s="9">
        <v>1.457187</v>
      </c>
      <c r="AE431">
        <v>2.04896446328148</v>
      </c>
      <c r="AH431">
        <v>1.1161</v>
      </c>
      <c r="AI431" s="10">
        <v>1.33273362601917</v>
      </c>
      <c r="AJ431">
        <v>2.24030092815621</v>
      </c>
    </row>
    <row r="432" customFormat="1" spans="1:36">
      <c r="A432" s="1" t="s">
        <v>580</v>
      </c>
      <c r="B432" s="1">
        <v>351780064</v>
      </c>
      <c r="C432" s="2">
        <v>0.209581</v>
      </c>
      <c r="E432">
        <v>449.55511</v>
      </c>
      <c r="F432">
        <v>782.507097</v>
      </c>
      <c r="G432" s="3">
        <v>0.782507097</v>
      </c>
      <c r="H432" s="4"/>
      <c r="I432" t="s">
        <v>580</v>
      </c>
      <c r="J432">
        <v>175.216</v>
      </c>
      <c r="K432" s="5">
        <v>2.00769372660031</v>
      </c>
      <c r="L432">
        <v>2.56571951142356</v>
      </c>
      <c r="O432">
        <v>0.1695088</v>
      </c>
      <c r="P432" s="6">
        <v>2.07529086395515</v>
      </c>
      <c r="Q432" s="4">
        <v>0.96742763217971</v>
      </c>
      <c r="R432" s="4"/>
      <c r="T432">
        <v>329.239</v>
      </c>
      <c r="U432" s="7">
        <v>1.06846413699471</v>
      </c>
      <c r="V432">
        <v>1.87904643411561</v>
      </c>
      <c r="Y432">
        <v>0.00172404</v>
      </c>
      <c r="Z432" s="8">
        <v>204.044026820723</v>
      </c>
      <c r="AA432">
        <v>0.00983951237329924</v>
      </c>
      <c r="AD432" s="9">
        <v>1.201914</v>
      </c>
      <c r="AE432">
        <v>1.67041379549644</v>
      </c>
      <c r="AH432">
        <v>401.1588</v>
      </c>
      <c r="AI432" s="10">
        <v>0.876909752447161</v>
      </c>
      <c r="AJ432">
        <v>2.2895100904027</v>
      </c>
    </row>
    <row r="433" customFormat="1" spans="1:36">
      <c r="A433" s="1" t="s">
        <v>665</v>
      </c>
      <c r="B433" s="1">
        <v>1352048284</v>
      </c>
      <c r="C433" s="2">
        <v>0.211208</v>
      </c>
      <c r="E433">
        <v>110.40195</v>
      </c>
      <c r="F433">
        <v>12246.597885</v>
      </c>
      <c r="G433" s="3">
        <v>12.246597885</v>
      </c>
      <c r="H433" s="4"/>
      <c r="I433" t="s">
        <v>665</v>
      </c>
      <c r="J433">
        <v>39.6973</v>
      </c>
      <c r="K433" s="5">
        <v>34.0589481904311</v>
      </c>
      <c r="L433">
        <v>2.78109467708967</v>
      </c>
      <c r="O433">
        <v>0.0881712</v>
      </c>
      <c r="P433" s="6">
        <v>15.3343527591776</v>
      </c>
      <c r="Q433" s="4">
        <v>2.22108808407625</v>
      </c>
      <c r="R433" s="4"/>
      <c r="T433">
        <v>276.824</v>
      </c>
      <c r="U433" s="7">
        <v>4.88414401930469</v>
      </c>
      <c r="V433">
        <v>6.97337098492845</v>
      </c>
      <c r="Y433">
        <v>0.0034749</v>
      </c>
      <c r="Z433" s="8">
        <v>389.089839707618</v>
      </c>
      <c r="AA433">
        <v>0.0875349205109667</v>
      </c>
      <c r="AD433" s="9">
        <v>3.68298</v>
      </c>
      <c r="AE433">
        <v>9.2476603702521</v>
      </c>
      <c r="AH433">
        <v>100.7588</v>
      </c>
      <c r="AI433" s="10">
        <v>13.4186620324974</v>
      </c>
      <c r="AJ433">
        <v>2.5381776594378</v>
      </c>
    </row>
    <row r="434" customFormat="1" spans="1:36">
      <c r="A434" s="1" t="s">
        <v>534</v>
      </c>
      <c r="B434" s="1">
        <v>158448284</v>
      </c>
      <c r="C434" s="2">
        <v>0.219767</v>
      </c>
      <c r="E434">
        <v>34.113459</v>
      </c>
      <c r="F434">
        <v>4644.744052</v>
      </c>
      <c r="G434" s="3">
        <v>4.644744052</v>
      </c>
      <c r="H434" s="4"/>
      <c r="I434" t="s">
        <v>534</v>
      </c>
      <c r="J434">
        <v>46.9666</v>
      </c>
      <c r="K434" s="5">
        <v>3.37363752113204</v>
      </c>
      <c r="L434">
        <v>0.726334429489041</v>
      </c>
      <c r="O434">
        <v>0.0534352</v>
      </c>
      <c r="P434" s="6">
        <v>2.96524171332754</v>
      </c>
      <c r="Q434" s="4">
        <v>1.13772766178518</v>
      </c>
      <c r="R434" s="4"/>
      <c r="T434">
        <v>121.03</v>
      </c>
      <c r="U434" s="7">
        <v>1.30916536395935</v>
      </c>
      <c r="V434">
        <v>2.57693765356658</v>
      </c>
      <c r="Y434">
        <v>0.00425569</v>
      </c>
      <c r="Z434" s="8">
        <v>37.232101962314</v>
      </c>
      <c r="AA434">
        <v>0.0906109873825229</v>
      </c>
      <c r="AD434" s="9">
        <v>1.288326</v>
      </c>
      <c r="AE434">
        <v>2.61862100208491</v>
      </c>
      <c r="AH434">
        <v>108.6778</v>
      </c>
      <c r="AI434" s="10">
        <v>1.45796366875296</v>
      </c>
      <c r="AJ434">
        <v>2.31393798997586</v>
      </c>
    </row>
    <row r="435" customFormat="1" spans="1:36">
      <c r="A435" s="1" t="s">
        <v>560</v>
      </c>
      <c r="B435" s="1">
        <v>211513862</v>
      </c>
      <c r="C435" s="2">
        <v>0.23386</v>
      </c>
      <c r="E435">
        <v>27.879045</v>
      </c>
      <c r="F435">
        <v>7586.840271</v>
      </c>
      <c r="G435" s="3">
        <v>7.586840271</v>
      </c>
      <c r="H435" s="4"/>
      <c r="I435" t="s">
        <v>560</v>
      </c>
      <c r="J435">
        <v>40.7586</v>
      </c>
      <c r="K435" s="5">
        <v>5.18942902847497</v>
      </c>
      <c r="L435">
        <v>0.684003991531374</v>
      </c>
      <c r="O435">
        <v>0.0558192</v>
      </c>
      <c r="P435" s="6">
        <v>3.78926716971938</v>
      </c>
      <c r="Q435" s="4">
        <v>1.36950729416614</v>
      </c>
      <c r="R435" s="4"/>
      <c r="T435">
        <v>126.008</v>
      </c>
      <c r="U435" s="7">
        <v>1.67857486826233</v>
      </c>
      <c r="V435">
        <v>3.09156840519547</v>
      </c>
      <c r="Y435">
        <v>0.00126217</v>
      </c>
      <c r="Z435" s="8">
        <v>167.579535244856</v>
      </c>
      <c r="AA435">
        <v>0.0309669615737538</v>
      </c>
      <c r="AD435" s="9">
        <v>2.13855</v>
      </c>
      <c r="AE435">
        <v>2.4266110348016</v>
      </c>
      <c r="AH435">
        <v>136.664</v>
      </c>
      <c r="AI435" s="10">
        <v>1.54769260375812</v>
      </c>
      <c r="AJ435">
        <v>3.3530101622725</v>
      </c>
    </row>
    <row r="436" customFormat="1" spans="1:36">
      <c r="A436" s="1" t="s">
        <v>583</v>
      </c>
      <c r="B436" s="1">
        <v>364302812</v>
      </c>
      <c r="C436" s="2">
        <v>0.233881</v>
      </c>
      <c r="E436">
        <v>366.437689</v>
      </c>
      <c r="F436">
        <v>994.173969</v>
      </c>
      <c r="G436" s="3">
        <v>0.994173969</v>
      </c>
      <c r="H436" s="4"/>
      <c r="I436" t="s">
        <v>583</v>
      </c>
      <c r="J436">
        <v>331.127</v>
      </c>
      <c r="K436" s="5">
        <v>1.10019059756528</v>
      </c>
      <c r="L436">
        <v>1.10663790430152</v>
      </c>
      <c r="O436">
        <v>0.2216784</v>
      </c>
      <c r="P436" s="6">
        <v>1.64338434416705</v>
      </c>
      <c r="Q436" s="4">
        <v>0.669466398088951</v>
      </c>
      <c r="R436" s="4"/>
      <c r="T436">
        <v>478.948</v>
      </c>
      <c r="U436" s="7">
        <v>0.760631241804956</v>
      </c>
      <c r="V436">
        <v>1.44641783968085</v>
      </c>
      <c r="Y436">
        <v>0.836331</v>
      </c>
      <c r="Z436" s="8">
        <v>0.43559644686135</v>
      </c>
      <c r="AA436">
        <v>2.5257106789842</v>
      </c>
      <c r="AD436" s="9">
        <v>0.822558</v>
      </c>
      <c r="AE436">
        <v>1.33752343003811</v>
      </c>
      <c r="AH436">
        <v>433.1118</v>
      </c>
      <c r="AI436" s="10">
        <v>0.841128807850536</v>
      </c>
      <c r="AJ436">
        <v>1.30799300570476</v>
      </c>
    </row>
    <row r="437" customFormat="1" spans="1:36">
      <c r="A437" s="1" t="s">
        <v>420</v>
      </c>
      <c r="B437" s="1">
        <v>51970628</v>
      </c>
      <c r="C437" s="2">
        <v>0.234481</v>
      </c>
      <c r="E437">
        <v>6.268639</v>
      </c>
      <c r="F437">
        <v>8290.576515</v>
      </c>
      <c r="G437" s="3">
        <v>8.290576515</v>
      </c>
      <c r="H437" s="4"/>
      <c r="I437" t="s">
        <v>420</v>
      </c>
      <c r="J437">
        <v>3.60753</v>
      </c>
      <c r="K437" s="5">
        <v>14.4061526861869</v>
      </c>
      <c r="L437">
        <v>1.7376539086422</v>
      </c>
      <c r="O437">
        <v>0.0059744</v>
      </c>
      <c r="P437" s="6">
        <v>8.69888658275308</v>
      </c>
      <c r="Q437" s="4">
        <v>1.65609156403412</v>
      </c>
      <c r="R437" s="4"/>
      <c r="T437">
        <v>24.309</v>
      </c>
      <c r="U437" s="7">
        <v>2.13791715002674</v>
      </c>
      <c r="V437">
        <v>6.73840550182535</v>
      </c>
      <c r="Y437">
        <v>0.00367503</v>
      </c>
      <c r="Z437" s="8">
        <v>14.141552041752</v>
      </c>
      <c r="AA437">
        <v>1.01871086311133</v>
      </c>
      <c r="AD437" s="9">
        <v>3.14004</v>
      </c>
      <c r="AE437">
        <v>4.58788827090959</v>
      </c>
      <c r="AH437">
        <v>6.5014</v>
      </c>
      <c r="AI437" s="10">
        <v>7.99375949795429</v>
      </c>
      <c r="AJ437">
        <v>1.80217489528847</v>
      </c>
    </row>
    <row r="438" customFormat="1" spans="1:36">
      <c r="A438" s="1" t="s">
        <v>541</v>
      </c>
      <c r="B438" s="1">
        <v>178387490</v>
      </c>
      <c r="C438" s="2">
        <v>0.240552</v>
      </c>
      <c r="E438">
        <v>17.233108</v>
      </c>
      <c r="F438">
        <v>10351.440332</v>
      </c>
      <c r="G438" s="3">
        <v>10.351440332</v>
      </c>
      <c r="H438" s="4"/>
      <c r="I438" t="s">
        <v>541</v>
      </c>
      <c r="J438">
        <v>26.7978</v>
      </c>
      <c r="K438" s="5">
        <v>6.65679608027525</v>
      </c>
      <c r="L438">
        <v>0.643079210889784</v>
      </c>
      <c r="O438">
        <v>0.052328</v>
      </c>
      <c r="P438" s="6">
        <v>3.40902556948479</v>
      </c>
      <c r="Q438" s="4">
        <v>1.95269760950526</v>
      </c>
      <c r="R438" s="4"/>
      <c r="T438">
        <v>85.974</v>
      </c>
      <c r="U438" s="7">
        <v>2.07490043501524</v>
      </c>
      <c r="V438">
        <v>3.20824843830464</v>
      </c>
      <c r="Y438">
        <v>0.00118963</v>
      </c>
      <c r="Z438" s="8">
        <v>149.952077536713</v>
      </c>
      <c r="AA438">
        <v>0.0443928232914642</v>
      </c>
      <c r="AD438" s="9">
        <v>2.116656</v>
      </c>
      <c r="AE438">
        <v>3.14495887866297</v>
      </c>
      <c r="AH438">
        <v>113.084</v>
      </c>
      <c r="AI438" s="10">
        <v>1.57747771568038</v>
      </c>
      <c r="AJ438">
        <v>4.21989864839651</v>
      </c>
    </row>
    <row r="439" customFormat="1" spans="1:36">
      <c r="A439" s="1" t="s">
        <v>561</v>
      </c>
      <c r="B439" s="1">
        <v>211926086</v>
      </c>
      <c r="C439" s="2">
        <v>0.244262</v>
      </c>
      <c r="E439">
        <v>23.051483</v>
      </c>
      <c r="F439">
        <v>9193.598642</v>
      </c>
      <c r="G439" s="3">
        <v>9.193598642</v>
      </c>
      <c r="H439" s="4"/>
      <c r="I439" t="s">
        <v>561</v>
      </c>
      <c r="J439">
        <v>38.6519</v>
      </c>
      <c r="K439" s="5">
        <v>5.48294096797311</v>
      </c>
      <c r="L439">
        <v>0.596386810157762</v>
      </c>
      <c r="O439">
        <v>0.05808</v>
      </c>
      <c r="P439" s="6">
        <v>3.64886511707989</v>
      </c>
      <c r="Q439" s="4">
        <v>1.50264281962853</v>
      </c>
      <c r="R439" s="4"/>
      <c r="T439">
        <v>122.47</v>
      </c>
      <c r="U439" s="7">
        <v>1.73043264472932</v>
      </c>
      <c r="V439">
        <v>3.16853763980555</v>
      </c>
      <c r="Y439">
        <v>0.00115165</v>
      </c>
      <c r="Z439" s="8">
        <v>184.019525029306</v>
      </c>
      <c r="AA439">
        <v>0.0297954304963016</v>
      </c>
      <c r="AD439" s="9">
        <v>2.139036</v>
      </c>
      <c r="AE439">
        <v>2.56327661992277</v>
      </c>
      <c r="AH439">
        <v>134.4647</v>
      </c>
      <c r="AI439" s="10">
        <v>1.5760722777056</v>
      </c>
      <c r="AJ439">
        <v>3.4788639109591</v>
      </c>
    </row>
    <row r="440" customFormat="1" spans="1:36">
      <c r="A440" s="1" t="s">
        <v>118</v>
      </c>
      <c r="B440" s="1">
        <v>4831050</v>
      </c>
      <c r="C440" s="2">
        <v>0.248252</v>
      </c>
      <c r="E440">
        <v>1.134989</v>
      </c>
      <c r="F440">
        <v>4256.473788</v>
      </c>
      <c r="G440" s="3">
        <v>4.256473788</v>
      </c>
      <c r="H440" s="4"/>
      <c r="I440" t="s">
        <v>118</v>
      </c>
      <c r="J440">
        <v>0.649388</v>
      </c>
      <c r="K440" s="5">
        <v>7.43938908633975</v>
      </c>
      <c r="L440">
        <v>1.74778219175533</v>
      </c>
      <c r="O440">
        <v>0.0009584</v>
      </c>
      <c r="P440" s="6">
        <v>5.04074499165275</v>
      </c>
      <c r="Q440" s="4">
        <v>1.47585110904421</v>
      </c>
      <c r="R440" s="4"/>
      <c r="T440">
        <v>3.619</v>
      </c>
      <c r="U440" s="7">
        <v>1.33491295938104</v>
      </c>
      <c r="V440">
        <v>5.57293944452315</v>
      </c>
      <c r="Y440">
        <v>0.00169866</v>
      </c>
      <c r="Z440" s="8">
        <v>2.84403588711102</v>
      </c>
      <c r="AA440">
        <v>2.61578593999273</v>
      </c>
      <c r="AD440" s="9">
        <v>2.59521</v>
      </c>
      <c r="AE440">
        <v>2.86658462565255</v>
      </c>
      <c r="AH440">
        <v>0.9973</v>
      </c>
      <c r="AI440" s="10">
        <v>4.84412914870149</v>
      </c>
      <c r="AJ440">
        <v>1.53575366344928</v>
      </c>
    </row>
    <row r="441" customFormat="1" spans="1:36">
      <c r="A441" s="1" t="s">
        <v>405</v>
      </c>
      <c r="B441" s="1">
        <v>44060988</v>
      </c>
      <c r="C441" s="2">
        <v>0.254212</v>
      </c>
      <c r="E441">
        <v>3.856084</v>
      </c>
      <c r="F441">
        <v>11426.354388</v>
      </c>
      <c r="G441" s="3">
        <v>11.426354388</v>
      </c>
      <c r="H441" s="4"/>
      <c r="I441" t="s">
        <v>405</v>
      </c>
      <c r="J441">
        <v>2.80434</v>
      </c>
      <c r="K441" s="5">
        <v>15.7117139861786</v>
      </c>
      <c r="L441">
        <v>1.3750417195776</v>
      </c>
      <c r="O441">
        <v>0.0041776</v>
      </c>
      <c r="P441" s="6">
        <v>10.5469618919954</v>
      </c>
      <c r="Q441" s="4">
        <v>1.48969097898258</v>
      </c>
      <c r="R441" s="4"/>
      <c r="T441">
        <v>37.033</v>
      </c>
      <c r="U441" s="7">
        <v>1.18977636162342</v>
      </c>
      <c r="V441">
        <v>13.2056027443177</v>
      </c>
      <c r="Y441">
        <v>0.00619901</v>
      </c>
      <c r="Z441" s="8">
        <v>7.10774591426696</v>
      </c>
      <c r="AA441">
        <v>2.21050585877604</v>
      </c>
      <c r="AD441" s="9">
        <v>2.942946</v>
      </c>
      <c r="AE441">
        <v>5.33877073727434</v>
      </c>
      <c r="AH441">
        <v>5.3786</v>
      </c>
      <c r="AI441" s="10">
        <v>8.19190644405607</v>
      </c>
      <c r="AJ441">
        <v>1.91795574003152</v>
      </c>
    </row>
    <row r="442" customFormat="1" spans="1:36">
      <c r="A442" s="1" t="s">
        <v>548</v>
      </c>
      <c r="B442" s="1">
        <v>194704526</v>
      </c>
      <c r="C442" s="2">
        <v>0.259485</v>
      </c>
      <c r="E442">
        <v>220.460378</v>
      </c>
      <c r="F442">
        <v>883.172422</v>
      </c>
      <c r="G442" s="3">
        <v>0.883172422</v>
      </c>
      <c r="H442" s="4"/>
      <c r="I442" t="s">
        <v>548</v>
      </c>
      <c r="J442">
        <v>175.978</v>
      </c>
      <c r="K442" s="5">
        <v>1.1064140176613</v>
      </c>
      <c r="L442">
        <v>1.25277238068163</v>
      </c>
      <c r="O442">
        <v>0.1149488</v>
      </c>
      <c r="P442" s="6">
        <v>1.69383696045544</v>
      </c>
      <c r="Q442" s="4">
        <v>0.653199831797157</v>
      </c>
      <c r="R442" s="4"/>
      <c r="T442">
        <v>249.529</v>
      </c>
      <c r="U442" s="7">
        <v>0.780288166906452</v>
      </c>
      <c r="V442">
        <v>1.4179556535476</v>
      </c>
      <c r="Y442">
        <v>0.428262</v>
      </c>
      <c r="Z442" s="8">
        <v>0.454638809887405</v>
      </c>
      <c r="AA442">
        <v>2.43361101955926</v>
      </c>
      <c r="AD442" s="9">
        <v>0.871101</v>
      </c>
      <c r="AE442">
        <v>1.27013287513308</v>
      </c>
      <c r="AH442">
        <v>240.1027</v>
      </c>
      <c r="AI442" s="10">
        <v>0.810921851357773</v>
      </c>
      <c r="AJ442">
        <v>1.36439043516803</v>
      </c>
    </row>
    <row r="443" customFormat="1" spans="1:36">
      <c r="A443" s="1" t="s">
        <v>316</v>
      </c>
      <c r="B443" s="1">
        <v>21417480</v>
      </c>
      <c r="C443" s="2">
        <v>0.259981</v>
      </c>
      <c r="E443">
        <v>4.437019</v>
      </c>
      <c r="F443">
        <v>4826.997635</v>
      </c>
      <c r="G443" s="3">
        <v>4.826997635</v>
      </c>
      <c r="H443" s="4"/>
      <c r="I443" t="s">
        <v>316</v>
      </c>
      <c r="J443">
        <v>2.97351</v>
      </c>
      <c r="K443" s="5">
        <v>7.20276037410333</v>
      </c>
      <c r="L443">
        <v>1.49218228778008</v>
      </c>
      <c r="O443">
        <v>0.0027552</v>
      </c>
      <c r="P443" s="6">
        <v>7.7734756097561</v>
      </c>
      <c r="Q443" s="4">
        <v>0.9265817165572</v>
      </c>
      <c r="R443" s="4"/>
      <c r="T443">
        <v>16.69</v>
      </c>
      <c r="U443" s="7">
        <v>1.2832522468544</v>
      </c>
      <c r="V443">
        <v>5.61289519793107</v>
      </c>
      <c r="Y443">
        <v>0.00419017</v>
      </c>
      <c r="Z443" s="8">
        <v>5.11136302345728</v>
      </c>
      <c r="AA443">
        <v>1.40916627151077</v>
      </c>
      <c r="AD443" s="9">
        <v>2.580609</v>
      </c>
      <c r="AE443">
        <v>2.79110875537648</v>
      </c>
      <c r="AH443">
        <v>3.6062</v>
      </c>
      <c r="AI443" s="10">
        <v>5.93907159891298</v>
      </c>
      <c r="AJ443">
        <v>1.212775474103</v>
      </c>
    </row>
    <row r="444" customFormat="1" spans="1:36">
      <c r="A444" s="1" t="s">
        <v>536</v>
      </c>
      <c r="B444" s="1">
        <v>161885088</v>
      </c>
      <c r="C444" s="2">
        <v>0.261331</v>
      </c>
      <c r="E444">
        <v>8.661844</v>
      </c>
      <c r="F444">
        <v>18689.449581</v>
      </c>
      <c r="G444" s="3">
        <v>18.689449581</v>
      </c>
      <c r="H444" s="4"/>
      <c r="I444" t="s">
        <v>536</v>
      </c>
      <c r="J444">
        <v>6.54495</v>
      </c>
      <c r="K444" s="5">
        <v>24.7343506061926</v>
      </c>
      <c r="L444">
        <v>1.32343922163111</v>
      </c>
      <c r="O444">
        <v>0.015216</v>
      </c>
      <c r="P444" s="6">
        <v>10.6391356466877</v>
      </c>
      <c r="Q444" s="4">
        <v>2.32484587353608</v>
      </c>
      <c r="R444" s="4"/>
      <c r="T444">
        <v>72.286</v>
      </c>
      <c r="U444" s="7">
        <v>2.23950817585701</v>
      </c>
      <c r="V444">
        <v>11.0445457948495</v>
      </c>
      <c r="Y444">
        <v>0.00485666</v>
      </c>
      <c r="Z444" s="8">
        <v>33.3325964757673</v>
      </c>
      <c r="AA444">
        <v>0.742046921672434</v>
      </c>
      <c r="AD444" s="9">
        <v>3.36369</v>
      </c>
      <c r="AE444">
        <v>7.35333832968929</v>
      </c>
      <c r="AH444">
        <v>14.4794</v>
      </c>
      <c r="AI444" s="10">
        <v>11.1803726673757</v>
      </c>
      <c r="AJ444">
        <v>2.21230108709769</v>
      </c>
    </row>
    <row r="445" customFormat="1" spans="1:36">
      <c r="A445" s="1" t="s">
        <v>31</v>
      </c>
      <c r="B445" s="1">
        <v>1148458</v>
      </c>
      <c r="C445" s="2">
        <v>0.265578</v>
      </c>
      <c r="E445">
        <v>1.969208</v>
      </c>
      <c r="F445">
        <v>583.207945</v>
      </c>
      <c r="G445" s="3">
        <v>0.583207945</v>
      </c>
      <c r="H445" s="4"/>
      <c r="I445" t="s">
        <v>31</v>
      </c>
      <c r="J445">
        <v>1.6192</v>
      </c>
      <c r="K445" s="5">
        <v>0.709274950592885</v>
      </c>
      <c r="L445">
        <v>1.21616133091754</v>
      </c>
      <c r="O445">
        <v>0.002808</v>
      </c>
      <c r="P445" s="6">
        <v>0.408995014245014</v>
      </c>
      <c r="Q445" s="4">
        <v>1.73418972332016</v>
      </c>
      <c r="R445" s="4"/>
      <c r="T445">
        <v>2.81</v>
      </c>
      <c r="U445" s="7">
        <v>0.408703914590747</v>
      </c>
      <c r="V445">
        <v>1.73542490118577</v>
      </c>
      <c r="Y445">
        <v>0.00403474</v>
      </c>
      <c r="Z445" s="8">
        <v>0.284642380921695</v>
      </c>
      <c r="AA445">
        <v>2.49181077075099</v>
      </c>
      <c r="AD445" s="9">
        <v>0.440274</v>
      </c>
      <c r="AE445">
        <v>1.61098531958027</v>
      </c>
      <c r="AH445">
        <v>5.7526</v>
      </c>
      <c r="AI445" s="10">
        <v>0.199641553384557</v>
      </c>
      <c r="AJ445">
        <v>3.55274209486166</v>
      </c>
    </row>
    <row r="446" customFormat="1" spans="1:36">
      <c r="A446" s="1" t="s">
        <v>614</v>
      </c>
      <c r="B446" s="1">
        <v>1337750372</v>
      </c>
      <c r="C446" s="2">
        <v>0.267839</v>
      </c>
      <c r="E446">
        <v>376.93105</v>
      </c>
      <c r="F446">
        <v>3549.058565</v>
      </c>
      <c r="G446" s="3">
        <v>3.549058565</v>
      </c>
      <c r="H446" s="4"/>
      <c r="I446" t="s">
        <v>614</v>
      </c>
      <c r="J446">
        <v>528.161</v>
      </c>
      <c r="K446" s="5">
        <v>2.53284580270031</v>
      </c>
      <c r="L446">
        <v>0.713666950350906</v>
      </c>
      <c r="O446">
        <v>0.416112</v>
      </c>
      <c r="P446" s="6">
        <v>3.21488054177721</v>
      </c>
      <c r="Q446" s="4">
        <v>0.787850674320899</v>
      </c>
      <c r="R446" s="4"/>
      <c r="T446">
        <v>2071.085</v>
      </c>
      <c r="U446" s="7">
        <v>0.645917657652873</v>
      </c>
      <c r="V446">
        <v>3.92131376606754</v>
      </c>
      <c r="Y446">
        <v>0.00385481</v>
      </c>
      <c r="Z446" s="8">
        <v>347.034061860377</v>
      </c>
      <c r="AA446">
        <v>0.00729855101001399</v>
      </c>
      <c r="AD446" s="9">
        <v>1.672191</v>
      </c>
      <c r="AE446">
        <v>1.51468690042006</v>
      </c>
      <c r="AH446">
        <v>830.0927</v>
      </c>
      <c r="AI446" s="10">
        <v>1.61156744541905</v>
      </c>
      <c r="AJ446">
        <v>1.57166602607917</v>
      </c>
    </row>
    <row r="447" customFormat="1" spans="1:36">
      <c r="A447" s="1" t="s">
        <v>368</v>
      </c>
      <c r="B447" s="1">
        <v>33425162</v>
      </c>
      <c r="C447" s="2">
        <v>0.26925</v>
      </c>
      <c r="E447">
        <v>3.633369</v>
      </c>
      <c r="F447">
        <v>9199.496584</v>
      </c>
      <c r="G447" s="3">
        <v>9.199496584</v>
      </c>
      <c r="H447" s="4"/>
      <c r="I447" t="s">
        <v>368</v>
      </c>
      <c r="J447">
        <v>2.5871</v>
      </c>
      <c r="K447" s="5">
        <v>12.9199342893587</v>
      </c>
      <c r="L447">
        <v>1.40441753213208</v>
      </c>
      <c r="O447">
        <v>0.0052512</v>
      </c>
      <c r="P447" s="6">
        <v>6.36524261121267</v>
      </c>
      <c r="Q447" s="4">
        <v>2.02976305515829</v>
      </c>
      <c r="R447" s="4"/>
      <c r="T447">
        <v>40.038</v>
      </c>
      <c r="U447" s="7">
        <v>0.83483595584195</v>
      </c>
      <c r="V447">
        <v>15.4760156159406</v>
      </c>
      <c r="Y447">
        <v>0.00877126</v>
      </c>
      <c r="Z447" s="8">
        <v>3.81075945759218</v>
      </c>
      <c r="AA447">
        <v>3.39038305438522</v>
      </c>
      <c r="AD447" s="9">
        <v>2.482401</v>
      </c>
      <c r="AE447">
        <v>5.20461210310451</v>
      </c>
      <c r="AH447">
        <v>6.5995</v>
      </c>
      <c r="AI447" s="10">
        <v>5.06480218198348</v>
      </c>
      <c r="AJ447">
        <v>2.55092574697538</v>
      </c>
    </row>
    <row r="448" customFormat="1" spans="1:36">
      <c r="A448" s="1" t="s">
        <v>502</v>
      </c>
      <c r="B448" s="1">
        <v>111255998</v>
      </c>
      <c r="C448" s="2">
        <v>0.273411</v>
      </c>
      <c r="E448">
        <v>7.245693</v>
      </c>
      <c r="F448">
        <v>15354.776482</v>
      </c>
      <c r="G448" s="3">
        <v>15.354776482</v>
      </c>
      <c r="H448" s="4"/>
      <c r="I448" t="s">
        <v>502</v>
      </c>
      <c r="J448">
        <v>5.98442</v>
      </c>
      <c r="K448" s="5">
        <v>18.5909408096357</v>
      </c>
      <c r="L448">
        <v>1.21075945530235</v>
      </c>
      <c r="O448">
        <v>0.0095024</v>
      </c>
      <c r="P448" s="6">
        <v>11.7081998232026</v>
      </c>
      <c r="Q448" s="4">
        <v>1.58785646729341</v>
      </c>
      <c r="R448" s="4"/>
      <c r="T448">
        <v>79.019</v>
      </c>
      <c r="U448" s="7">
        <v>1.40796514762272</v>
      </c>
      <c r="V448">
        <v>13.2041200316823</v>
      </c>
      <c r="Y448">
        <v>0.0063706</v>
      </c>
      <c r="Z448" s="8">
        <v>17.4639748218378</v>
      </c>
      <c r="AA448">
        <v>1.06453089856661</v>
      </c>
      <c r="AD448" s="9">
        <v>3.32562</v>
      </c>
      <c r="AE448">
        <v>5.59021800735974</v>
      </c>
      <c r="AH448">
        <v>8.6878</v>
      </c>
      <c r="AI448" s="10">
        <v>12.8060035912429</v>
      </c>
      <c r="AJ448">
        <v>1.45173634203482</v>
      </c>
    </row>
    <row r="449" customFormat="1" spans="1:36">
      <c r="A449" s="1" t="s">
        <v>131</v>
      </c>
      <c r="B449" s="1">
        <v>5270104</v>
      </c>
      <c r="C449" s="2">
        <v>0.275383</v>
      </c>
      <c r="E449">
        <v>3.052555</v>
      </c>
      <c r="F449">
        <v>1726.456623</v>
      </c>
      <c r="G449" s="3">
        <v>1.726456623</v>
      </c>
      <c r="H449" s="4"/>
      <c r="I449" t="s">
        <v>131</v>
      </c>
      <c r="J449">
        <v>2.27322</v>
      </c>
      <c r="K449" s="5">
        <v>2.31834314320655</v>
      </c>
      <c r="L449">
        <v>1.34283312555983</v>
      </c>
      <c r="O449">
        <v>0.0027648</v>
      </c>
      <c r="P449" s="6">
        <v>1.90614293981481</v>
      </c>
      <c r="Q449" s="4">
        <v>1.2162483173648</v>
      </c>
      <c r="R449" s="4"/>
      <c r="T449">
        <v>9.137</v>
      </c>
      <c r="U449" s="7">
        <v>0.576787129254679</v>
      </c>
      <c r="V449">
        <v>4.01940859221721</v>
      </c>
      <c r="Y449">
        <v>0.0030002</v>
      </c>
      <c r="Z449" s="8">
        <v>1.75658422771815</v>
      </c>
      <c r="AA449">
        <v>1.31980186695524</v>
      </c>
      <c r="AD449" s="9">
        <v>1.126257</v>
      </c>
      <c r="AE449">
        <v>2.05844948640191</v>
      </c>
      <c r="AH449">
        <v>2.8647</v>
      </c>
      <c r="AI449" s="10">
        <v>1.83967047160261</v>
      </c>
      <c r="AJ449">
        <v>1.26019478976958</v>
      </c>
    </row>
    <row r="450" customFormat="1" spans="1:36">
      <c r="A450" s="1" t="s">
        <v>30</v>
      </c>
      <c r="B450" s="1">
        <v>1125312</v>
      </c>
      <c r="C450" s="2">
        <v>0.281072</v>
      </c>
      <c r="E450">
        <v>1.585984</v>
      </c>
      <c r="F450">
        <v>709.535376</v>
      </c>
      <c r="G450" s="3">
        <v>0.709535376</v>
      </c>
      <c r="H450" s="4"/>
      <c r="I450" t="s">
        <v>30</v>
      </c>
      <c r="J450">
        <v>0.983568</v>
      </c>
      <c r="K450" s="5">
        <v>1.14411204919233</v>
      </c>
      <c r="L450">
        <v>1.61248062872108</v>
      </c>
      <c r="O450">
        <v>0.0015168</v>
      </c>
      <c r="P450" s="6">
        <v>0.741898734177215</v>
      </c>
      <c r="Q450" s="4">
        <v>1.54214045190571</v>
      </c>
      <c r="R450" s="4"/>
      <c r="T450">
        <v>35.699</v>
      </c>
      <c r="U450" s="7">
        <v>0.0315222275133757</v>
      </c>
      <c r="V450">
        <v>36.295406113253</v>
      </c>
      <c r="Y450">
        <v>0.00280148</v>
      </c>
      <c r="Z450" s="8">
        <v>0.401684823736025</v>
      </c>
      <c r="AA450">
        <v>2.84828298602639</v>
      </c>
      <c r="AD450" s="9">
        <v>0.635457</v>
      </c>
      <c r="AE450">
        <v>1.80045549768486</v>
      </c>
      <c r="AH450">
        <v>2.247</v>
      </c>
      <c r="AI450" s="10">
        <v>0.500806408544726</v>
      </c>
      <c r="AJ450">
        <v>2.28453955395051</v>
      </c>
    </row>
    <row r="451" customFormat="1" spans="1:36">
      <c r="A451" s="1" t="s">
        <v>627</v>
      </c>
      <c r="B451" s="1">
        <v>24864000506</v>
      </c>
      <c r="C451" s="2">
        <v>0.288956</v>
      </c>
      <c r="E451">
        <v>34498.837448</v>
      </c>
      <c r="F451">
        <v>720.719953</v>
      </c>
      <c r="G451" s="3">
        <v>0.720719953</v>
      </c>
      <c r="H451" s="4"/>
      <c r="I451" t="s">
        <v>627</v>
      </c>
      <c r="J451">
        <v>260868</v>
      </c>
      <c r="K451" s="5">
        <v>0.0953125738151096</v>
      </c>
      <c r="L451">
        <v>0.132246337038916</v>
      </c>
      <c r="O451" t="e">
        <v>#VALUE!</v>
      </c>
      <c r="P451" s="6" t="e">
        <v>#VALUE!</v>
      </c>
      <c r="Q451" s="4" t="e">
        <v>#VALUE!</v>
      </c>
      <c r="R451" s="4"/>
      <c r="T451">
        <v>0</v>
      </c>
      <c r="U451" s="7" t="e">
        <v>#DIV/0!</v>
      </c>
      <c r="V451" t="e">
        <v>#DIV/0!</v>
      </c>
      <c r="Y451">
        <v>687.305</v>
      </c>
      <c r="Z451" s="8">
        <v>0.0361760797695346</v>
      </c>
      <c r="AA451">
        <v>2.63468497477652</v>
      </c>
      <c r="AD451" s="9">
        <v>0</v>
      </c>
      <c r="AE451" t="e">
        <v>#DIV/0!</v>
      </c>
      <c r="AH451" t="s">
        <v>623</v>
      </c>
      <c r="AI451" s="10" t="e">
        <v>#VALUE!</v>
      </c>
      <c r="AJ451" t="e">
        <v>#VALUE!</v>
      </c>
    </row>
    <row r="452" customFormat="1" spans="1:36">
      <c r="A452" s="1" t="s">
        <v>509</v>
      </c>
      <c r="B452" s="1">
        <v>120261896</v>
      </c>
      <c r="C452" s="2">
        <v>0.297237</v>
      </c>
      <c r="E452">
        <v>7.005646</v>
      </c>
      <c r="F452">
        <v>17166.424429</v>
      </c>
      <c r="G452" s="3">
        <v>17.166424429</v>
      </c>
      <c r="H452" s="4"/>
      <c r="I452" t="s">
        <v>509</v>
      </c>
      <c r="J452">
        <v>5.31629</v>
      </c>
      <c r="K452" s="5">
        <v>22.6213949953821</v>
      </c>
      <c r="L452">
        <v>1.31776975973906</v>
      </c>
      <c r="O452">
        <v>0.0100672</v>
      </c>
      <c r="P452" s="6">
        <v>11.9459130642085</v>
      </c>
      <c r="Q452" s="4">
        <v>1.89365139975434</v>
      </c>
      <c r="R452" s="4"/>
      <c r="T452">
        <v>73.24</v>
      </c>
      <c r="U452" s="7">
        <v>1.64202479519388</v>
      </c>
      <c r="V452">
        <v>13.7765246064455</v>
      </c>
      <c r="Y452">
        <v>0.00568512</v>
      </c>
      <c r="Z452" s="8">
        <v>21.1538007992795</v>
      </c>
      <c r="AA452">
        <v>1.06937732892675</v>
      </c>
      <c r="AD452" s="9">
        <v>3.41109</v>
      </c>
      <c r="AE452">
        <v>6.63172035782759</v>
      </c>
      <c r="AH452">
        <v>9.0152</v>
      </c>
      <c r="AI452" s="10">
        <v>13.3399032744698</v>
      </c>
      <c r="AJ452">
        <v>1.69576904194466</v>
      </c>
    </row>
    <row r="453" customFormat="1" spans="1:36">
      <c r="A453" s="1" t="s">
        <v>102</v>
      </c>
      <c r="B453" s="1">
        <v>4092266</v>
      </c>
      <c r="C453" s="2">
        <v>0.308342</v>
      </c>
      <c r="E453">
        <v>1.345278</v>
      </c>
      <c r="F453">
        <v>3041.948583</v>
      </c>
      <c r="G453" s="3">
        <v>3.041948583</v>
      </c>
      <c r="H453" s="4"/>
      <c r="I453" t="s">
        <v>102</v>
      </c>
      <c r="J453">
        <v>0.556155</v>
      </c>
      <c r="K453" s="5">
        <v>7.35813936762234</v>
      </c>
      <c r="L453">
        <v>2.41889011824311</v>
      </c>
      <c r="O453">
        <v>0.0008864</v>
      </c>
      <c r="P453" s="6">
        <v>4.61672608303249</v>
      </c>
      <c r="Q453" s="4">
        <v>1.59380028948764</v>
      </c>
      <c r="R453" s="4"/>
      <c r="T453">
        <v>3.445</v>
      </c>
      <c r="U453" s="7">
        <v>1.18788563134978</v>
      </c>
      <c r="V453">
        <v>6.19431633267704</v>
      </c>
      <c r="Y453">
        <v>0.00139645</v>
      </c>
      <c r="Z453" s="8">
        <v>2.93047799778008</v>
      </c>
      <c r="AA453">
        <v>2.51090073810359</v>
      </c>
      <c r="AD453" s="9">
        <v>2.50428</v>
      </c>
      <c r="AE453">
        <v>2.9382255049844</v>
      </c>
      <c r="AH453">
        <v>1.0649</v>
      </c>
      <c r="AI453" s="10">
        <v>3.84286411869659</v>
      </c>
      <c r="AJ453">
        <v>1.91475398045509</v>
      </c>
    </row>
    <row r="454" customFormat="1" spans="1:36">
      <c r="A454" s="1" t="s">
        <v>615</v>
      </c>
      <c r="B454" s="1">
        <v>1357697784</v>
      </c>
      <c r="C454" s="2">
        <v>0.314159</v>
      </c>
      <c r="E454">
        <v>407.980304</v>
      </c>
      <c r="F454">
        <v>3327.851293</v>
      </c>
      <c r="G454" s="3">
        <v>3.327851293</v>
      </c>
      <c r="H454" s="4"/>
      <c r="I454" t="s">
        <v>615</v>
      </c>
      <c r="J454">
        <v>446.889</v>
      </c>
      <c r="K454" s="5">
        <v>3.03810965138994</v>
      </c>
      <c r="L454">
        <v>0.912934318243271</v>
      </c>
      <c r="O454">
        <v>0.3399792</v>
      </c>
      <c r="P454" s="6">
        <v>3.9934730830592</v>
      </c>
      <c r="Q454" s="4">
        <v>0.760768781509502</v>
      </c>
      <c r="R454" s="4"/>
      <c r="T454">
        <v>1035.184</v>
      </c>
      <c r="U454" s="7">
        <v>1.31155213372695</v>
      </c>
      <c r="V454">
        <v>2.3164230938779</v>
      </c>
      <c r="Y454">
        <v>0.00493759</v>
      </c>
      <c r="Z454" s="8">
        <v>274.971754236379</v>
      </c>
      <c r="AA454">
        <v>0.0110488063031312</v>
      </c>
      <c r="AD454" s="9">
        <v>1.706229</v>
      </c>
      <c r="AE454">
        <v>1.78059900012832</v>
      </c>
      <c r="AH454">
        <v>795.446</v>
      </c>
      <c r="AI454" s="10">
        <v>1.70683840763546</v>
      </c>
      <c r="AJ454">
        <v>1.77996325709516</v>
      </c>
    </row>
    <row r="455" customFormat="1" spans="1:36">
      <c r="A455" s="1" t="s">
        <v>625</v>
      </c>
      <c r="B455" s="1">
        <v>23259770310</v>
      </c>
      <c r="C455" s="2">
        <v>0.3163</v>
      </c>
      <c r="E455">
        <v>30710.399785</v>
      </c>
      <c r="F455">
        <v>757.390671</v>
      </c>
      <c r="G455" s="3">
        <v>0.757390671</v>
      </c>
      <c r="H455" s="4"/>
      <c r="I455" t="s">
        <v>625</v>
      </c>
      <c r="J455">
        <v>297635</v>
      </c>
      <c r="K455" s="5">
        <v>0.0781486394745242</v>
      </c>
      <c r="L455">
        <v>0.103181412798949</v>
      </c>
      <c r="O455" t="e">
        <v>#VALUE!</v>
      </c>
      <c r="P455" s="6" t="e">
        <v>#VALUE!</v>
      </c>
      <c r="Q455" s="4" t="e">
        <v>#VALUE!</v>
      </c>
      <c r="R455" s="4"/>
      <c r="T455">
        <v>0</v>
      </c>
      <c r="U455" s="7" t="e">
        <v>#DIV/0!</v>
      </c>
      <c r="V455" t="e">
        <v>#DIV/0!</v>
      </c>
      <c r="Y455">
        <v>522.931</v>
      </c>
      <c r="Z455" s="8">
        <v>0.0444796164503539</v>
      </c>
      <c r="AA455">
        <v>1.75695398726628</v>
      </c>
      <c r="AD455" s="9">
        <v>0</v>
      </c>
      <c r="AE455" t="e">
        <v>#DIV/0!</v>
      </c>
      <c r="AH455" t="s">
        <v>623</v>
      </c>
      <c r="AI455" s="10" t="e">
        <v>#VALUE!</v>
      </c>
      <c r="AJ455" t="e">
        <v>#VALUE!</v>
      </c>
    </row>
    <row r="456" customFormat="1" spans="1:36">
      <c r="A456" s="1" t="s">
        <v>459</v>
      </c>
      <c r="B456" s="1">
        <v>73755448</v>
      </c>
      <c r="C456" s="2">
        <v>0.320076</v>
      </c>
      <c r="E456">
        <v>36.355442</v>
      </c>
      <c r="F456">
        <v>2028.732007</v>
      </c>
      <c r="G456" s="3">
        <v>2.028732007</v>
      </c>
      <c r="H456" s="4"/>
      <c r="I456" t="s">
        <v>459</v>
      </c>
      <c r="J456">
        <v>49.2991</v>
      </c>
      <c r="K456" s="5">
        <v>1.49608102379151</v>
      </c>
      <c r="L456">
        <v>0.737446354979063</v>
      </c>
      <c r="O456">
        <v>0.0329712</v>
      </c>
      <c r="P456" s="6">
        <v>2.23696583685156</v>
      </c>
      <c r="Q456" s="4">
        <v>0.668799227572106</v>
      </c>
      <c r="R456" s="4"/>
      <c r="T456">
        <v>106.371</v>
      </c>
      <c r="U456" s="7">
        <v>0.693379285707571</v>
      </c>
      <c r="V456">
        <v>2.15766616429103</v>
      </c>
      <c r="Y456">
        <v>0.0412375</v>
      </c>
      <c r="Z456" s="8">
        <v>1.78855284631707</v>
      </c>
      <c r="AA456">
        <v>0.836475716595232</v>
      </c>
      <c r="AD456" s="9">
        <v>1.191795</v>
      </c>
      <c r="AE456">
        <v>1.25531741934771</v>
      </c>
      <c r="AH456">
        <v>53.9855</v>
      </c>
      <c r="AI456" s="10">
        <v>1.36620848190718</v>
      </c>
      <c r="AJ456">
        <v>1.09506055891487</v>
      </c>
    </row>
    <row r="457" customFormat="1" spans="1:36">
      <c r="A457" s="1" t="s">
        <v>617</v>
      </c>
      <c r="B457" s="1">
        <v>1809439090</v>
      </c>
      <c r="C457" s="2">
        <v>0.325966</v>
      </c>
      <c r="E457">
        <v>459.164515</v>
      </c>
      <c r="F457">
        <v>3940.720655</v>
      </c>
      <c r="G457" s="3">
        <v>3.940720655</v>
      </c>
      <c r="H457" s="4"/>
      <c r="I457" t="s">
        <v>617</v>
      </c>
      <c r="J457">
        <v>1511.57</v>
      </c>
      <c r="K457" s="5">
        <v>1.19705940842965</v>
      </c>
      <c r="L457">
        <v>0.303766623729295</v>
      </c>
      <c r="O457">
        <v>0.797144</v>
      </c>
      <c r="P457" s="6">
        <v>2.2699024141184</v>
      </c>
      <c r="Q457" s="4">
        <v>0.527361617391189</v>
      </c>
      <c r="R457" s="4"/>
      <c r="T457">
        <v>9125.013</v>
      </c>
      <c r="U457" s="7">
        <v>0.198294412292892</v>
      </c>
      <c r="V457">
        <v>6.03677831658474</v>
      </c>
      <c r="Y457">
        <v>0.712269</v>
      </c>
      <c r="Z457" s="8">
        <v>2.54038725537683</v>
      </c>
      <c r="AA457">
        <v>0.471211389482459</v>
      </c>
      <c r="AD457" s="9">
        <v>1.150905</v>
      </c>
      <c r="AE457">
        <v>1.04010270911122</v>
      </c>
      <c r="AH457">
        <v>1794.2617</v>
      </c>
      <c r="AI457" s="10">
        <v>1.00845884967616</v>
      </c>
      <c r="AJ457">
        <v>1.18701859655855</v>
      </c>
    </row>
    <row r="458" customFormat="1" spans="1:36">
      <c r="A458" s="1" t="s">
        <v>514</v>
      </c>
      <c r="B458" s="1">
        <v>131921432</v>
      </c>
      <c r="C458" s="2">
        <v>0.329804</v>
      </c>
      <c r="E458">
        <v>43.130991</v>
      </c>
      <c r="F458">
        <v>3058.622761</v>
      </c>
      <c r="G458" s="3">
        <v>3.058622761</v>
      </c>
      <c r="H458" s="4"/>
      <c r="I458" t="s">
        <v>514</v>
      </c>
      <c r="J458">
        <v>63.5156</v>
      </c>
      <c r="K458" s="5">
        <v>2.07699261283842</v>
      </c>
      <c r="L458">
        <v>0.679061386491271</v>
      </c>
      <c r="O458">
        <v>0.0542672</v>
      </c>
      <c r="P458" s="6">
        <v>2.4309607276587</v>
      </c>
      <c r="Q458" s="4">
        <v>0.854391677005334</v>
      </c>
      <c r="R458" s="4"/>
      <c r="T458">
        <v>96.537</v>
      </c>
      <c r="U458" s="7">
        <v>1.36653751411376</v>
      </c>
      <c r="V458">
        <v>1.51989432517366</v>
      </c>
      <c r="Y458">
        <v>0.0126082</v>
      </c>
      <c r="Z458" s="8">
        <v>10.4631455719294</v>
      </c>
      <c r="AA458">
        <v>0.19850556398743</v>
      </c>
      <c r="AD458" s="9">
        <v>1.470549</v>
      </c>
      <c r="AE458">
        <v>1.41239265936628</v>
      </c>
      <c r="AH458">
        <v>74.6755</v>
      </c>
      <c r="AI458" s="10">
        <v>1.76659589825311</v>
      </c>
      <c r="AJ458">
        <v>1.17570329178973</v>
      </c>
    </row>
    <row r="459" customFormat="1" spans="1:36">
      <c r="A459" s="1" t="s">
        <v>622</v>
      </c>
      <c r="B459" s="1">
        <v>7760091282</v>
      </c>
      <c r="C459" s="2">
        <v>0.331557</v>
      </c>
      <c r="E459">
        <v>4115.528347</v>
      </c>
      <c r="F459">
        <v>1885.563803</v>
      </c>
      <c r="G459" s="3">
        <v>1.885563803</v>
      </c>
      <c r="H459" s="4"/>
      <c r="I459" t="s">
        <v>622</v>
      </c>
      <c r="J459">
        <v>7402.53</v>
      </c>
      <c r="K459" s="5">
        <v>1.04830257790242</v>
      </c>
      <c r="L459">
        <v>0.555962400335927</v>
      </c>
      <c r="O459">
        <v>59.2846848</v>
      </c>
      <c r="P459" s="6">
        <v>0.130895378936045</v>
      </c>
      <c r="Q459" s="4">
        <v>8.00870578032105</v>
      </c>
      <c r="R459" s="4"/>
      <c r="T459">
        <v>0</v>
      </c>
      <c r="U459" s="7" t="e">
        <v>#DIV/0!</v>
      </c>
      <c r="V459" t="e">
        <v>#DIV/0!</v>
      </c>
      <c r="Y459">
        <v>6.29983</v>
      </c>
      <c r="Z459" s="8">
        <v>1.23179375983161</v>
      </c>
      <c r="AA459">
        <v>0.851037415586293</v>
      </c>
      <c r="AD459" s="9">
        <v>0.404913</v>
      </c>
      <c r="AE459">
        <v>2.58895757336124</v>
      </c>
      <c r="AH459" t="s">
        <v>623</v>
      </c>
      <c r="AI459" s="10" t="e">
        <v>#VALUE!</v>
      </c>
      <c r="AJ459" t="e">
        <v>#VALUE!</v>
      </c>
    </row>
    <row r="460" customFormat="1" spans="1:36">
      <c r="A460" s="1" t="s">
        <v>128</v>
      </c>
      <c r="B460" s="1">
        <v>5109908</v>
      </c>
      <c r="C460" s="2">
        <v>0.331809</v>
      </c>
      <c r="E460">
        <v>1.711791</v>
      </c>
      <c r="F460">
        <v>2985.124321</v>
      </c>
      <c r="G460" s="3">
        <v>2.985124321</v>
      </c>
      <c r="H460" s="4"/>
      <c r="I460" t="s">
        <v>128</v>
      </c>
      <c r="J460">
        <v>1.03946</v>
      </c>
      <c r="K460" s="5">
        <v>4.91592557674177</v>
      </c>
      <c r="L460">
        <v>1.64680765292045</v>
      </c>
      <c r="O460">
        <v>0.0016144</v>
      </c>
      <c r="P460" s="6">
        <v>3.16520564915758</v>
      </c>
      <c r="Q460" s="4">
        <v>1.55311411694534</v>
      </c>
      <c r="R460" s="4"/>
      <c r="T460">
        <v>7.188</v>
      </c>
      <c r="U460" s="7">
        <v>0.710894268224819</v>
      </c>
      <c r="V460">
        <v>6.91512900929329</v>
      </c>
      <c r="Y460">
        <v>0.00371205</v>
      </c>
      <c r="Z460" s="8">
        <v>1.37657305262591</v>
      </c>
      <c r="AA460">
        <v>3.57113308833433</v>
      </c>
      <c r="AD460" s="9">
        <v>1.679757</v>
      </c>
      <c r="AE460">
        <v>2.9265694840038</v>
      </c>
      <c r="AH460">
        <v>2.0196</v>
      </c>
      <c r="AI460" s="10">
        <v>2.53015844721727</v>
      </c>
      <c r="AJ460">
        <v>1.94293190695169</v>
      </c>
    </row>
    <row r="461" customFormat="1" spans="1:36">
      <c r="A461" s="1" t="s">
        <v>619</v>
      </c>
      <c r="B461" s="1">
        <v>1812018218</v>
      </c>
      <c r="C461" s="2">
        <v>0.334719</v>
      </c>
      <c r="E461">
        <v>481.636965</v>
      </c>
      <c r="F461">
        <v>3762.207534</v>
      </c>
      <c r="G461" s="3">
        <v>3.762207534</v>
      </c>
      <c r="H461" s="4"/>
      <c r="I461" t="s">
        <v>619</v>
      </c>
      <c r="J461">
        <v>1890.53</v>
      </c>
      <c r="K461" s="5">
        <v>0.958471020295896</v>
      </c>
      <c r="L461">
        <v>0.254762931506026</v>
      </c>
      <c r="O461">
        <v>0.7917968</v>
      </c>
      <c r="P461" s="6">
        <v>2.28848893807098</v>
      </c>
      <c r="Q461" s="4">
        <v>0.418822658196379</v>
      </c>
      <c r="R461" s="4"/>
      <c r="T461">
        <v>7174.428</v>
      </c>
      <c r="U461" s="7">
        <v>0.252566227997549</v>
      </c>
      <c r="V461">
        <v>3.79492946422432</v>
      </c>
      <c r="Y461">
        <v>0.711175</v>
      </c>
      <c r="Z461" s="8">
        <v>2.54792170422189</v>
      </c>
      <c r="AA461">
        <v>0.376177579832111</v>
      </c>
      <c r="AD461" s="9">
        <v>1.088328</v>
      </c>
      <c r="AE461">
        <v>0.880682129188899</v>
      </c>
      <c r="AH461">
        <v>1784.9867</v>
      </c>
      <c r="AI461" s="10">
        <v>1.01514382039933</v>
      </c>
      <c r="AJ461">
        <v>0.944172639418576</v>
      </c>
    </row>
    <row r="462" customFormat="1" spans="1:36">
      <c r="A462" s="1" t="s">
        <v>264</v>
      </c>
      <c r="B462" s="1">
        <v>15297700</v>
      </c>
      <c r="C462" s="2">
        <v>0.340764</v>
      </c>
      <c r="E462">
        <v>1.19242</v>
      </c>
      <c r="F462">
        <v>12829.121872</v>
      </c>
      <c r="G462" s="3">
        <v>12.829121872</v>
      </c>
      <c r="H462" s="4"/>
      <c r="I462" t="s">
        <v>264</v>
      </c>
      <c r="J462">
        <v>0.531981</v>
      </c>
      <c r="K462" s="5">
        <v>28.7561021916196</v>
      </c>
      <c r="L462">
        <v>2.24147080981285</v>
      </c>
      <c r="O462">
        <v>0.001416</v>
      </c>
      <c r="P462" s="6">
        <v>10.8034604519774</v>
      </c>
      <c r="Q462" s="4">
        <v>2.6617491978097</v>
      </c>
      <c r="R462" s="4"/>
      <c r="T462">
        <v>15.682</v>
      </c>
      <c r="U462" s="7">
        <v>0.975494197168729</v>
      </c>
      <c r="V462">
        <v>29.4784964124659</v>
      </c>
      <c r="Y462">
        <v>0.00249898</v>
      </c>
      <c r="Z462" s="8">
        <v>6.12157760366229</v>
      </c>
      <c r="AA462">
        <v>4.69749859487463</v>
      </c>
      <c r="AD462" s="9">
        <v>3.55107</v>
      </c>
      <c r="AE462">
        <v>8.09786971014923</v>
      </c>
      <c r="AH462">
        <v>1.3352</v>
      </c>
      <c r="AI462" s="10">
        <v>11.4572348711803</v>
      </c>
      <c r="AJ462">
        <v>2.50986407409287</v>
      </c>
    </row>
    <row r="463" customFormat="1" spans="1:36">
      <c r="A463" s="1" t="s">
        <v>555</v>
      </c>
      <c r="B463" s="1">
        <v>201720030</v>
      </c>
      <c r="C463" s="2">
        <v>0.346558</v>
      </c>
      <c r="E463">
        <v>39.188644</v>
      </c>
      <c r="F463">
        <v>5147.41036</v>
      </c>
      <c r="G463" s="3">
        <v>5.14741036</v>
      </c>
      <c r="H463" s="4"/>
      <c r="I463" t="s">
        <v>555</v>
      </c>
      <c r="J463">
        <v>98.4379</v>
      </c>
      <c r="K463" s="5">
        <v>2.04921102542821</v>
      </c>
      <c r="L463">
        <v>0.39810523780121</v>
      </c>
      <c r="O463">
        <v>0.0910736</v>
      </c>
      <c r="P463" s="6">
        <v>2.21491222483793</v>
      </c>
      <c r="Q463" s="4">
        <v>0.925188367488539</v>
      </c>
      <c r="R463" s="4"/>
      <c r="T463">
        <v>95.639</v>
      </c>
      <c r="U463" s="7">
        <v>2.10918171457251</v>
      </c>
      <c r="V463">
        <v>0.971566845696627</v>
      </c>
      <c r="Y463">
        <v>0.00143132</v>
      </c>
      <c r="Z463" s="8">
        <v>140.932866165498</v>
      </c>
      <c r="AA463">
        <v>0.0145403345662595</v>
      </c>
      <c r="AD463" s="9">
        <v>1.176042</v>
      </c>
      <c r="AE463">
        <v>1.7424641513043</v>
      </c>
      <c r="AH463">
        <v>260.129</v>
      </c>
      <c r="AI463" s="10">
        <v>0.775461521014574</v>
      </c>
      <c r="AJ463">
        <v>2.6425695793998</v>
      </c>
    </row>
    <row r="464" customFormat="1" spans="1:36">
      <c r="A464" s="1" t="s">
        <v>666</v>
      </c>
      <c r="B464" s="1">
        <v>3983868780</v>
      </c>
      <c r="C464" s="2">
        <v>0.354048</v>
      </c>
      <c r="E464">
        <v>277.969116</v>
      </c>
      <c r="F464">
        <v>14332.055435</v>
      </c>
      <c r="G464" s="3">
        <v>14.332055435</v>
      </c>
      <c r="H464" s="4"/>
      <c r="I464" t="s">
        <v>666</v>
      </c>
      <c r="J464">
        <v>145.107</v>
      </c>
      <c r="K464" s="5">
        <v>27.4546974301722</v>
      </c>
      <c r="L464">
        <v>1.9156147947297</v>
      </c>
      <c r="O464">
        <v>0.318784</v>
      </c>
      <c r="P464" s="6">
        <v>12.4970788370809</v>
      </c>
      <c r="Q464" s="4">
        <v>2.19688919211341</v>
      </c>
      <c r="R464" s="4"/>
      <c r="T464">
        <v>580.667</v>
      </c>
      <c r="U464" s="7">
        <v>6.86084929916803</v>
      </c>
      <c r="V464">
        <v>4.00164706044505</v>
      </c>
      <c r="Y464">
        <v>0.00297361</v>
      </c>
      <c r="Z464" s="8">
        <v>1339.74151956713</v>
      </c>
      <c r="AA464">
        <v>0.0204925330962669</v>
      </c>
      <c r="AD464" s="9">
        <v>3.28659</v>
      </c>
      <c r="AE464">
        <v>8.35355107578743</v>
      </c>
      <c r="AH464">
        <v>502.543</v>
      </c>
      <c r="AI464" s="10">
        <v>7.92741870844883</v>
      </c>
      <c r="AJ464">
        <v>3.46325814743603</v>
      </c>
    </row>
    <row r="465" customFormat="1" spans="1:36">
      <c r="A465" s="1" t="s">
        <v>456</v>
      </c>
      <c r="B465" s="1">
        <v>69913200</v>
      </c>
      <c r="C465" s="2">
        <v>0.364257</v>
      </c>
      <c r="E465">
        <v>6.178915</v>
      </c>
      <c r="F465">
        <v>11314.802267</v>
      </c>
      <c r="G465" s="3">
        <v>11.314802267</v>
      </c>
      <c r="H465" s="4"/>
      <c r="I465" t="s">
        <v>456</v>
      </c>
      <c r="J465">
        <v>4.2908</v>
      </c>
      <c r="K465" s="5">
        <v>16.2937447562226</v>
      </c>
      <c r="L465">
        <v>1.44003795839578</v>
      </c>
      <c r="O465">
        <v>0.006432</v>
      </c>
      <c r="P465" s="6">
        <v>10.8695895522388</v>
      </c>
      <c r="Q465" s="4">
        <v>1.49902116155495</v>
      </c>
      <c r="R465" s="4"/>
      <c r="T465">
        <v>50.606</v>
      </c>
      <c r="U465" s="7">
        <v>1.38151997786824</v>
      </c>
      <c r="V465">
        <v>11.7940710357043</v>
      </c>
      <c r="Y465">
        <v>0.00419649</v>
      </c>
      <c r="Z465" s="8">
        <v>16.6599229355962</v>
      </c>
      <c r="AA465">
        <v>0.978020415773282</v>
      </c>
      <c r="AD465" s="9">
        <v>3.19302</v>
      </c>
      <c r="AE465">
        <v>5.1029259936432</v>
      </c>
      <c r="AH465">
        <v>5.7417</v>
      </c>
      <c r="AI465" s="10">
        <v>12.1763937509797</v>
      </c>
      <c r="AJ465">
        <v>1.33814207140859</v>
      </c>
    </row>
    <row r="466" customFormat="1" spans="1:36">
      <c r="A466" s="1" t="s">
        <v>618</v>
      </c>
      <c r="B466" s="1">
        <v>1809439090</v>
      </c>
      <c r="C466" s="2">
        <v>0.365697</v>
      </c>
      <c r="E466">
        <v>449.069212</v>
      </c>
      <c r="F466">
        <v>4029.310048</v>
      </c>
      <c r="G466" s="3">
        <v>4.029310048</v>
      </c>
      <c r="H466" s="4"/>
      <c r="I466" t="s">
        <v>618</v>
      </c>
      <c r="J466">
        <v>2310.86</v>
      </c>
      <c r="K466" s="5">
        <v>0.783015453121349</v>
      </c>
      <c r="L466">
        <v>0.194329908543526</v>
      </c>
      <c r="O466">
        <v>0.7710832</v>
      </c>
      <c r="P466" s="6">
        <v>2.34661978110793</v>
      </c>
      <c r="Q466" s="4">
        <v>0.333678024631523</v>
      </c>
      <c r="R466" s="4"/>
      <c r="T466">
        <v>9094.835</v>
      </c>
      <c r="U466" s="7">
        <v>0.198952382313698</v>
      </c>
      <c r="V466">
        <v>3.93569277238777</v>
      </c>
      <c r="Y466">
        <v>0.702707</v>
      </c>
      <c r="Z466" s="8">
        <v>2.57495526585049</v>
      </c>
      <c r="AA466">
        <v>0.304088953895952</v>
      </c>
      <c r="AD466" s="9">
        <v>1.157616</v>
      </c>
      <c r="AE466">
        <v>0.676403447361948</v>
      </c>
      <c r="AH466">
        <v>1803.51</v>
      </c>
      <c r="AI466" s="10">
        <v>1.00328752820888</v>
      </c>
      <c r="AJ466">
        <v>0.780449702708083</v>
      </c>
    </row>
    <row r="467" customFormat="1" spans="1:36">
      <c r="A467" s="1" t="s">
        <v>620</v>
      </c>
      <c r="B467" s="1">
        <v>1821434330</v>
      </c>
      <c r="C467" s="2">
        <v>0.372467</v>
      </c>
      <c r="E467">
        <v>528.856037</v>
      </c>
      <c r="F467">
        <v>3444.102369</v>
      </c>
      <c r="G467" s="3">
        <v>3.444102369</v>
      </c>
      <c r="H467" s="4"/>
      <c r="I467" t="s">
        <v>620</v>
      </c>
      <c r="J467">
        <v>2026.16</v>
      </c>
      <c r="K467" s="5">
        <v>0.898958784103921</v>
      </c>
      <c r="L467">
        <v>0.261013955971621</v>
      </c>
      <c r="O467">
        <v>0.8074512</v>
      </c>
      <c r="P467" s="6">
        <v>2.25578255379396</v>
      </c>
      <c r="Q467" s="4">
        <v>0.39851304931496</v>
      </c>
      <c r="R467" s="4"/>
      <c r="T467">
        <v>7271.662</v>
      </c>
      <c r="U467" s="7">
        <v>0.250483910005718</v>
      </c>
      <c r="V467">
        <v>3.58888834050618</v>
      </c>
      <c r="Y467">
        <v>0.698432</v>
      </c>
      <c r="Z467" s="8">
        <v>2.60789071806561</v>
      </c>
      <c r="AA467">
        <v>0.344707229438939</v>
      </c>
      <c r="AD467" s="9">
        <v>1.08558</v>
      </c>
      <c r="AE467">
        <v>0.828090775533743</v>
      </c>
      <c r="AH467">
        <v>1801.625</v>
      </c>
      <c r="AI467" s="10">
        <v>1.0109952570596</v>
      </c>
      <c r="AJ467">
        <v>0.88918199944723</v>
      </c>
    </row>
    <row r="468" customFormat="1" spans="1:36">
      <c r="A468" s="1" t="s">
        <v>621</v>
      </c>
      <c r="B468" s="1">
        <v>1821434330</v>
      </c>
      <c r="C468" s="2">
        <v>0.372467</v>
      </c>
      <c r="E468">
        <v>532.873629</v>
      </c>
      <c r="F468">
        <v>3418.135616</v>
      </c>
      <c r="G468" s="3">
        <v>3.418135616</v>
      </c>
      <c r="H468" s="4"/>
      <c r="I468" t="s">
        <v>621</v>
      </c>
      <c r="J468">
        <v>2007.02</v>
      </c>
      <c r="K468" s="5">
        <v>0.9075317286325</v>
      </c>
      <c r="L468">
        <v>0.265504892311593</v>
      </c>
      <c r="O468">
        <v>0.8013152</v>
      </c>
      <c r="P468" s="6">
        <v>2.27305600842215</v>
      </c>
      <c r="Q468" s="4">
        <v>0.399256210700441</v>
      </c>
      <c r="R468" s="4"/>
      <c r="T468">
        <v>7282.231</v>
      </c>
      <c r="U468" s="7">
        <v>0.250120372451794</v>
      </c>
      <c r="V468">
        <v>3.62837988659804</v>
      </c>
      <c r="Y468">
        <v>0.770531</v>
      </c>
      <c r="Z468" s="8">
        <v>2.36386898126097</v>
      </c>
      <c r="AA468">
        <v>0.383917948002511</v>
      </c>
      <c r="AD468" s="9">
        <v>1.088247</v>
      </c>
      <c r="AE468">
        <v>0.833939104479498</v>
      </c>
      <c r="AH468">
        <v>1801.41</v>
      </c>
      <c r="AI468" s="10">
        <v>1.01111592030687</v>
      </c>
      <c r="AJ468">
        <v>0.897554583412223</v>
      </c>
    </row>
    <row r="469" customFormat="1" spans="1:36">
      <c r="A469" s="1" t="s">
        <v>607</v>
      </c>
      <c r="B469" s="1">
        <v>866232788</v>
      </c>
      <c r="C469" s="2">
        <v>0.379022</v>
      </c>
      <c r="E469">
        <v>74.303781</v>
      </c>
      <c r="F469">
        <v>11657.990704</v>
      </c>
      <c r="G469" s="3">
        <v>11.657990704</v>
      </c>
      <c r="H469" s="4"/>
      <c r="I469" t="s">
        <v>607</v>
      </c>
      <c r="J469">
        <v>32.8208</v>
      </c>
      <c r="K469" s="5">
        <v>26.3927993223809</v>
      </c>
      <c r="L469">
        <v>2.26392351756853</v>
      </c>
      <c r="O469">
        <v>0.0598752</v>
      </c>
      <c r="P469" s="6">
        <v>14.4673051279996</v>
      </c>
      <c r="Q469" s="4">
        <v>1.8243065373178</v>
      </c>
      <c r="R469" s="4"/>
      <c r="T469">
        <v>187.551</v>
      </c>
      <c r="U469" s="7">
        <v>4.61865192934189</v>
      </c>
      <c r="V469">
        <v>5.71439453029786</v>
      </c>
      <c r="Y469">
        <v>0.00351799</v>
      </c>
      <c r="Z469" s="8">
        <v>246.229462846682</v>
      </c>
      <c r="AA469">
        <v>0.107187819919076</v>
      </c>
      <c r="AD469" s="9">
        <v>3.63168</v>
      </c>
      <c r="AE469">
        <v>7.26738019935152</v>
      </c>
      <c r="AH469">
        <v>73.507</v>
      </c>
      <c r="AI469" s="10">
        <v>11.7843577890541</v>
      </c>
      <c r="AJ469">
        <v>2.23964680934042</v>
      </c>
    </row>
    <row r="470" customFormat="1" spans="1:36">
      <c r="A470" s="1" t="s">
        <v>616</v>
      </c>
      <c r="B470" s="1">
        <v>1762440102</v>
      </c>
      <c r="C470" s="2">
        <v>0.382009</v>
      </c>
      <c r="E470">
        <v>459.312817</v>
      </c>
      <c r="F470">
        <v>3837.123716</v>
      </c>
      <c r="G470" s="3">
        <v>3.837123716</v>
      </c>
      <c r="H470" s="4"/>
      <c r="I470" t="s">
        <v>616</v>
      </c>
      <c r="J470">
        <v>1967.86</v>
      </c>
      <c r="K470" s="5">
        <v>0.895612544591587</v>
      </c>
      <c r="L470">
        <v>0.233407263064537</v>
      </c>
      <c r="O470">
        <v>0.753672</v>
      </c>
      <c r="P470" s="6">
        <v>2.33847098207178</v>
      </c>
      <c r="Q470" s="4">
        <v>0.382990659904668</v>
      </c>
      <c r="R470" s="4"/>
      <c r="T470">
        <v>7313.986</v>
      </c>
      <c r="U470" s="7">
        <v>0.240968481755366</v>
      </c>
      <c r="V470">
        <v>3.71672070167593</v>
      </c>
      <c r="Y470">
        <v>0.689969</v>
      </c>
      <c r="Z470" s="8">
        <v>2.55437577920167</v>
      </c>
      <c r="AA470">
        <v>0.350618946469769</v>
      </c>
      <c r="AD470" s="9">
        <v>1.148817</v>
      </c>
      <c r="AE470">
        <v>0.779595483520514</v>
      </c>
      <c r="AH470">
        <v>1775.0283</v>
      </c>
      <c r="AI470" s="10">
        <v>0.992908170534521</v>
      </c>
      <c r="AJ470">
        <v>0.902009441728578</v>
      </c>
    </row>
    <row r="471" customFormat="1" spans="1:36">
      <c r="A471" s="1" t="s">
        <v>126</v>
      </c>
      <c r="B471" s="1">
        <v>5057868</v>
      </c>
      <c r="C471" s="2">
        <v>0.382739</v>
      </c>
      <c r="E471">
        <v>1.18197</v>
      </c>
      <c r="F471">
        <v>4279.184156</v>
      </c>
      <c r="G471" s="3">
        <v>4.279184156</v>
      </c>
      <c r="H471" s="4"/>
      <c r="I471" t="s">
        <v>126</v>
      </c>
      <c r="J471">
        <v>0.591979</v>
      </c>
      <c r="K471" s="5">
        <v>8.54399902699251</v>
      </c>
      <c r="L471">
        <v>1.99664205033398</v>
      </c>
      <c r="O471">
        <v>0.0008496</v>
      </c>
      <c r="P471" s="6">
        <v>5.95323446327684</v>
      </c>
      <c r="Q471" s="4">
        <v>1.43518604545094</v>
      </c>
      <c r="R471" s="4"/>
      <c r="T471">
        <v>4.068</v>
      </c>
      <c r="U471" s="7">
        <v>1.24333038348083</v>
      </c>
      <c r="V471">
        <v>6.87186538711677</v>
      </c>
      <c r="Y471">
        <v>0.00259442</v>
      </c>
      <c r="Z471" s="8">
        <v>1.94951781130272</v>
      </c>
      <c r="AA471">
        <v>4.38262168083665</v>
      </c>
      <c r="AD471" s="9">
        <v>2.67477</v>
      </c>
      <c r="AE471">
        <v>3.19429297733731</v>
      </c>
      <c r="AH471">
        <v>0.9425</v>
      </c>
      <c r="AI471" s="10">
        <v>5.36643819628647</v>
      </c>
      <c r="AJ471">
        <v>1.59211728794434</v>
      </c>
    </row>
    <row r="472" customFormat="1" spans="1:36">
      <c r="A472" s="1" t="s">
        <v>125</v>
      </c>
      <c r="B472" s="1">
        <v>5057868</v>
      </c>
      <c r="C472" s="2">
        <v>0.382739</v>
      </c>
      <c r="E472">
        <v>1.073035</v>
      </c>
      <c r="F472">
        <v>4713.60997</v>
      </c>
      <c r="G472" s="3">
        <v>4.71360997</v>
      </c>
      <c r="H472" s="4"/>
      <c r="I472" t="s">
        <v>125</v>
      </c>
      <c r="J472">
        <v>0.781417</v>
      </c>
      <c r="K472" s="5">
        <v>6.47268743833318</v>
      </c>
      <c r="L472">
        <v>1.37319113790257</v>
      </c>
      <c r="O472">
        <v>0.0008608</v>
      </c>
      <c r="P472" s="6">
        <v>5.87577602230483</v>
      </c>
      <c r="Q472" s="4">
        <v>1.10158852443702</v>
      </c>
      <c r="R472" s="4"/>
      <c r="T472">
        <v>4.042</v>
      </c>
      <c r="U472" s="7">
        <v>1.25132805541811</v>
      </c>
      <c r="V472">
        <v>5.17265429341824</v>
      </c>
      <c r="Y472">
        <v>0.00247824</v>
      </c>
      <c r="Z472" s="8">
        <v>2.04091129188456</v>
      </c>
      <c r="AA472">
        <v>3.17146926672954</v>
      </c>
      <c r="AD472" s="9">
        <v>2.656848</v>
      </c>
      <c r="AE472">
        <v>2.43622798080025</v>
      </c>
      <c r="AH472">
        <v>0.9864</v>
      </c>
      <c r="AI472" s="10">
        <v>5.12760340632603</v>
      </c>
      <c r="AJ472">
        <v>1.26232216601379</v>
      </c>
    </row>
    <row r="473" customFormat="1" spans="1:36">
      <c r="A473" s="1" t="s">
        <v>93</v>
      </c>
      <c r="B473" s="1">
        <v>3312964</v>
      </c>
      <c r="C473" s="2">
        <v>0.382998</v>
      </c>
      <c r="E473">
        <v>3.565643</v>
      </c>
      <c r="F473">
        <v>929.135104</v>
      </c>
      <c r="G473" s="3">
        <v>0.929135104</v>
      </c>
      <c r="H473" s="4"/>
      <c r="I473" t="s">
        <v>93</v>
      </c>
      <c r="J473">
        <v>4.3022</v>
      </c>
      <c r="K473" s="5">
        <v>0.770062758588629</v>
      </c>
      <c r="L473">
        <v>0.828795247616249</v>
      </c>
      <c r="O473">
        <v>0.0022496</v>
      </c>
      <c r="P473" s="6">
        <v>1.47269025604552</v>
      </c>
      <c r="Q473" s="4">
        <v>0.522895262888755</v>
      </c>
      <c r="R473" s="4"/>
      <c r="T473">
        <v>7.728</v>
      </c>
      <c r="U473" s="7">
        <v>0.428696169772257</v>
      </c>
      <c r="V473">
        <v>1.79629027009437</v>
      </c>
      <c r="Y473">
        <v>0.00360909</v>
      </c>
      <c r="Z473" s="8">
        <v>0.917949954143565</v>
      </c>
      <c r="AA473">
        <v>0.838894054204825</v>
      </c>
      <c r="AD473" s="9">
        <v>0.819387</v>
      </c>
      <c r="AE473">
        <v>0.9398034855186</v>
      </c>
      <c r="AH473">
        <v>4.1789</v>
      </c>
      <c r="AI473" s="10">
        <v>0.792783746919046</v>
      </c>
      <c r="AJ473">
        <v>0.971340244526056</v>
      </c>
    </row>
    <row r="474" customFormat="1" spans="1:36">
      <c r="A474" s="1" t="s">
        <v>349</v>
      </c>
      <c r="B474" s="1">
        <v>27366370</v>
      </c>
      <c r="C474" s="2">
        <v>0.393291</v>
      </c>
      <c r="E474">
        <v>3.086661</v>
      </c>
      <c r="F474">
        <v>8866.009572</v>
      </c>
      <c r="G474" s="3">
        <v>8.866009572</v>
      </c>
      <c r="H474" s="4"/>
      <c r="I474" t="s">
        <v>349</v>
      </c>
      <c r="J474">
        <v>2.11326</v>
      </c>
      <c r="K474" s="5">
        <v>12.9498357987186</v>
      </c>
      <c r="L474">
        <v>1.46061604079651</v>
      </c>
      <c r="O474">
        <v>0.002656</v>
      </c>
      <c r="P474" s="6">
        <v>10.3036031626506</v>
      </c>
      <c r="Q474" s="4">
        <v>1.25682594664168</v>
      </c>
      <c r="R474" s="4"/>
      <c r="T474">
        <v>31.655</v>
      </c>
      <c r="U474" s="7">
        <v>0.864519665139788</v>
      </c>
      <c r="V474">
        <v>14.9792264084874</v>
      </c>
      <c r="Y474">
        <v>0.0048512</v>
      </c>
      <c r="Z474" s="8">
        <v>5.64115476583113</v>
      </c>
      <c r="AA474">
        <v>2.29560016278167</v>
      </c>
      <c r="AD474" s="9">
        <v>2.980101</v>
      </c>
      <c r="AE474">
        <v>4.34543520461842</v>
      </c>
      <c r="AH474">
        <v>3.6127</v>
      </c>
      <c r="AI474" s="10">
        <v>7.57504636421513</v>
      </c>
      <c r="AJ474">
        <v>1.70953881680437</v>
      </c>
    </row>
    <row r="475" customFormat="1" spans="1:36">
      <c r="A475" s="1" t="s">
        <v>194</v>
      </c>
      <c r="B475" s="1">
        <v>9790206</v>
      </c>
      <c r="C475" s="2">
        <v>0.407012</v>
      </c>
      <c r="E475">
        <v>2.554802</v>
      </c>
      <c r="F475">
        <v>3832.080675</v>
      </c>
      <c r="G475" s="3">
        <v>3.832080675</v>
      </c>
      <c r="H475" s="4"/>
      <c r="I475" t="s">
        <v>194</v>
      </c>
      <c r="J475">
        <v>1.53429</v>
      </c>
      <c r="K475" s="5">
        <v>6.38093580744188</v>
      </c>
      <c r="L475">
        <v>1.66513608366084</v>
      </c>
      <c r="O475">
        <v>0.0022464</v>
      </c>
      <c r="P475" s="6">
        <v>4.35817574786325</v>
      </c>
      <c r="Q475" s="4">
        <v>1.46412998846372</v>
      </c>
      <c r="R475" s="4"/>
      <c r="T475">
        <v>11.956</v>
      </c>
      <c r="U475" s="7">
        <v>0.818852960856474</v>
      </c>
      <c r="V475">
        <v>7.79252944358629</v>
      </c>
      <c r="Y475">
        <v>0.00333025</v>
      </c>
      <c r="Z475" s="8">
        <v>2.9397810975152</v>
      </c>
      <c r="AA475">
        <v>2.17054794074132</v>
      </c>
      <c r="AD475" s="9">
        <v>1.881045</v>
      </c>
      <c r="AE475">
        <v>3.39222921697348</v>
      </c>
      <c r="AH475">
        <v>2.4567</v>
      </c>
      <c r="AI475" s="10">
        <v>3.98510440835267</v>
      </c>
      <c r="AJ475">
        <v>1.60119664470211</v>
      </c>
    </row>
    <row r="476" customFormat="1" spans="1:36">
      <c r="A476" s="1" t="s">
        <v>76</v>
      </c>
      <c r="B476" s="1">
        <v>2621440</v>
      </c>
      <c r="C476" s="2">
        <v>0.41883</v>
      </c>
      <c r="E476">
        <v>2.100623</v>
      </c>
      <c r="F476">
        <v>1247.93436</v>
      </c>
      <c r="G476" s="3">
        <v>1.24793436</v>
      </c>
      <c r="H476" s="4"/>
      <c r="I476" t="s">
        <v>76</v>
      </c>
      <c r="J476">
        <v>1.50535</v>
      </c>
      <c r="K476" s="5">
        <v>1.74141561763045</v>
      </c>
      <c r="L476">
        <v>1.39543847292613</v>
      </c>
      <c r="O476">
        <v>0.0016848</v>
      </c>
      <c r="P476" s="6">
        <v>1.55593542260209</v>
      </c>
      <c r="Q476" s="4">
        <v>1.11920815757133</v>
      </c>
      <c r="R476" s="4"/>
      <c r="T476">
        <v>7.351</v>
      </c>
      <c r="U476" s="7">
        <v>0.35660998503605</v>
      </c>
      <c r="V476">
        <v>4.88324974258478</v>
      </c>
      <c r="Y476">
        <v>0.0028375</v>
      </c>
      <c r="Z476" s="8">
        <v>0.923855506607929</v>
      </c>
      <c r="AA476">
        <v>1.88494370080048</v>
      </c>
      <c r="AD476" s="9">
        <v>1.050408</v>
      </c>
      <c r="AE476">
        <v>1.65784687248236</v>
      </c>
      <c r="AH476">
        <v>1.9</v>
      </c>
      <c r="AI476" s="10">
        <v>1.37970526315789</v>
      </c>
      <c r="AJ476">
        <v>1.2621649450294</v>
      </c>
    </row>
    <row r="477" customFormat="1" spans="1:36">
      <c r="A477" s="1" t="s">
        <v>521</v>
      </c>
      <c r="B477" s="1">
        <v>141654528</v>
      </c>
      <c r="C477" s="2">
        <v>0.431005</v>
      </c>
      <c r="E477">
        <v>13.080049</v>
      </c>
      <c r="F477">
        <v>10829.816192</v>
      </c>
      <c r="G477" s="3">
        <v>10.829816192</v>
      </c>
      <c r="H477" s="4"/>
      <c r="I477" t="s">
        <v>521</v>
      </c>
      <c r="J477">
        <v>4.54463</v>
      </c>
      <c r="K477" s="5">
        <v>31.1696503345707</v>
      </c>
      <c r="L477">
        <v>2.87813290474826</v>
      </c>
      <c r="O477">
        <v>0.00992</v>
      </c>
      <c r="P477" s="6">
        <v>14.2796903225806</v>
      </c>
      <c r="Q477" s="4">
        <v>2.182795959187</v>
      </c>
      <c r="R477" s="4"/>
      <c r="T477">
        <v>45.2</v>
      </c>
      <c r="U477" s="7">
        <v>3.13394973451327</v>
      </c>
      <c r="V477">
        <v>9.94580416887623</v>
      </c>
      <c r="Y477">
        <v>0.00432508</v>
      </c>
      <c r="Z477" s="8">
        <v>32.7518862078852</v>
      </c>
      <c r="AA477">
        <v>0.951690236608921</v>
      </c>
      <c r="AD477" s="9">
        <v>3.72219</v>
      </c>
      <c r="AE477">
        <v>8.37400840219621</v>
      </c>
      <c r="AH477">
        <v>8.5541</v>
      </c>
      <c r="AI477" s="10">
        <v>16.5598400766884</v>
      </c>
      <c r="AJ477">
        <v>1.88224343895983</v>
      </c>
    </row>
    <row r="478" customFormat="1" spans="1:36">
      <c r="A478" s="1" t="s">
        <v>574</v>
      </c>
      <c r="B478" s="1">
        <v>300282560</v>
      </c>
      <c r="C478" s="2">
        <v>0.448168</v>
      </c>
      <c r="E478">
        <v>200.035923</v>
      </c>
      <c r="F478">
        <v>1501.143172</v>
      </c>
      <c r="G478" s="3">
        <v>1.501143172</v>
      </c>
      <c r="H478" s="4"/>
      <c r="I478" t="s">
        <v>574</v>
      </c>
      <c r="J478">
        <v>121.349</v>
      </c>
      <c r="K478" s="5">
        <v>2.47453674937577</v>
      </c>
      <c r="L478">
        <v>1.64843486985915</v>
      </c>
      <c r="O478">
        <v>0.1289712</v>
      </c>
      <c r="P478" s="6">
        <v>2.32829158757924</v>
      </c>
      <c r="Q478" s="4">
        <v>1.06281221930135</v>
      </c>
      <c r="R478" s="4"/>
      <c r="T478">
        <v>481.828</v>
      </c>
      <c r="U478" s="7">
        <v>0.623215255236308</v>
      </c>
      <c r="V478">
        <v>3.97059720310839</v>
      </c>
      <c r="Y478">
        <v>0.0164056</v>
      </c>
      <c r="Z478" s="8">
        <v>18.3036621641391</v>
      </c>
      <c r="AA478">
        <v>0.135193532703195</v>
      </c>
      <c r="AD478" s="9">
        <v>1.649871</v>
      </c>
      <c r="AE478">
        <v>1.49983650199062</v>
      </c>
      <c r="AH478">
        <v>171.6385</v>
      </c>
      <c r="AI478" s="10">
        <v>1.74950585096001</v>
      </c>
      <c r="AJ478">
        <v>1.41442039077372</v>
      </c>
    </row>
    <row r="479" customFormat="1" spans="1:36">
      <c r="A479" s="1" t="s">
        <v>60</v>
      </c>
      <c r="B479" s="1">
        <v>2166306</v>
      </c>
      <c r="C479" s="2">
        <v>0.450936</v>
      </c>
      <c r="E479">
        <v>0.966425</v>
      </c>
      <c r="F479">
        <v>2241.567284</v>
      </c>
      <c r="G479" s="3">
        <v>2.241567284</v>
      </c>
      <c r="H479" s="4"/>
      <c r="I479" t="s">
        <v>60</v>
      </c>
      <c r="J479">
        <v>0.385537</v>
      </c>
      <c r="K479" s="5">
        <v>5.61893151630064</v>
      </c>
      <c r="L479">
        <v>2.50669768264723</v>
      </c>
      <c r="O479">
        <v>0.0006992</v>
      </c>
      <c r="P479" s="6">
        <v>3.09826372997712</v>
      </c>
      <c r="Q479" s="4">
        <v>1.81357431323064</v>
      </c>
      <c r="R479" s="4"/>
      <c r="T479">
        <v>2.722</v>
      </c>
      <c r="U479" s="7">
        <v>0.795850844966936</v>
      </c>
      <c r="V479">
        <v>7.0602821519076</v>
      </c>
      <c r="Y479">
        <v>0.0014917</v>
      </c>
      <c r="Z479" s="8">
        <v>1.45223972648656</v>
      </c>
      <c r="AA479">
        <v>3.86914874577537</v>
      </c>
      <c r="AD479" s="9">
        <v>1.929429</v>
      </c>
      <c r="AE479">
        <v>2.91222507607206</v>
      </c>
      <c r="AH479">
        <v>0.8532</v>
      </c>
      <c r="AI479" s="10">
        <v>2.53903656821378</v>
      </c>
      <c r="AJ479">
        <v>2.21301716826141</v>
      </c>
    </row>
    <row r="480" customFormat="1" spans="1:36">
      <c r="A480" s="1" t="s">
        <v>77</v>
      </c>
      <c r="B480" s="1">
        <v>2621440</v>
      </c>
      <c r="C480" s="2">
        <v>0.452705</v>
      </c>
      <c r="E480">
        <v>2.079114</v>
      </c>
      <c r="F480">
        <v>1260.84491</v>
      </c>
      <c r="G480" s="3">
        <v>1.26084491</v>
      </c>
      <c r="H480" s="4"/>
      <c r="I480" t="s">
        <v>77</v>
      </c>
      <c r="J480">
        <v>1.91752</v>
      </c>
      <c r="K480" s="5">
        <v>1.36709916976094</v>
      </c>
      <c r="L480">
        <v>1.08427226768195</v>
      </c>
      <c r="O480">
        <v>0.0017072</v>
      </c>
      <c r="P480" s="6">
        <v>1.53552014995314</v>
      </c>
      <c r="Q480" s="4">
        <v>0.890316659017898</v>
      </c>
      <c r="R480" s="4"/>
      <c r="T480">
        <v>3.334</v>
      </c>
      <c r="U480" s="7">
        <v>0.78627474505099</v>
      </c>
      <c r="V480">
        <v>1.73870415953941</v>
      </c>
      <c r="Y480">
        <v>0.00285553</v>
      </c>
      <c r="Z480" s="8">
        <v>0.918022223545191</v>
      </c>
      <c r="AA480">
        <v>1.4891787308607</v>
      </c>
      <c r="AD480" s="9">
        <v>1.053132</v>
      </c>
      <c r="AE480">
        <v>1.29812708165827</v>
      </c>
      <c r="AH480">
        <v>2.0863</v>
      </c>
      <c r="AI480" s="10">
        <v>1.25650194123568</v>
      </c>
      <c r="AJ480">
        <v>1.08801994242563</v>
      </c>
    </row>
    <row r="481" customFormat="1" spans="1:36">
      <c r="A481" s="1" t="s">
        <v>280</v>
      </c>
      <c r="B481" s="1">
        <v>16638718</v>
      </c>
      <c r="C481" s="2">
        <v>0.456</v>
      </c>
      <c r="E481">
        <v>1.454613</v>
      </c>
      <c r="F481">
        <v>11438.584815</v>
      </c>
      <c r="G481" s="3">
        <v>11.438584815</v>
      </c>
      <c r="H481" s="4"/>
      <c r="I481" t="s">
        <v>280</v>
      </c>
      <c r="J481">
        <v>0.640801</v>
      </c>
      <c r="K481" s="5">
        <v>25.9654994296201</v>
      </c>
      <c r="L481">
        <v>2.26999229796069</v>
      </c>
      <c r="O481">
        <v>0.0014528</v>
      </c>
      <c r="P481" s="6">
        <v>11.4528620594714</v>
      </c>
      <c r="Q481" s="4">
        <v>2.26716250442805</v>
      </c>
      <c r="R481" s="4"/>
      <c r="T481">
        <v>7.904</v>
      </c>
      <c r="U481" s="7">
        <v>2.10510096153846</v>
      </c>
      <c r="V481">
        <v>12.3345625240909</v>
      </c>
      <c r="Y481">
        <v>0.00220643</v>
      </c>
      <c r="Z481" s="8">
        <v>7.5410133110953</v>
      </c>
      <c r="AA481">
        <v>3.44323744813132</v>
      </c>
      <c r="AD481" s="9">
        <v>3.36246</v>
      </c>
      <c r="AE481">
        <v>7.72217347704363</v>
      </c>
      <c r="AH481">
        <v>1.3776</v>
      </c>
      <c r="AI481" s="10">
        <v>12.0780473286876</v>
      </c>
      <c r="AJ481">
        <v>2.14980937919885</v>
      </c>
    </row>
    <row r="482" customFormat="1" spans="1:36">
      <c r="A482" s="1" t="s">
        <v>279</v>
      </c>
      <c r="B482" s="1">
        <v>16638718</v>
      </c>
      <c r="C482" s="2">
        <v>0.462247</v>
      </c>
      <c r="E482">
        <v>1.369476</v>
      </c>
      <c r="F482">
        <v>12149.694881</v>
      </c>
      <c r="G482" s="3">
        <v>12.149694881</v>
      </c>
      <c r="H482" s="4"/>
      <c r="I482" t="s">
        <v>279</v>
      </c>
      <c r="J482">
        <v>0.70503</v>
      </c>
      <c r="K482" s="5">
        <v>23.6000141837936</v>
      </c>
      <c r="L482">
        <v>1.94243677844946</v>
      </c>
      <c r="O482">
        <v>0.0014496</v>
      </c>
      <c r="P482" s="6">
        <v>11.4781443156733</v>
      </c>
      <c r="Q482" s="4">
        <v>2.05608271988426</v>
      </c>
      <c r="R482" s="4"/>
      <c r="T482">
        <v>7.844</v>
      </c>
      <c r="U482" s="7">
        <v>2.12120321264661</v>
      </c>
      <c r="V482">
        <v>11.1257676978285</v>
      </c>
      <c r="Y482">
        <v>0.00228322</v>
      </c>
      <c r="Z482" s="8">
        <v>7.28739149096452</v>
      </c>
      <c r="AA482">
        <v>3.23847212175368</v>
      </c>
      <c r="AD482" s="9">
        <v>3.37398</v>
      </c>
      <c r="AE482">
        <v>6.99471075222544</v>
      </c>
      <c r="AH482">
        <v>1.3543</v>
      </c>
      <c r="AI482" s="10">
        <v>12.2858436092446</v>
      </c>
      <c r="AJ482">
        <v>1.9209111669007</v>
      </c>
    </row>
    <row r="483" customFormat="1" spans="1:36">
      <c r="A483" s="1" t="s">
        <v>410</v>
      </c>
      <c r="B483" s="1">
        <v>46610030</v>
      </c>
      <c r="C483" s="2">
        <v>0.465955</v>
      </c>
      <c r="E483">
        <v>13.41991</v>
      </c>
      <c r="F483">
        <v>3473.199887</v>
      </c>
      <c r="G483" s="3">
        <v>3.473199887</v>
      </c>
      <c r="H483" s="4"/>
      <c r="I483" t="s">
        <v>410</v>
      </c>
      <c r="J483">
        <v>22.0516</v>
      </c>
      <c r="K483" s="5">
        <v>2.11368018647173</v>
      </c>
      <c r="L483">
        <v>0.608568540608078</v>
      </c>
      <c r="O483">
        <v>0.0322704</v>
      </c>
      <c r="P483" s="6">
        <v>1.44435860726858</v>
      </c>
      <c r="Q483" s="4">
        <v>1.46340401603512</v>
      </c>
      <c r="R483" s="4"/>
      <c r="T483">
        <v>150.569</v>
      </c>
      <c r="U483" s="7">
        <v>0.309559271828863</v>
      </c>
      <c r="V483">
        <v>6.8280306190934</v>
      </c>
      <c r="Y483">
        <v>0.0446817</v>
      </c>
      <c r="Z483" s="8">
        <v>1.04315704192097</v>
      </c>
      <c r="AA483">
        <v>2.026233924069</v>
      </c>
      <c r="AD483" s="9">
        <v>1.111035</v>
      </c>
      <c r="AE483">
        <v>1.90244248513479</v>
      </c>
      <c r="AH483">
        <v>44.6364</v>
      </c>
      <c r="AI483" s="10">
        <v>1.04421570735991</v>
      </c>
      <c r="AJ483">
        <v>2.02417965136317</v>
      </c>
    </row>
    <row r="484" customFormat="1" spans="1:36">
      <c r="A484" s="1" t="s">
        <v>527</v>
      </c>
      <c r="B484" s="1">
        <v>151349670</v>
      </c>
      <c r="C484" s="2">
        <v>0.469675</v>
      </c>
      <c r="E484">
        <v>8.605729</v>
      </c>
      <c r="F484">
        <v>17587.082127</v>
      </c>
      <c r="G484" s="3">
        <v>17.587082127</v>
      </c>
      <c r="H484" s="4"/>
      <c r="I484" t="s">
        <v>527</v>
      </c>
      <c r="J484">
        <v>7.05431</v>
      </c>
      <c r="K484" s="5">
        <v>21.4549218846351</v>
      </c>
      <c r="L484">
        <v>1.21992504098773</v>
      </c>
      <c r="O484">
        <v>0.0136224</v>
      </c>
      <c r="P484" s="6">
        <v>11.1103528012685</v>
      </c>
      <c r="Q484" s="4">
        <v>1.93107476138701</v>
      </c>
      <c r="R484" s="4"/>
      <c r="T484">
        <v>95.741</v>
      </c>
      <c r="U484" s="7">
        <v>1.58082399390021</v>
      </c>
      <c r="V484">
        <v>13.5719864876933</v>
      </c>
      <c r="Y484">
        <v>0.0058812</v>
      </c>
      <c r="Z484" s="8">
        <v>25.7344878596205</v>
      </c>
      <c r="AA484">
        <v>0.833703083646735</v>
      </c>
      <c r="AD484" s="9">
        <v>3.40215</v>
      </c>
      <c r="AE484">
        <v>6.30628334571817</v>
      </c>
      <c r="AH484">
        <v>13.7227</v>
      </c>
      <c r="AI484" s="10">
        <v>11.0291465965153</v>
      </c>
      <c r="AJ484">
        <v>1.94529301944485</v>
      </c>
    </row>
    <row r="485" customFormat="1" spans="1:36">
      <c r="A485" s="1" t="s">
        <v>210</v>
      </c>
      <c r="B485" s="1">
        <v>10478038</v>
      </c>
      <c r="C485" s="2">
        <v>0.475619</v>
      </c>
      <c r="E485">
        <v>9.858973</v>
      </c>
      <c r="F485">
        <v>1062.792037</v>
      </c>
      <c r="G485" s="3">
        <v>1.062792037</v>
      </c>
      <c r="H485" s="4"/>
      <c r="I485" t="s">
        <v>210</v>
      </c>
      <c r="J485">
        <v>10.2874</v>
      </c>
      <c r="K485" s="5">
        <v>1.0185312129401</v>
      </c>
      <c r="L485">
        <v>0.958354200521829</v>
      </c>
      <c r="O485">
        <v>0.005512</v>
      </c>
      <c r="P485" s="6">
        <v>1.90095029027576</v>
      </c>
      <c r="Q485" s="4">
        <v>0.535801077045706</v>
      </c>
      <c r="R485" s="4"/>
      <c r="T485">
        <v>10.053</v>
      </c>
      <c r="U485" s="7">
        <v>1.04227971749726</v>
      </c>
      <c r="V485">
        <v>0.977214845344791</v>
      </c>
      <c r="Y485">
        <v>0.0103979</v>
      </c>
      <c r="Z485" s="8">
        <v>1.00770713317112</v>
      </c>
      <c r="AA485">
        <v>1.01074129517662</v>
      </c>
      <c r="AD485" s="9">
        <v>1.240392</v>
      </c>
      <c r="AE485">
        <v>0.821136554363541</v>
      </c>
      <c r="AH485">
        <v>12.2813</v>
      </c>
      <c r="AI485" s="10">
        <v>0.85317010414207</v>
      </c>
      <c r="AJ485">
        <v>1.19381962400607</v>
      </c>
    </row>
    <row r="486" customFormat="1" spans="1:36">
      <c r="A486" s="1" t="s">
        <v>428</v>
      </c>
      <c r="B486" s="1">
        <v>54377724</v>
      </c>
      <c r="C486" s="2">
        <v>0.477522</v>
      </c>
      <c r="E486">
        <v>25.857978</v>
      </c>
      <c r="F486">
        <v>2102.938009</v>
      </c>
      <c r="G486" s="3">
        <v>2.102938009</v>
      </c>
      <c r="H486" s="4"/>
      <c r="I486" t="s">
        <v>428</v>
      </c>
      <c r="J486">
        <v>31.2067</v>
      </c>
      <c r="K486" s="5">
        <v>1.74250157818674</v>
      </c>
      <c r="L486">
        <v>0.828603397118367</v>
      </c>
      <c r="O486">
        <v>0.0486624</v>
      </c>
      <c r="P486" s="6">
        <v>1.11744846123496</v>
      </c>
      <c r="Q486" s="4">
        <v>1.55935744567673</v>
      </c>
      <c r="R486" s="4"/>
      <c r="T486">
        <v>148.028</v>
      </c>
      <c r="U486" s="7">
        <v>0.367347555867809</v>
      </c>
      <c r="V486">
        <v>4.74346855002291</v>
      </c>
      <c r="Y486">
        <v>0.0114137</v>
      </c>
      <c r="Z486" s="8">
        <v>4.76425033074288</v>
      </c>
      <c r="AA486">
        <v>0.365745176516581</v>
      </c>
      <c r="AD486" s="9">
        <v>1.017132</v>
      </c>
      <c r="AE486">
        <v>1.71315186051244</v>
      </c>
      <c r="AH486">
        <v>43.0356</v>
      </c>
      <c r="AI486" s="10">
        <v>1.26355212893511</v>
      </c>
      <c r="AJ486">
        <v>1.37905001169621</v>
      </c>
    </row>
    <row r="487" customFormat="1" spans="1:36">
      <c r="A487" s="1" t="s">
        <v>39</v>
      </c>
      <c r="B487" s="1">
        <v>1599650</v>
      </c>
      <c r="C487" s="2">
        <v>0.480316</v>
      </c>
      <c r="E487">
        <v>1.181252</v>
      </c>
      <c r="F487">
        <v>1354.199115</v>
      </c>
      <c r="G487" s="3">
        <v>1.354199115</v>
      </c>
      <c r="H487" s="4"/>
      <c r="I487" t="s">
        <v>39</v>
      </c>
      <c r="J487">
        <v>0.949295</v>
      </c>
      <c r="K487" s="5">
        <v>1.68509262136638</v>
      </c>
      <c r="L487">
        <v>1.24434627279045</v>
      </c>
      <c r="O487">
        <v>0.0013264</v>
      </c>
      <c r="P487" s="6">
        <v>1.20600874547648</v>
      </c>
      <c r="Q487" s="4">
        <v>1.39724743098826</v>
      </c>
      <c r="R487" s="4"/>
      <c r="T487">
        <v>3.575</v>
      </c>
      <c r="U487" s="7">
        <v>0.447454545454545</v>
      </c>
      <c r="V487">
        <v>3.76595262800289</v>
      </c>
      <c r="Y487">
        <v>0.00294653</v>
      </c>
      <c r="Z487" s="8">
        <v>0.542892826477246</v>
      </c>
      <c r="AA487">
        <v>3.10391395719982</v>
      </c>
      <c r="AD487" s="9">
        <v>1.126521</v>
      </c>
      <c r="AE487">
        <v>1.49583773526315</v>
      </c>
      <c r="AH487">
        <v>1.523</v>
      </c>
      <c r="AI487" s="10">
        <v>1.05032829940906</v>
      </c>
      <c r="AJ487">
        <v>1.60434849019536</v>
      </c>
    </row>
    <row r="488" customFormat="1" spans="1:36">
      <c r="A488" s="1" t="s">
        <v>138</v>
      </c>
      <c r="B488" s="1">
        <v>5556240</v>
      </c>
      <c r="C488" s="2">
        <v>0.483287</v>
      </c>
      <c r="E488">
        <v>1.011484</v>
      </c>
      <c r="F488">
        <v>5493.159119</v>
      </c>
      <c r="G488" s="3">
        <v>5.493159119</v>
      </c>
      <c r="H488" s="4"/>
      <c r="I488" t="s">
        <v>138</v>
      </c>
      <c r="J488">
        <v>0.365599</v>
      </c>
      <c r="K488" s="5">
        <v>15.1976345668342</v>
      </c>
      <c r="L488">
        <v>2.7666474313966</v>
      </c>
      <c r="O488">
        <v>0.0008464</v>
      </c>
      <c r="P488" s="6">
        <v>6.56455576559546</v>
      </c>
      <c r="Q488" s="4">
        <v>2.31510480061488</v>
      </c>
      <c r="R488" s="4"/>
      <c r="T488">
        <v>7.894</v>
      </c>
      <c r="U488" s="7">
        <v>0.703856093235369</v>
      </c>
      <c r="V488">
        <v>21.5919627788916</v>
      </c>
      <c r="Y488">
        <v>0.00310259</v>
      </c>
      <c r="Z488" s="8">
        <v>1.79083926654827</v>
      </c>
      <c r="AA488">
        <v>8.48631971094013</v>
      </c>
      <c r="AD488" s="9">
        <v>2.67156</v>
      </c>
      <c r="AE488">
        <v>5.68867424532264</v>
      </c>
      <c r="AH488">
        <v>0.8668</v>
      </c>
      <c r="AI488" s="10">
        <v>6.41005999077065</v>
      </c>
      <c r="AJ488">
        <v>2.37090364032724</v>
      </c>
    </row>
    <row r="489" customFormat="1" spans="1:36">
      <c r="A489" s="1" t="s">
        <v>40</v>
      </c>
      <c r="B489" s="1">
        <v>1600060</v>
      </c>
      <c r="C489" s="2">
        <v>0.483632</v>
      </c>
      <c r="E489">
        <v>1.166923</v>
      </c>
      <c r="F489">
        <v>1371.178656</v>
      </c>
      <c r="G489" s="3">
        <v>1.371178656</v>
      </c>
      <c r="H489" s="4"/>
      <c r="I489" t="s">
        <v>40</v>
      </c>
      <c r="J489">
        <v>0.954904</v>
      </c>
      <c r="K489" s="5">
        <v>1.67562393706592</v>
      </c>
      <c r="L489">
        <v>1.22203181163427</v>
      </c>
      <c r="O489">
        <v>0.00132</v>
      </c>
      <c r="P489" s="6">
        <v>1.21216666666667</v>
      </c>
      <c r="Q489" s="4">
        <v>1.38233791040775</v>
      </c>
      <c r="R489" s="4"/>
      <c r="T489">
        <v>3.046</v>
      </c>
      <c r="U489" s="7">
        <v>0.525298752462246</v>
      </c>
      <c r="V489">
        <v>3.18984945083485</v>
      </c>
      <c r="Y489">
        <v>0.00284736</v>
      </c>
      <c r="Z489" s="8">
        <v>0.561945100022477</v>
      </c>
      <c r="AA489">
        <v>2.98182853983228</v>
      </c>
      <c r="AD489" s="9">
        <v>1.164972</v>
      </c>
      <c r="AE489">
        <v>1.43833837814636</v>
      </c>
      <c r="AH489">
        <v>1.5122</v>
      </c>
      <c r="AI489" s="10">
        <v>1.05810078032006</v>
      </c>
      <c r="AJ489">
        <v>1.58361468796863</v>
      </c>
    </row>
    <row r="490" customFormat="1" spans="1:36">
      <c r="A490" s="1" t="s">
        <v>547</v>
      </c>
      <c r="B490" s="1">
        <v>192762986</v>
      </c>
      <c r="C490" s="2">
        <v>0.492909</v>
      </c>
      <c r="E490">
        <v>19.015193</v>
      </c>
      <c r="F490">
        <v>10137.314145</v>
      </c>
      <c r="G490" s="3">
        <v>10.137314145</v>
      </c>
      <c r="H490" s="4"/>
      <c r="I490" t="s">
        <v>547</v>
      </c>
      <c r="J490">
        <v>17.017</v>
      </c>
      <c r="K490" s="5">
        <v>11.3276715049656</v>
      </c>
      <c r="L490">
        <v>1.11742334734223</v>
      </c>
      <c r="O490">
        <v>0.0253008</v>
      </c>
      <c r="P490" s="6">
        <v>7.61884944349586</v>
      </c>
      <c r="Q490" s="4">
        <v>1.48679555738379</v>
      </c>
      <c r="R490" s="4"/>
      <c r="T490">
        <v>167.475</v>
      </c>
      <c r="U490" s="7">
        <v>1.1509955874011</v>
      </c>
      <c r="V490">
        <v>9.84162895927602</v>
      </c>
      <c r="Y490">
        <v>0.0433833</v>
      </c>
      <c r="Z490" s="8">
        <v>4.44325318728635</v>
      </c>
      <c r="AA490">
        <v>2.5494094141153</v>
      </c>
      <c r="AD490" s="9">
        <v>2.863125</v>
      </c>
      <c r="AE490">
        <v>3.95640131149203</v>
      </c>
      <c r="AH490">
        <v>30.8862</v>
      </c>
      <c r="AI490" s="10">
        <v>6.24107161126976</v>
      </c>
      <c r="AJ490">
        <v>1.8150202738438</v>
      </c>
    </row>
    <row r="491" customFormat="1" spans="1:36">
      <c r="A491" s="1" t="s">
        <v>171</v>
      </c>
      <c r="B491" s="1">
        <v>7493212</v>
      </c>
      <c r="C491" s="2">
        <v>0.494118</v>
      </c>
      <c r="E491">
        <v>1.645135</v>
      </c>
      <c r="F491">
        <v>4554.769454</v>
      </c>
      <c r="G491" s="3">
        <v>4.554769454</v>
      </c>
      <c r="H491" s="4"/>
      <c r="I491" t="s">
        <v>171</v>
      </c>
      <c r="J491">
        <v>1.05225</v>
      </c>
      <c r="K491" s="5">
        <v>7.12113281064386</v>
      </c>
      <c r="L491">
        <v>1.56344528138303</v>
      </c>
      <c r="O491">
        <v>0.0012992</v>
      </c>
      <c r="P491" s="6">
        <v>5.76755849753695</v>
      </c>
      <c r="Q491" s="4">
        <v>1.23468757424566</v>
      </c>
      <c r="R491" s="4"/>
      <c r="T491">
        <v>6.413</v>
      </c>
      <c r="U491" s="7">
        <v>1.16844097926088</v>
      </c>
      <c r="V491">
        <v>6.09455927773818</v>
      </c>
      <c r="Y491">
        <v>0.00332715</v>
      </c>
      <c r="Z491" s="8">
        <v>2.25214132215259</v>
      </c>
      <c r="AA491">
        <v>3.16193870277976</v>
      </c>
      <c r="AD491" s="9">
        <v>2.493969</v>
      </c>
      <c r="AE491">
        <v>2.85534134972963</v>
      </c>
      <c r="AH491">
        <v>1.3152</v>
      </c>
      <c r="AI491" s="10">
        <v>5.69739355231144</v>
      </c>
      <c r="AJ491">
        <v>1.24989308624376</v>
      </c>
    </row>
    <row r="492" customFormat="1" spans="1:36">
      <c r="A492" s="1" t="s">
        <v>61</v>
      </c>
      <c r="B492" s="1">
        <v>2166306</v>
      </c>
      <c r="C492" s="2">
        <v>0.497081</v>
      </c>
      <c r="E492">
        <v>0.98097</v>
      </c>
      <c r="F492">
        <v>2208.33109</v>
      </c>
      <c r="G492" s="3">
        <v>2.20833109</v>
      </c>
      <c r="H492" s="4"/>
      <c r="I492" t="s">
        <v>61</v>
      </c>
      <c r="J492">
        <v>0.378173</v>
      </c>
      <c r="K492" s="5">
        <v>5.72834655038831</v>
      </c>
      <c r="L492">
        <v>2.59397088431532</v>
      </c>
      <c r="O492">
        <v>0.0007264</v>
      </c>
      <c r="P492" s="6">
        <v>2.98224944933921</v>
      </c>
      <c r="Q492" s="4">
        <v>1.92081401898073</v>
      </c>
      <c r="R492" s="4"/>
      <c r="T492">
        <v>2.654</v>
      </c>
      <c r="U492" s="7">
        <v>0.816241899020347</v>
      </c>
      <c r="V492">
        <v>7.01795210128698</v>
      </c>
      <c r="Y492">
        <v>0.00148189</v>
      </c>
      <c r="Z492" s="8">
        <v>1.46185344391284</v>
      </c>
      <c r="AA492">
        <v>3.91855050466321</v>
      </c>
      <c r="AD492" s="9">
        <v>1.919073</v>
      </c>
      <c r="AE492">
        <v>2.98495500191411</v>
      </c>
      <c r="AH492">
        <v>0.8375</v>
      </c>
      <c r="AI492" s="10">
        <v>2.58663402985075</v>
      </c>
      <c r="AJ492">
        <v>2.21459490762164</v>
      </c>
    </row>
    <row r="493" customFormat="1" spans="1:36">
      <c r="A493" s="1" t="s">
        <v>531</v>
      </c>
      <c r="B493" s="1">
        <v>155795134</v>
      </c>
      <c r="C493" s="2">
        <v>0.499491</v>
      </c>
      <c r="E493">
        <v>11.13598</v>
      </c>
      <c r="F493">
        <v>13990.24938</v>
      </c>
      <c r="G493" s="3">
        <v>13.99024938</v>
      </c>
      <c r="H493" s="4"/>
      <c r="I493" t="s">
        <v>531</v>
      </c>
      <c r="J493">
        <v>8.44799</v>
      </c>
      <c r="K493" s="5">
        <v>18.4416806838076</v>
      </c>
      <c r="L493">
        <v>1.3181809832619</v>
      </c>
      <c r="O493">
        <v>0.0151472</v>
      </c>
      <c r="P493" s="6">
        <v>10.2854081282349</v>
      </c>
      <c r="Q493" s="4">
        <v>1.7929945466318</v>
      </c>
      <c r="R493" s="4"/>
      <c r="T493">
        <v>77.655</v>
      </c>
      <c r="U493" s="7">
        <v>2.00624729895049</v>
      </c>
      <c r="V493">
        <v>9.1921273581053</v>
      </c>
      <c r="Y493">
        <v>0.00618745</v>
      </c>
      <c r="Z493" s="8">
        <v>25.1792150239598</v>
      </c>
      <c r="AA493">
        <v>0.732416823410066</v>
      </c>
      <c r="AD493" s="9">
        <v>3.18618</v>
      </c>
      <c r="AE493">
        <v>5.78802223471606</v>
      </c>
      <c r="AH493">
        <v>16.686</v>
      </c>
      <c r="AI493" s="10">
        <v>9.33687726237564</v>
      </c>
      <c r="AJ493">
        <v>1.97514438345689</v>
      </c>
    </row>
    <row r="494" customFormat="1" spans="1:36">
      <c r="A494" s="1" t="s">
        <v>532</v>
      </c>
      <c r="B494" s="1">
        <v>155795134</v>
      </c>
      <c r="C494" s="2">
        <v>0.499491</v>
      </c>
      <c r="E494">
        <v>11.387479</v>
      </c>
      <c r="F494">
        <v>13681.266692</v>
      </c>
      <c r="G494" s="3">
        <v>13.681266692</v>
      </c>
      <c r="H494" s="4"/>
      <c r="I494" t="s">
        <v>532</v>
      </c>
      <c r="J494">
        <v>8.49866</v>
      </c>
      <c r="K494" s="5">
        <v>18.3317292373151</v>
      </c>
      <c r="L494">
        <v>1.33991461828855</v>
      </c>
      <c r="O494">
        <v>0.0151088</v>
      </c>
      <c r="P494" s="6">
        <v>10.3115491634015</v>
      </c>
      <c r="Q494" s="4">
        <v>1.77778614510994</v>
      </c>
      <c r="R494" s="4"/>
      <c r="T494">
        <v>77.118</v>
      </c>
      <c r="U494" s="7">
        <v>2.02021751082756</v>
      </c>
      <c r="V494">
        <v>9.0741363932667</v>
      </c>
      <c r="Y494">
        <v>0.0062781</v>
      </c>
      <c r="Z494" s="8">
        <v>24.8156502763575</v>
      </c>
      <c r="AA494">
        <v>0.738716456476668</v>
      </c>
      <c r="AD494" s="9">
        <v>3.17481</v>
      </c>
      <c r="AE494">
        <v>5.77411852593228</v>
      </c>
      <c r="AH494">
        <v>16.5877</v>
      </c>
      <c r="AI494" s="10">
        <v>9.39220832303454</v>
      </c>
      <c r="AJ494">
        <v>1.95180181346236</v>
      </c>
    </row>
    <row r="495" customFormat="1" spans="1:36">
      <c r="A495" s="1" t="s">
        <v>259</v>
      </c>
      <c r="B495" s="1">
        <v>14875950</v>
      </c>
      <c r="C495" s="2">
        <v>0.525705</v>
      </c>
      <c r="E495">
        <v>2.299045</v>
      </c>
      <c r="F495">
        <v>6470.491721</v>
      </c>
      <c r="G495" s="3">
        <v>6.470491721</v>
      </c>
      <c r="H495" s="4"/>
      <c r="I495" t="s">
        <v>259</v>
      </c>
      <c r="J495">
        <v>1.38512</v>
      </c>
      <c r="K495" s="5">
        <v>10.739827596165</v>
      </c>
      <c r="L495">
        <v>1.65981629515247</v>
      </c>
      <c r="O495">
        <v>0.001872</v>
      </c>
      <c r="P495" s="6">
        <v>7.94655448717949</v>
      </c>
      <c r="Q495" s="4">
        <v>1.351507450618</v>
      </c>
      <c r="R495" s="4"/>
      <c r="T495">
        <v>9.324</v>
      </c>
      <c r="U495" s="7">
        <v>1.59544723294723</v>
      </c>
      <c r="V495">
        <v>6.73154672519349</v>
      </c>
      <c r="Y495">
        <v>0.0033358</v>
      </c>
      <c r="Z495" s="8">
        <v>4.45948498111398</v>
      </c>
      <c r="AA495">
        <v>2.40831119325401</v>
      </c>
      <c r="AD495" s="9">
        <v>2.845233</v>
      </c>
      <c r="AE495">
        <v>3.77467419932391</v>
      </c>
      <c r="AH495">
        <v>1.8713</v>
      </c>
      <c r="AI495" s="10">
        <v>7.94952706674504</v>
      </c>
      <c r="AJ495">
        <v>1.35100207924223</v>
      </c>
    </row>
    <row r="496" customFormat="1" spans="1:36">
      <c r="A496" s="1" t="s">
        <v>535</v>
      </c>
      <c r="B496" s="1">
        <v>159454560</v>
      </c>
      <c r="C496" s="2">
        <v>0.538891</v>
      </c>
      <c r="E496">
        <v>92.780786</v>
      </c>
      <c r="F496">
        <v>1718.616178</v>
      </c>
      <c r="G496" s="3">
        <v>1.718616178</v>
      </c>
      <c r="H496" s="4"/>
      <c r="I496" t="s">
        <v>535</v>
      </c>
      <c r="J496">
        <v>68.624</v>
      </c>
      <c r="K496" s="5">
        <v>2.32359757519235</v>
      </c>
      <c r="L496">
        <v>1.35201658458516</v>
      </c>
      <c r="O496">
        <v>0.0452016</v>
      </c>
      <c r="P496" s="6">
        <v>3.52763088032282</v>
      </c>
      <c r="Q496" s="4">
        <v>0.65868500816041</v>
      </c>
      <c r="R496" s="4"/>
      <c r="T496">
        <v>120.241</v>
      </c>
      <c r="U496" s="7">
        <v>1.32612469956171</v>
      </c>
      <c r="V496">
        <v>1.7521712520401</v>
      </c>
      <c r="Y496">
        <v>0.0114754</v>
      </c>
      <c r="Z496" s="8">
        <v>13.8953378531467</v>
      </c>
      <c r="AA496">
        <v>0.167221380275122</v>
      </c>
      <c r="AD496" s="9">
        <v>1.552683</v>
      </c>
      <c r="AE496">
        <v>1.49650480825278</v>
      </c>
      <c r="AH496">
        <v>88.2126</v>
      </c>
      <c r="AI496" s="10">
        <v>1.80761659898926</v>
      </c>
      <c r="AJ496">
        <v>1.28544823968291</v>
      </c>
    </row>
    <row r="497" customFormat="1" spans="1:36">
      <c r="A497" s="1" t="s">
        <v>539</v>
      </c>
      <c r="B497" s="1">
        <v>177148622</v>
      </c>
      <c r="C497" s="2">
        <v>0.542486</v>
      </c>
      <c r="E497">
        <v>510.354384</v>
      </c>
      <c r="F497">
        <v>347.109043</v>
      </c>
      <c r="G497" s="3">
        <v>0.347109043</v>
      </c>
      <c r="H497" s="4"/>
      <c r="I497" t="s">
        <v>539</v>
      </c>
      <c r="J497">
        <v>169.423</v>
      </c>
      <c r="K497" s="5">
        <v>1.04559960572059</v>
      </c>
      <c r="L497">
        <v>3.01230874506658</v>
      </c>
      <c r="O497">
        <v>0.1189568</v>
      </c>
      <c r="P497" s="6">
        <v>1.48918449386668</v>
      </c>
      <c r="Q497" s="4">
        <v>0.70212899075096</v>
      </c>
      <c r="R497" s="4"/>
      <c r="T497">
        <v>275.812</v>
      </c>
      <c r="U497" s="7">
        <v>0.642280328629646</v>
      </c>
      <c r="V497">
        <v>1.62794897977252</v>
      </c>
      <c r="Y497">
        <v>0.158265</v>
      </c>
      <c r="Z497" s="8">
        <v>1.11931647553155</v>
      </c>
      <c r="AA497">
        <v>0.934141173276355</v>
      </c>
      <c r="AD497" s="9">
        <v>1.243458</v>
      </c>
      <c r="AE497">
        <v>0.840880516849458</v>
      </c>
      <c r="AH497">
        <v>226.688</v>
      </c>
      <c r="AI497" s="10">
        <v>0.781464488636364</v>
      </c>
      <c r="AJ497">
        <v>1.33800015346204</v>
      </c>
    </row>
    <row r="498" customFormat="1" spans="1:36">
      <c r="A498" s="1" t="s">
        <v>293</v>
      </c>
      <c r="B498" s="1">
        <v>18389380</v>
      </c>
      <c r="C498" s="2">
        <v>0.545894</v>
      </c>
      <c r="E498">
        <v>2.017024</v>
      </c>
      <c r="F498">
        <v>9117.086543</v>
      </c>
      <c r="G498" s="3">
        <v>9.117086543</v>
      </c>
      <c r="H498" s="4"/>
      <c r="I498" t="s">
        <v>293</v>
      </c>
      <c r="J498">
        <v>1.14044</v>
      </c>
      <c r="K498" s="5">
        <v>16.1248114762723</v>
      </c>
      <c r="L498">
        <v>1.76863643886903</v>
      </c>
      <c r="O498">
        <v>0.0016976</v>
      </c>
      <c r="P498" s="6">
        <v>10.8325754005655</v>
      </c>
      <c r="Q498" s="4">
        <v>1.48854827961138</v>
      </c>
      <c r="R498" s="4"/>
      <c r="T498">
        <v>9.438</v>
      </c>
      <c r="U498" s="7">
        <v>1.94844034753126</v>
      </c>
      <c r="V498">
        <v>8.27575321805619</v>
      </c>
      <c r="Y498">
        <v>0.0024386</v>
      </c>
      <c r="Z498" s="8">
        <v>7.54095792667924</v>
      </c>
      <c r="AA498">
        <v>2.13829749921083</v>
      </c>
      <c r="AD498" s="9">
        <v>3.34482</v>
      </c>
      <c r="AE498">
        <v>4.82083085973903</v>
      </c>
      <c r="AH498">
        <v>1.645</v>
      </c>
      <c r="AI498" s="10">
        <v>11.1789544072948</v>
      </c>
      <c r="AJ498">
        <v>1.44242573041984</v>
      </c>
    </row>
    <row r="499" customFormat="1" spans="1:36">
      <c r="A499" s="1" t="s">
        <v>390</v>
      </c>
      <c r="B499" s="1">
        <v>38247776</v>
      </c>
      <c r="C499" s="2">
        <v>0.549592</v>
      </c>
      <c r="E499">
        <v>2.970925</v>
      </c>
      <c r="F499">
        <v>12874.030795</v>
      </c>
      <c r="G499" s="3">
        <v>12.874030795</v>
      </c>
      <c r="H499" s="4"/>
      <c r="I499" t="s">
        <v>390</v>
      </c>
      <c r="J499">
        <v>1.76276</v>
      </c>
      <c r="K499" s="5">
        <v>21.6976650253012</v>
      </c>
      <c r="L499">
        <v>1.68538240826083</v>
      </c>
      <c r="O499">
        <v>0.0032064</v>
      </c>
      <c r="P499" s="6">
        <v>11.9285728542914</v>
      </c>
      <c r="Q499" s="4">
        <v>1.81896571285938</v>
      </c>
      <c r="R499" s="4"/>
      <c r="T499">
        <v>17.632</v>
      </c>
      <c r="U499" s="7">
        <v>2.16922504537205</v>
      </c>
      <c r="V499">
        <v>10.0024960856838</v>
      </c>
      <c r="Y499">
        <v>0.0030584</v>
      </c>
      <c r="Z499" s="8">
        <v>12.5058121893801</v>
      </c>
      <c r="AA499">
        <v>1.73500646713109</v>
      </c>
      <c r="AD499" s="9">
        <v>3.41751</v>
      </c>
      <c r="AE499">
        <v>6.34896899359511</v>
      </c>
      <c r="AH499">
        <v>3.2548</v>
      </c>
      <c r="AI499" s="10">
        <v>11.751190856581</v>
      </c>
      <c r="AJ499">
        <v>1.84642265538133</v>
      </c>
    </row>
    <row r="500" customFormat="1" spans="1:36">
      <c r="A500" s="1" t="s">
        <v>347</v>
      </c>
      <c r="B500" s="1">
        <v>26752320</v>
      </c>
      <c r="C500" s="2">
        <v>0.567901</v>
      </c>
      <c r="E500">
        <v>17.280425</v>
      </c>
      <c r="F500">
        <v>1548.128629</v>
      </c>
      <c r="G500" s="3">
        <v>1.548128629</v>
      </c>
      <c r="H500" s="4"/>
      <c r="I500" t="s">
        <v>347</v>
      </c>
      <c r="J500">
        <v>15.9707</v>
      </c>
      <c r="K500" s="5">
        <v>1.67508750399168</v>
      </c>
      <c r="L500">
        <v>1.08200796278388</v>
      </c>
      <c r="O500">
        <v>0.0086896</v>
      </c>
      <c r="P500" s="6">
        <v>3.07865954704474</v>
      </c>
      <c r="Q500" s="4">
        <v>0.544096376489446</v>
      </c>
      <c r="R500" s="4"/>
      <c r="T500">
        <v>44.109</v>
      </c>
      <c r="U500" s="7">
        <v>0.606504794939808</v>
      </c>
      <c r="V500">
        <v>2.76187017475752</v>
      </c>
      <c r="Y500">
        <v>0.00437488</v>
      </c>
      <c r="Z500" s="8">
        <v>6.11498372526789</v>
      </c>
      <c r="AA500">
        <v>0.273931637310825</v>
      </c>
      <c r="AD500" s="9">
        <v>1.540788</v>
      </c>
      <c r="AE500">
        <v>1.08716286990273</v>
      </c>
      <c r="AH500">
        <v>11.237</v>
      </c>
      <c r="AI500" s="10">
        <v>2.38073507163834</v>
      </c>
      <c r="AJ500">
        <v>0.703600969274985</v>
      </c>
    </row>
    <row r="501" customFormat="1" spans="1:36">
      <c r="A501" s="1" t="s">
        <v>25</v>
      </c>
      <c r="B501" s="1">
        <v>1038412</v>
      </c>
      <c r="C501" s="2">
        <v>0.568278</v>
      </c>
      <c r="E501">
        <v>1.292815</v>
      </c>
      <c r="F501">
        <v>803.217878</v>
      </c>
      <c r="G501" s="3">
        <v>0.803217878</v>
      </c>
      <c r="H501" s="4"/>
      <c r="I501" t="s">
        <v>25</v>
      </c>
      <c r="J501">
        <v>1.04414</v>
      </c>
      <c r="K501" s="5">
        <v>0.994514145612657</v>
      </c>
      <c r="L501">
        <v>1.23816236273149</v>
      </c>
      <c r="O501">
        <v>0.0015824</v>
      </c>
      <c r="P501" s="6">
        <v>0.656225985844287</v>
      </c>
      <c r="Q501" s="4">
        <v>1.51550558354244</v>
      </c>
      <c r="R501" s="4"/>
      <c r="T501">
        <v>2.285</v>
      </c>
      <c r="U501" s="7">
        <v>0.454447264770241</v>
      </c>
      <c r="V501">
        <v>2.18840385388932</v>
      </c>
      <c r="Y501">
        <v>0.00162099</v>
      </c>
      <c r="Z501" s="8">
        <v>0.640603581761763</v>
      </c>
      <c r="AA501">
        <v>1.55246422893482</v>
      </c>
      <c r="AD501" s="9">
        <v>0.564099</v>
      </c>
      <c r="AE501">
        <v>1.76301348808039</v>
      </c>
      <c r="AH501">
        <v>2.7508</v>
      </c>
      <c r="AI501" s="10">
        <v>0.377494547040861</v>
      </c>
      <c r="AJ501">
        <v>2.6345126132511</v>
      </c>
    </row>
    <row r="502" customFormat="1" spans="1:36">
      <c r="A502" s="1" t="s">
        <v>400</v>
      </c>
      <c r="B502" s="1">
        <v>42568710</v>
      </c>
      <c r="C502" s="2">
        <v>0.568765</v>
      </c>
      <c r="E502">
        <v>8.283287</v>
      </c>
      <c r="F502">
        <v>5139.108318</v>
      </c>
      <c r="G502" s="3">
        <v>5.139108318</v>
      </c>
      <c r="H502" s="4"/>
      <c r="I502" t="s">
        <v>400</v>
      </c>
      <c r="J502">
        <v>7.17582</v>
      </c>
      <c r="K502" s="5">
        <v>5.93224328369441</v>
      </c>
      <c r="L502">
        <v>1.15433318712439</v>
      </c>
      <c r="O502">
        <v>0.0102784</v>
      </c>
      <c r="P502" s="6">
        <v>4.14156969956413</v>
      </c>
      <c r="Q502" s="4">
        <v>1.43236591776271</v>
      </c>
      <c r="R502" s="4"/>
      <c r="T502">
        <v>40.896</v>
      </c>
      <c r="U502" s="7">
        <v>1.04090155516432</v>
      </c>
      <c r="V502">
        <v>5.69913961052535</v>
      </c>
      <c r="Y502">
        <v>0.00591283</v>
      </c>
      <c r="Z502" s="8">
        <v>7.19937999232178</v>
      </c>
      <c r="AA502">
        <v>0.823993634177</v>
      </c>
      <c r="AD502" s="9">
        <v>2.250423</v>
      </c>
      <c r="AE502">
        <v>2.63605699181639</v>
      </c>
      <c r="AH502">
        <v>8.9013</v>
      </c>
      <c r="AI502" s="10">
        <v>4.78230258501567</v>
      </c>
      <c r="AJ502">
        <v>1.24045753656028</v>
      </c>
    </row>
    <row r="503" customFormat="1" spans="1:36">
      <c r="A503" s="1" t="s">
        <v>140</v>
      </c>
      <c r="B503" s="1">
        <v>5762866</v>
      </c>
      <c r="C503" s="2">
        <v>0.569527</v>
      </c>
      <c r="E503">
        <v>1.292295</v>
      </c>
      <c r="F503">
        <v>4459.403961</v>
      </c>
      <c r="G503" s="3">
        <v>4.459403961</v>
      </c>
      <c r="H503" s="4"/>
      <c r="I503" t="s">
        <v>140</v>
      </c>
      <c r="J503">
        <v>0.868512</v>
      </c>
      <c r="K503" s="5">
        <v>6.63533261486312</v>
      </c>
      <c r="L503">
        <v>1.48794158880712</v>
      </c>
      <c r="O503">
        <v>0.0010752</v>
      </c>
      <c r="P503" s="6">
        <v>5.35980840773809</v>
      </c>
      <c r="Q503" s="4">
        <v>1.23797944069857</v>
      </c>
      <c r="R503" s="4"/>
      <c r="T503">
        <v>5.311</v>
      </c>
      <c r="U503" s="7">
        <v>1.08508115232536</v>
      </c>
      <c r="V503">
        <v>6.11505655650123</v>
      </c>
      <c r="Y503">
        <v>0.00219036</v>
      </c>
      <c r="Z503" s="8">
        <v>2.63101316678537</v>
      </c>
      <c r="AA503">
        <v>2.52196860837847</v>
      </c>
      <c r="AD503" s="9">
        <v>2.36775</v>
      </c>
      <c r="AE503">
        <v>2.80237888918303</v>
      </c>
      <c r="AH503">
        <v>1.3072</v>
      </c>
      <c r="AI503" s="10">
        <v>4.40855722154223</v>
      </c>
      <c r="AJ503">
        <v>1.50510298073026</v>
      </c>
    </row>
    <row r="504" customFormat="1" spans="1:36">
      <c r="A504" s="1" t="s">
        <v>545</v>
      </c>
      <c r="B504" s="1">
        <v>188564658</v>
      </c>
      <c r="C504" s="2">
        <v>0.572002</v>
      </c>
      <c r="E504">
        <v>13.031674</v>
      </c>
      <c r="F504">
        <v>14469.719178</v>
      </c>
      <c r="G504" s="3">
        <v>14.469719178</v>
      </c>
      <c r="H504" s="4"/>
      <c r="I504" t="s">
        <v>545</v>
      </c>
      <c r="J504">
        <v>9.73773</v>
      </c>
      <c r="K504" s="5">
        <v>19.3643341928766</v>
      </c>
      <c r="L504">
        <v>1.33826606823983</v>
      </c>
      <c r="O504">
        <v>0.019688</v>
      </c>
      <c r="P504" s="6">
        <v>9.57764414872003</v>
      </c>
      <c r="Q504" s="4">
        <v>2.02182644209687</v>
      </c>
      <c r="R504" s="4"/>
      <c r="T504">
        <v>77.694</v>
      </c>
      <c r="U504" s="7">
        <v>2.42701698972894</v>
      </c>
      <c r="V504">
        <v>7.97865621659257</v>
      </c>
      <c r="Y504">
        <v>0.00695391</v>
      </c>
      <c r="Z504" s="8">
        <v>27.116350082184</v>
      </c>
      <c r="AA504">
        <v>0.714120231306475</v>
      </c>
      <c r="AD504" s="9">
        <v>3.38118</v>
      </c>
      <c r="AE504">
        <v>5.72709355694656</v>
      </c>
      <c r="AH504">
        <v>15.9341</v>
      </c>
      <c r="AI504" s="10">
        <v>11.8340325465511</v>
      </c>
      <c r="AJ504">
        <v>1.63632591990125</v>
      </c>
    </row>
    <row r="505" customFormat="1" spans="1:36">
      <c r="A505" s="1" t="s">
        <v>345</v>
      </c>
      <c r="B505" s="1">
        <v>26536986</v>
      </c>
      <c r="C505" s="2">
        <v>0.58837</v>
      </c>
      <c r="E505">
        <v>2.770559</v>
      </c>
      <c r="F505">
        <v>9578.205371</v>
      </c>
      <c r="G505" s="3">
        <v>9.578205371</v>
      </c>
      <c r="H505" s="4"/>
      <c r="I505" t="s">
        <v>345</v>
      </c>
      <c r="J505">
        <v>1.83734</v>
      </c>
      <c r="K505" s="5">
        <v>14.4431547781031</v>
      </c>
      <c r="L505">
        <v>1.50791867773401</v>
      </c>
      <c r="O505">
        <v>0.0025424</v>
      </c>
      <c r="P505" s="6">
        <v>10.4377698237885</v>
      </c>
      <c r="Q505" s="4">
        <v>1.38373953650386</v>
      </c>
      <c r="R505" s="4"/>
      <c r="T505">
        <v>15.491</v>
      </c>
      <c r="U505" s="7">
        <v>1.71305829191143</v>
      </c>
      <c r="V505">
        <v>8.43121033668238</v>
      </c>
      <c r="Y505">
        <v>0.0467906</v>
      </c>
      <c r="Z505" s="8">
        <v>0.56714352882844</v>
      </c>
      <c r="AA505">
        <v>25.4664895990943</v>
      </c>
      <c r="AD505" s="9">
        <v>3.18174</v>
      </c>
      <c r="AE505">
        <v>4.53938875524183</v>
      </c>
      <c r="AH505">
        <v>2.3152</v>
      </c>
      <c r="AI505" s="10">
        <v>11.4620706634416</v>
      </c>
      <c r="AJ505">
        <v>1.26008251058596</v>
      </c>
    </row>
    <row r="506" customFormat="1" spans="1:36">
      <c r="A506" s="1" t="s">
        <v>396</v>
      </c>
      <c r="B506" s="1">
        <v>38700932</v>
      </c>
      <c r="C506" s="2">
        <v>0.591558</v>
      </c>
      <c r="E506">
        <v>3.517696</v>
      </c>
      <c r="F506">
        <v>11001.783815</v>
      </c>
      <c r="G506" s="3">
        <v>11.001783815</v>
      </c>
      <c r="H506" s="4"/>
      <c r="I506" t="s">
        <v>396</v>
      </c>
      <c r="J506">
        <v>2.4437</v>
      </c>
      <c r="K506" s="5">
        <v>15.8370225477759</v>
      </c>
      <c r="L506">
        <v>1.43949588667462</v>
      </c>
      <c r="O506">
        <v>0.0034928</v>
      </c>
      <c r="P506" s="6">
        <v>11.0802027027027</v>
      </c>
      <c r="Q506" s="4">
        <v>1.42930801653231</v>
      </c>
      <c r="R506" s="4"/>
      <c r="T506">
        <v>33.402</v>
      </c>
      <c r="U506" s="7">
        <v>1.15864115921202</v>
      </c>
      <c r="V506">
        <v>13.6686172607112</v>
      </c>
      <c r="Y506">
        <v>0.00372597</v>
      </c>
      <c r="Z506" s="8">
        <v>10.3868071938314</v>
      </c>
      <c r="AA506">
        <v>1.5247248025535</v>
      </c>
      <c r="AD506" s="9">
        <v>3.33972</v>
      </c>
      <c r="AE506">
        <v>4.74202105199715</v>
      </c>
      <c r="AH506">
        <v>3.2573</v>
      </c>
      <c r="AI506" s="10">
        <v>11.8812918674976</v>
      </c>
      <c r="AJ506">
        <v>1.33293775831731</v>
      </c>
    </row>
    <row r="507" customFormat="1" spans="1:36">
      <c r="A507" s="1" t="s">
        <v>139</v>
      </c>
      <c r="B507" s="1">
        <v>5762866</v>
      </c>
      <c r="C507" s="2">
        <v>0.606324</v>
      </c>
      <c r="E507">
        <v>2.204795</v>
      </c>
      <c r="F507">
        <v>2613.787213</v>
      </c>
      <c r="G507" s="3">
        <v>2.613787213</v>
      </c>
      <c r="H507" s="4"/>
      <c r="I507" t="s">
        <v>139</v>
      </c>
      <c r="J507">
        <v>0.82013</v>
      </c>
      <c r="K507" s="5">
        <v>7.02677136551522</v>
      </c>
      <c r="L507">
        <v>2.68834866532619</v>
      </c>
      <c r="O507">
        <v>0.0010784</v>
      </c>
      <c r="P507" s="6">
        <v>5.34390393175074</v>
      </c>
      <c r="Q507" s="4">
        <v>1.31491348932486</v>
      </c>
      <c r="R507" s="4"/>
      <c r="T507">
        <v>5.397</v>
      </c>
      <c r="U507" s="7">
        <v>1.06779062442097</v>
      </c>
      <c r="V507">
        <v>6.58066404106666</v>
      </c>
      <c r="Y507">
        <v>0.00215606</v>
      </c>
      <c r="Z507" s="8">
        <v>2.67286902961884</v>
      </c>
      <c r="AA507">
        <v>2.62892468267226</v>
      </c>
      <c r="AD507" s="9">
        <v>2.354346</v>
      </c>
      <c r="AE507">
        <v>2.98459587737538</v>
      </c>
      <c r="AH507">
        <v>1.3128</v>
      </c>
      <c r="AI507" s="10">
        <v>4.38975167580744</v>
      </c>
      <c r="AJ507">
        <v>1.60072183678197</v>
      </c>
    </row>
    <row r="508" customFormat="1" spans="1:36">
      <c r="A508" s="1" t="s">
        <v>141</v>
      </c>
      <c r="B508" s="1">
        <v>5762866</v>
      </c>
      <c r="C508" s="2">
        <v>0.607636</v>
      </c>
      <c r="E508">
        <v>1.558255</v>
      </c>
      <c r="F508">
        <v>3698.281325</v>
      </c>
      <c r="G508" s="3">
        <v>3.698281325</v>
      </c>
      <c r="H508" s="4"/>
      <c r="I508" t="s">
        <v>141</v>
      </c>
      <c r="J508">
        <v>0.880922</v>
      </c>
      <c r="K508" s="5">
        <v>6.54185728134841</v>
      </c>
      <c r="L508">
        <v>1.76889119741273</v>
      </c>
      <c r="O508">
        <v>0.0010928</v>
      </c>
      <c r="P508" s="6">
        <v>5.2734864568082</v>
      </c>
      <c r="Q508" s="4">
        <v>1.24051845679867</v>
      </c>
      <c r="R508" s="4"/>
      <c r="T508">
        <v>5.574</v>
      </c>
      <c r="U508" s="7">
        <v>1.03388338715465</v>
      </c>
      <c r="V508">
        <v>6.32746145515721</v>
      </c>
      <c r="Y508">
        <v>0.0021317</v>
      </c>
      <c r="Z508" s="8">
        <v>2.70341323826054</v>
      </c>
      <c r="AA508">
        <v>2.41985101972706</v>
      </c>
      <c r="AD508" s="9">
        <v>2.370885</v>
      </c>
      <c r="AE508">
        <v>2.75924698218109</v>
      </c>
      <c r="AH508">
        <v>1.3214</v>
      </c>
      <c r="AI508" s="10">
        <v>4.36118207961253</v>
      </c>
      <c r="AJ508">
        <v>1.50001929796282</v>
      </c>
    </row>
    <row r="509" customFormat="1" spans="1:36">
      <c r="A509" s="1" t="s">
        <v>389</v>
      </c>
      <c r="B509" s="1">
        <v>38178920</v>
      </c>
      <c r="C509" s="2">
        <v>0.641466</v>
      </c>
      <c r="E509">
        <v>3.200745</v>
      </c>
      <c r="F509">
        <v>11928.135913</v>
      </c>
      <c r="G509" s="3">
        <v>11.928135913</v>
      </c>
      <c r="H509" s="4"/>
      <c r="I509" t="s">
        <v>389</v>
      </c>
      <c r="J509">
        <v>2.0047</v>
      </c>
      <c r="K509" s="5">
        <v>19.044704943383</v>
      </c>
      <c r="L509">
        <v>1.59662038413119</v>
      </c>
      <c r="O509">
        <v>0.0034976</v>
      </c>
      <c r="P509" s="6">
        <v>10.9157479414456</v>
      </c>
      <c r="Q509" s="4">
        <v>1.7446999551055</v>
      </c>
      <c r="R509" s="4"/>
      <c r="T509">
        <v>27.338</v>
      </c>
      <c r="U509" s="7">
        <v>1.39655132050625</v>
      </c>
      <c r="V509">
        <v>13.6369531600738</v>
      </c>
      <c r="Y509">
        <v>0.00378981</v>
      </c>
      <c r="Z509" s="8">
        <v>10.074098701518</v>
      </c>
      <c r="AA509">
        <v>1.89046241332868</v>
      </c>
      <c r="AD509" s="9">
        <v>3.23382</v>
      </c>
      <c r="AE509">
        <v>5.88922851098176</v>
      </c>
      <c r="AH509">
        <v>4.1165</v>
      </c>
      <c r="AI509" s="10">
        <v>9.27460706911211</v>
      </c>
      <c r="AJ509">
        <v>2.05342445253654</v>
      </c>
    </row>
    <row r="510" customFormat="1" spans="1:36">
      <c r="A510" s="1" t="s">
        <v>551</v>
      </c>
      <c r="B510" s="1">
        <v>199397162</v>
      </c>
      <c r="C510" s="2">
        <v>0.643454</v>
      </c>
      <c r="E510">
        <v>27.700441</v>
      </c>
      <c r="F510">
        <v>7198.338772</v>
      </c>
      <c r="G510" s="3">
        <v>7.198338772</v>
      </c>
      <c r="H510" s="4"/>
      <c r="I510" t="s">
        <v>551</v>
      </c>
      <c r="J510">
        <v>25.2479</v>
      </c>
      <c r="K510" s="5">
        <v>7.89757413487854</v>
      </c>
      <c r="L510">
        <v>1.09713843499537</v>
      </c>
      <c r="O510">
        <v>0.021936</v>
      </c>
      <c r="P510" s="6">
        <v>9.08995085703866</v>
      </c>
      <c r="Q510" s="4">
        <v>0.868824733938268</v>
      </c>
      <c r="R510" s="4"/>
      <c r="T510">
        <v>124.607</v>
      </c>
      <c r="U510" s="7">
        <v>1.60020835105572</v>
      </c>
      <c r="V510">
        <v>4.93534115708633</v>
      </c>
      <c r="Y510">
        <v>0.0112362</v>
      </c>
      <c r="Z510" s="8">
        <v>17.7459605560599</v>
      </c>
      <c r="AA510">
        <v>0.445035032616574</v>
      </c>
      <c r="AD510" s="9">
        <v>3.01773</v>
      </c>
      <c r="AE510">
        <v>2.61705789944049</v>
      </c>
      <c r="AH510">
        <v>25.343</v>
      </c>
      <c r="AI510" s="10">
        <v>7.86793836562364</v>
      </c>
      <c r="AJ510">
        <v>1.0037666498996</v>
      </c>
    </row>
    <row r="511" customFormat="1" spans="1:36">
      <c r="A511" s="1" t="s">
        <v>275</v>
      </c>
      <c r="B511" s="1">
        <v>15919468</v>
      </c>
      <c r="C511" s="2">
        <v>0.651475</v>
      </c>
      <c r="E511">
        <v>1.25382</v>
      </c>
      <c r="F511">
        <v>12696.772578</v>
      </c>
      <c r="G511" s="3">
        <v>12.696772578</v>
      </c>
      <c r="H511" s="4"/>
      <c r="I511" t="s">
        <v>275</v>
      </c>
      <c r="J511">
        <v>1.56196</v>
      </c>
      <c r="K511" s="5">
        <v>10.1919818689339</v>
      </c>
      <c r="L511">
        <v>0.802722251369123</v>
      </c>
      <c r="O511">
        <v>0.0014416</v>
      </c>
      <c r="P511" s="6">
        <v>11.0429162042175</v>
      </c>
      <c r="Q511" s="4">
        <v>0.922942969090118</v>
      </c>
      <c r="R511" s="4"/>
      <c r="T511">
        <v>14.841</v>
      </c>
      <c r="U511" s="7">
        <v>1.07266814904656</v>
      </c>
      <c r="V511">
        <v>9.50152372659991</v>
      </c>
      <c r="Y511">
        <v>0.00228904</v>
      </c>
      <c r="Z511" s="8">
        <v>6.95464823681543</v>
      </c>
      <c r="AA511">
        <v>1.4654920740608</v>
      </c>
      <c r="AD511" s="9">
        <v>3.56073</v>
      </c>
      <c r="AE511">
        <v>2.86232931700351</v>
      </c>
      <c r="AH511">
        <v>1.2584</v>
      </c>
      <c r="AI511" s="10">
        <v>12.650562619199</v>
      </c>
      <c r="AJ511">
        <v>0.80565443417245</v>
      </c>
    </row>
    <row r="512" customFormat="1" spans="1:36">
      <c r="A512" s="1" t="s">
        <v>330</v>
      </c>
      <c r="B512" s="1">
        <v>24286732</v>
      </c>
      <c r="C512" s="2">
        <v>0.656977</v>
      </c>
      <c r="E512">
        <v>2.349665</v>
      </c>
      <c r="F512">
        <v>10336.25379</v>
      </c>
      <c r="G512" s="3">
        <v>10.33625379</v>
      </c>
      <c r="H512" s="4"/>
      <c r="I512" t="s">
        <v>330</v>
      </c>
      <c r="J512">
        <v>1.47688</v>
      </c>
      <c r="K512" s="5">
        <v>16.4446210931152</v>
      </c>
      <c r="L512">
        <v>1.59096529818423</v>
      </c>
      <c r="O512">
        <v>0.0022816</v>
      </c>
      <c r="P512" s="6">
        <v>10.644605539972</v>
      </c>
      <c r="Q512" s="4">
        <v>1.54487839228644</v>
      </c>
      <c r="R512" s="4"/>
      <c r="T512">
        <v>25.352</v>
      </c>
      <c r="U512" s="7">
        <v>0.957980908804039</v>
      </c>
      <c r="V512">
        <v>17.1659173392557</v>
      </c>
      <c r="Y512">
        <v>0.0049425</v>
      </c>
      <c r="Z512" s="8">
        <v>4.91385574102175</v>
      </c>
      <c r="AA512">
        <v>3.34658198364119</v>
      </c>
      <c r="AD512" s="9">
        <v>2.992152</v>
      </c>
      <c r="AE512">
        <v>5.49591768503579</v>
      </c>
      <c r="AH512">
        <v>2.7519</v>
      </c>
      <c r="AI512" s="10">
        <v>8.82544133144373</v>
      </c>
      <c r="AJ512">
        <v>1.86331997183251</v>
      </c>
    </row>
    <row r="513" customFormat="1" spans="1:36">
      <c r="A513" s="1" t="s">
        <v>552</v>
      </c>
      <c r="B513" s="1">
        <v>199397162</v>
      </c>
      <c r="C513" s="2">
        <v>0.663897</v>
      </c>
      <c r="E513">
        <v>28.537606</v>
      </c>
      <c r="F513">
        <v>6987.17203</v>
      </c>
      <c r="G513" s="3">
        <v>6.98717203</v>
      </c>
      <c r="H513" s="4"/>
      <c r="I513" t="s">
        <v>552</v>
      </c>
      <c r="J513">
        <v>25.1234</v>
      </c>
      <c r="K513" s="5">
        <v>7.93671087512041</v>
      </c>
      <c r="L513">
        <v>1.13589744764312</v>
      </c>
      <c r="O513">
        <v>0.0217056</v>
      </c>
      <c r="P513" s="6">
        <v>9.18643861491965</v>
      </c>
      <c r="Q513" s="4">
        <v>0.863959495928099</v>
      </c>
      <c r="R513" s="4"/>
      <c r="T513">
        <v>122.859</v>
      </c>
      <c r="U513" s="7">
        <v>1.62297562246152</v>
      </c>
      <c r="V513">
        <v>4.89022186487498</v>
      </c>
      <c r="Y513">
        <v>0.0336937</v>
      </c>
      <c r="Z513" s="8">
        <v>5.91793605332748</v>
      </c>
      <c r="AA513">
        <v>1.341128191248</v>
      </c>
      <c r="AD513" s="9">
        <v>3.11913</v>
      </c>
      <c r="AE513">
        <v>2.54452711978033</v>
      </c>
      <c r="AH513">
        <v>25.4282</v>
      </c>
      <c r="AI513" s="10">
        <v>7.84157596683997</v>
      </c>
      <c r="AJ513">
        <v>1.01213211587604</v>
      </c>
    </row>
    <row r="514" customFormat="1" spans="1:36">
      <c r="A514" s="1" t="s">
        <v>342</v>
      </c>
      <c r="B514" s="1">
        <v>26132542</v>
      </c>
      <c r="C514" s="2">
        <v>0.679335</v>
      </c>
      <c r="E514">
        <v>6.849226</v>
      </c>
      <c r="F514">
        <v>3815.400627</v>
      </c>
      <c r="G514" s="3">
        <v>3.815400627</v>
      </c>
      <c r="H514" s="4"/>
      <c r="I514" t="s">
        <v>342</v>
      </c>
      <c r="J514">
        <v>6.61631</v>
      </c>
      <c r="K514" s="5">
        <v>3.94971547584681</v>
      </c>
      <c r="L514">
        <v>1.03520334087496</v>
      </c>
      <c r="O514">
        <v>0.0043728</v>
      </c>
      <c r="P514" s="6">
        <v>5.97615761068423</v>
      </c>
      <c r="Q514" s="4">
        <v>0.660912200305004</v>
      </c>
      <c r="R514" s="4"/>
      <c r="T514">
        <v>46.395</v>
      </c>
      <c r="U514" s="7">
        <v>0.563262032546611</v>
      </c>
      <c r="V514">
        <v>7.01221677944353</v>
      </c>
      <c r="Y514">
        <v>0.00421999</v>
      </c>
      <c r="Z514" s="8">
        <v>6.19256017194354</v>
      </c>
      <c r="AA514">
        <v>0.637816245006658</v>
      </c>
      <c r="AD514" s="9">
        <v>2.51091</v>
      </c>
      <c r="AE514">
        <v>1.57302152440621</v>
      </c>
      <c r="AH514">
        <v>5.433</v>
      </c>
      <c r="AI514" s="10">
        <v>4.8099653966501</v>
      </c>
      <c r="AJ514">
        <v>0.821152575982685</v>
      </c>
    </row>
    <row r="515" customFormat="1" spans="1:36">
      <c r="A515" s="1" t="s">
        <v>572</v>
      </c>
      <c r="B515" s="1">
        <v>258256624</v>
      </c>
      <c r="C515" s="2">
        <v>0.680666</v>
      </c>
      <c r="E515">
        <v>20.431507</v>
      </c>
      <c r="F515">
        <v>12640.116307</v>
      </c>
      <c r="G515" s="3">
        <v>12.640116307</v>
      </c>
      <c r="H515" s="4"/>
      <c r="I515" t="s">
        <v>572</v>
      </c>
      <c r="J515">
        <v>14.6059</v>
      </c>
      <c r="K515" s="5">
        <v>17.6816645328258</v>
      </c>
      <c r="L515">
        <v>1.3988529933885</v>
      </c>
      <c r="O515">
        <v>0.0222368</v>
      </c>
      <c r="P515" s="6">
        <v>11.6139293423514</v>
      </c>
      <c r="Q515" s="4">
        <v>1.5224532551914</v>
      </c>
      <c r="R515" s="4"/>
      <c r="T515">
        <v>92.986</v>
      </c>
      <c r="U515" s="7">
        <v>2.77737104510356</v>
      </c>
      <c r="V515">
        <v>6.36633141401762</v>
      </c>
      <c r="Y515">
        <v>0.00947609</v>
      </c>
      <c r="Z515" s="8">
        <v>27.2535005471666</v>
      </c>
      <c r="AA515">
        <v>0.648785080001917</v>
      </c>
      <c r="AD515" s="9">
        <v>3.40422</v>
      </c>
      <c r="AE515">
        <v>5.19404284471208</v>
      </c>
      <c r="AH515">
        <v>23.8754</v>
      </c>
      <c r="AI515" s="10">
        <v>10.8168501470132</v>
      </c>
      <c r="AJ515">
        <v>1.63464079584278</v>
      </c>
    </row>
    <row r="516" customFormat="1" spans="1:36">
      <c r="A516" s="1" t="s">
        <v>571</v>
      </c>
      <c r="B516" s="1">
        <v>258256624</v>
      </c>
      <c r="C516" s="2">
        <v>0.702361</v>
      </c>
      <c r="E516">
        <v>21.842831</v>
      </c>
      <c r="F516">
        <v>11823.404657</v>
      </c>
      <c r="G516" s="3">
        <v>11.823404657</v>
      </c>
      <c r="H516" s="4"/>
      <c r="I516" t="s">
        <v>571</v>
      </c>
      <c r="J516">
        <v>16.211</v>
      </c>
      <c r="K516" s="5">
        <v>15.930949602122</v>
      </c>
      <c r="L516">
        <v>1.34740796448087</v>
      </c>
      <c r="O516">
        <v>0.0220416</v>
      </c>
      <c r="P516" s="6">
        <v>11.7167820847851</v>
      </c>
      <c r="Q516" s="4">
        <v>1.3596693603109</v>
      </c>
      <c r="R516" s="4"/>
      <c r="T516">
        <v>92.412</v>
      </c>
      <c r="U516" s="7">
        <v>2.79462217028092</v>
      </c>
      <c r="V516">
        <v>5.70057368453519</v>
      </c>
      <c r="Y516">
        <v>0.00960804</v>
      </c>
      <c r="Z516" s="8">
        <v>26.879220319649</v>
      </c>
      <c r="AA516">
        <v>0.592686447473938</v>
      </c>
      <c r="AD516" s="9">
        <v>3.40659</v>
      </c>
      <c r="AE516">
        <v>4.67650923713215</v>
      </c>
      <c r="AH516">
        <v>23.1839</v>
      </c>
      <c r="AI516" s="10">
        <v>11.1394814504893</v>
      </c>
      <c r="AJ516">
        <v>1.43013385972488</v>
      </c>
    </row>
    <row r="517" customFormat="1" spans="1:36">
      <c r="A517" s="1" t="s">
        <v>359</v>
      </c>
      <c r="B517" s="1">
        <v>30668788</v>
      </c>
      <c r="C517" s="2">
        <v>0.704457</v>
      </c>
      <c r="E517">
        <v>2.571508</v>
      </c>
      <c r="F517">
        <v>11926.382131</v>
      </c>
      <c r="G517" s="3">
        <v>11.926382131</v>
      </c>
      <c r="H517" s="4"/>
      <c r="I517" t="s">
        <v>359</v>
      </c>
      <c r="J517">
        <v>1.70943</v>
      </c>
      <c r="K517" s="5">
        <v>17.9409440573759</v>
      </c>
      <c r="L517">
        <v>1.50430732977626</v>
      </c>
      <c r="O517">
        <v>0.0029088</v>
      </c>
      <c r="P517" s="6">
        <v>10.543450220022</v>
      </c>
      <c r="Q517" s="4">
        <v>1.70161983819168</v>
      </c>
      <c r="R517" s="4"/>
      <c r="T517">
        <v>16.028</v>
      </c>
      <c r="U517" s="7">
        <v>1.9134507112553</v>
      </c>
      <c r="V517">
        <v>9.37622482347917</v>
      </c>
      <c r="Y517">
        <v>0.00428581</v>
      </c>
      <c r="Z517" s="8">
        <v>7.15589071844062</v>
      </c>
      <c r="AA517">
        <v>2.50715735654575</v>
      </c>
      <c r="AD517" s="9">
        <v>3.18969</v>
      </c>
      <c r="AE517">
        <v>5.62466699189446</v>
      </c>
      <c r="AH517">
        <v>2.7526</v>
      </c>
      <c r="AI517" s="10">
        <v>11.1417525248856</v>
      </c>
      <c r="AJ517">
        <v>1.610244350456</v>
      </c>
    </row>
    <row r="518" customFormat="1" spans="1:36">
      <c r="A518" s="1" t="s">
        <v>515</v>
      </c>
      <c r="B518" s="1">
        <v>132625624</v>
      </c>
      <c r="C518" s="2">
        <v>0.7151</v>
      </c>
      <c r="E518">
        <v>8.434831</v>
      </c>
      <c r="F518">
        <v>15723.565331</v>
      </c>
      <c r="G518" s="3">
        <v>15.723565331</v>
      </c>
      <c r="H518" s="4"/>
      <c r="I518" t="s">
        <v>515</v>
      </c>
      <c r="J518">
        <v>5.69278</v>
      </c>
      <c r="K518" s="5">
        <v>23.2971630732261</v>
      </c>
      <c r="L518">
        <v>1.48167178262644</v>
      </c>
      <c r="O518">
        <v>0.01016</v>
      </c>
      <c r="P518" s="6">
        <v>13.0537031496063</v>
      </c>
      <c r="Q518" s="4">
        <v>1.78471678160758</v>
      </c>
      <c r="R518" s="4"/>
      <c r="T518">
        <v>62.709</v>
      </c>
      <c r="U518" s="7">
        <v>2.11493763255673</v>
      </c>
      <c r="V518">
        <v>11.0155319545108</v>
      </c>
      <c r="Y518">
        <v>0.0055214</v>
      </c>
      <c r="Z518" s="8">
        <v>24.0202890571232</v>
      </c>
      <c r="AA518">
        <v>0.969895200587411</v>
      </c>
      <c r="AD518" s="9">
        <v>3.50994</v>
      </c>
      <c r="AE518">
        <v>6.63748185815885</v>
      </c>
      <c r="AH518">
        <v>9.0205</v>
      </c>
      <c r="AI518" s="10">
        <v>14.7026909816529</v>
      </c>
      <c r="AJ518">
        <v>1.58455095752866</v>
      </c>
    </row>
    <row r="519" customFormat="1" spans="1:36">
      <c r="A519" s="1" t="s">
        <v>426</v>
      </c>
      <c r="B519" s="1">
        <v>53901560</v>
      </c>
      <c r="C519" s="2">
        <v>0.724507</v>
      </c>
      <c r="E519">
        <v>34.725149</v>
      </c>
      <c r="F519">
        <v>1552.234106</v>
      </c>
      <c r="G519" s="3">
        <v>1.552234106</v>
      </c>
      <c r="H519" s="4"/>
      <c r="I519" t="s">
        <v>426</v>
      </c>
      <c r="J519">
        <v>16.2109</v>
      </c>
      <c r="K519" s="5">
        <v>3.32501958558748</v>
      </c>
      <c r="L519">
        <v>2.14208641127969</v>
      </c>
      <c r="O519">
        <v>0.0191728</v>
      </c>
      <c r="P519" s="6">
        <v>2.81135567053325</v>
      </c>
      <c r="Q519" s="4">
        <v>1.18271039855899</v>
      </c>
      <c r="R519" s="4"/>
      <c r="T519">
        <v>90.811</v>
      </c>
      <c r="U519" s="7">
        <v>0.593557608659744</v>
      </c>
      <c r="V519">
        <v>5.60184813921497</v>
      </c>
      <c r="Y519">
        <v>0.0032897</v>
      </c>
      <c r="Z519" s="8">
        <v>16.3849469556495</v>
      </c>
      <c r="AA519">
        <v>0.202931360997847</v>
      </c>
      <c r="AD519" s="9">
        <v>1.675347</v>
      </c>
      <c r="AE519">
        <v>1.98467516615213</v>
      </c>
      <c r="AH519">
        <v>48.4663</v>
      </c>
      <c r="AI519" s="10">
        <v>1.11214514002513</v>
      </c>
      <c r="AJ519">
        <v>2.98973530155636</v>
      </c>
    </row>
    <row r="520" customFormat="1" spans="1:36">
      <c r="A520" s="1" t="s">
        <v>604</v>
      </c>
      <c r="B520" s="1">
        <v>538342094</v>
      </c>
      <c r="C520" s="2">
        <v>0.727804</v>
      </c>
      <c r="E520">
        <v>41.343264</v>
      </c>
      <c r="F520">
        <v>13021.277128</v>
      </c>
      <c r="G520" s="3">
        <v>13.021277128</v>
      </c>
      <c r="H520" s="4"/>
      <c r="I520" t="s">
        <v>604</v>
      </c>
      <c r="J520">
        <v>22.9296</v>
      </c>
      <c r="K520" s="5">
        <v>23.4780412218268</v>
      </c>
      <c r="L520">
        <v>1.80305211163514</v>
      </c>
      <c r="O520">
        <v>0.0406912</v>
      </c>
      <c r="P520" s="6">
        <v>13.2299390040107</v>
      </c>
      <c r="Q520" s="4">
        <v>1.77461447212337</v>
      </c>
      <c r="R520" s="4"/>
      <c r="T520">
        <v>103.594</v>
      </c>
      <c r="U520" s="7">
        <v>5.19665322315964</v>
      </c>
      <c r="V520">
        <v>4.51791570720815</v>
      </c>
      <c r="Y520">
        <v>0.0160579</v>
      </c>
      <c r="Z520" s="8">
        <v>33.5250620566824</v>
      </c>
      <c r="AA520">
        <v>0.700313132370386</v>
      </c>
      <c r="AD520" s="9">
        <v>3.78483</v>
      </c>
      <c r="AE520">
        <v>6.20319571072593</v>
      </c>
      <c r="AH520">
        <v>32.2136</v>
      </c>
      <c r="AI520" s="10">
        <v>16.7116402389053</v>
      </c>
      <c r="AJ520">
        <v>1.40489149396413</v>
      </c>
    </row>
    <row r="521" customFormat="1" spans="1:36">
      <c r="A521" s="1" t="s">
        <v>457</v>
      </c>
      <c r="B521" s="1">
        <v>72986388</v>
      </c>
      <c r="C521" s="2">
        <v>0.728121</v>
      </c>
      <c r="E521">
        <v>9.822586</v>
      </c>
      <c r="F521">
        <v>7430.46544</v>
      </c>
      <c r="G521" s="3">
        <v>7.43046544</v>
      </c>
      <c r="H521" s="4"/>
      <c r="I521" t="s">
        <v>457</v>
      </c>
      <c r="J521">
        <v>8.91762</v>
      </c>
      <c r="K521" s="5">
        <v>8.18451425380315</v>
      </c>
      <c r="L521">
        <v>1.10148069725806</v>
      </c>
      <c r="O521">
        <v>0.009144</v>
      </c>
      <c r="P521" s="6">
        <v>7.98188845144357</v>
      </c>
      <c r="Q521" s="4">
        <v>1.02538569708061</v>
      </c>
      <c r="R521" s="4"/>
      <c r="T521">
        <v>42.991</v>
      </c>
      <c r="U521" s="7">
        <v>1.69771319578516</v>
      </c>
      <c r="V521">
        <v>4.82090512939551</v>
      </c>
      <c r="Y521">
        <v>0.00454169</v>
      </c>
      <c r="Z521" s="8">
        <v>16.070314794713</v>
      </c>
      <c r="AA521">
        <v>0.509293959599086</v>
      </c>
      <c r="AD521" s="9">
        <v>3.11664</v>
      </c>
      <c r="AE521">
        <v>2.62606982320805</v>
      </c>
      <c r="AH521">
        <v>8.2517</v>
      </c>
      <c r="AI521" s="10">
        <v>8.84501230049566</v>
      </c>
      <c r="AJ521">
        <v>0.925325367082248</v>
      </c>
    </row>
    <row r="522" customFormat="1" spans="1:36">
      <c r="A522" s="1" t="s">
        <v>193</v>
      </c>
      <c r="B522" s="1">
        <v>9782702</v>
      </c>
      <c r="C522" s="2">
        <v>0.747334</v>
      </c>
      <c r="E522">
        <v>2.624096</v>
      </c>
      <c r="F522">
        <v>3728.027746</v>
      </c>
      <c r="G522" s="3">
        <v>3.728027746</v>
      </c>
      <c r="H522" s="4"/>
      <c r="I522" t="s">
        <v>193</v>
      </c>
      <c r="J522">
        <v>1.49679</v>
      </c>
      <c r="K522" s="5">
        <v>6.53578791948102</v>
      </c>
      <c r="L522">
        <v>1.75314894758861</v>
      </c>
      <c r="O522">
        <v>0.002736</v>
      </c>
      <c r="P522" s="6">
        <v>3.57554897660819</v>
      </c>
      <c r="Q522" s="4">
        <v>1.82791173110456</v>
      </c>
      <c r="R522" s="4"/>
      <c r="T522">
        <v>14.288</v>
      </c>
      <c r="U522" s="7">
        <v>0.684679591265398</v>
      </c>
      <c r="V522">
        <v>9.54576126243494</v>
      </c>
      <c r="Y522">
        <v>0.00538361</v>
      </c>
      <c r="Z522" s="8">
        <v>1.81712679781782</v>
      </c>
      <c r="AA522">
        <v>3.59677042203649</v>
      </c>
      <c r="AD522" s="9">
        <v>1.94004</v>
      </c>
      <c r="AE522">
        <v>3.36889338337407</v>
      </c>
      <c r="AH522">
        <v>2.462</v>
      </c>
      <c r="AI522" s="10">
        <v>3.97347766043867</v>
      </c>
      <c r="AJ522">
        <v>1.64485331943693</v>
      </c>
    </row>
    <row r="523" customFormat="1" spans="1:36">
      <c r="A523" s="1" t="s">
        <v>516</v>
      </c>
      <c r="B523" s="1">
        <v>134211204</v>
      </c>
      <c r="C523" s="2">
        <v>0.749344</v>
      </c>
      <c r="E523">
        <v>10.18776</v>
      </c>
      <c r="F523">
        <v>13173.769826</v>
      </c>
      <c r="G523" s="3">
        <v>13.173769826</v>
      </c>
      <c r="H523" s="4"/>
      <c r="I523" t="s">
        <v>516</v>
      </c>
      <c r="J523">
        <v>4.55187</v>
      </c>
      <c r="K523" s="5">
        <v>29.4848499627626</v>
      </c>
      <c r="L523">
        <v>2.23814825613324</v>
      </c>
      <c r="O523">
        <v>0.0110704</v>
      </c>
      <c r="P523" s="6">
        <v>12.1234286023992</v>
      </c>
      <c r="Q523" s="4">
        <v>2.43205539701266</v>
      </c>
      <c r="R523" s="4"/>
      <c r="T523">
        <v>43.452</v>
      </c>
      <c r="U523" s="7">
        <v>3.08872328086164</v>
      </c>
      <c r="V523">
        <v>9.54596682242683</v>
      </c>
      <c r="Y523">
        <v>0.0186114</v>
      </c>
      <c r="Z523" s="8">
        <v>7.21123633901802</v>
      </c>
      <c r="AA523">
        <v>4.08873715637749</v>
      </c>
      <c r="AD523" s="9">
        <v>3.51882</v>
      </c>
      <c r="AE523">
        <v>8.37918676225626</v>
      </c>
      <c r="AH523">
        <v>11.6616</v>
      </c>
      <c r="AI523" s="10">
        <v>11.5088155999177</v>
      </c>
      <c r="AJ523">
        <v>2.56193608341187</v>
      </c>
    </row>
    <row r="524" customFormat="1" spans="1:36">
      <c r="A524" s="1" t="s">
        <v>339</v>
      </c>
      <c r="B524" s="1">
        <v>26085590</v>
      </c>
      <c r="C524" s="2">
        <v>0.76746</v>
      </c>
      <c r="E524">
        <v>14.710525</v>
      </c>
      <c r="F524">
        <v>1773.260324</v>
      </c>
      <c r="G524" s="3">
        <v>1.773260324</v>
      </c>
      <c r="H524" s="4"/>
      <c r="I524" t="s">
        <v>339</v>
      </c>
      <c r="J524">
        <v>8.46357</v>
      </c>
      <c r="K524" s="5">
        <v>3.08210246976158</v>
      </c>
      <c r="L524">
        <v>1.73809926723516</v>
      </c>
      <c r="O524">
        <v>0.010688</v>
      </c>
      <c r="P524" s="6">
        <v>2.44064277694611</v>
      </c>
      <c r="Q524" s="4">
        <v>1.26282408014585</v>
      </c>
      <c r="R524" s="4"/>
      <c r="T524">
        <v>208.698</v>
      </c>
      <c r="U524" s="7">
        <v>0.124992045922817</v>
      </c>
      <c r="V524">
        <v>24.6583888359168</v>
      </c>
      <c r="Y524">
        <v>0.0117635</v>
      </c>
      <c r="Z524" s="8">
        <v>2.21750244400051</v>
      </c>
      <c r="AA524">
        <v>1.38989811627954</v>
      </c>
      <c r="AD524" s="9">
        <v>1.297452</v>
      </c>
      <c r="AE524">
        <v>2.37550404158426</v>
      </c>
      <c r="AH524">
        <v>25.8523</v>
      </c>
      <c r="AI524" s="10">
        <v>1.00902395531539</v>
      </c>
      <c r="AJ524">
        <v>3.0545384512682</v>
      </c>
    </row>
    <row r="525" customFormat="1" spans="1:36">
      <c r="A525" s="1" t="s">
        <v>491</v>
      </c>
      <c r="B525" s="1">
        <v>96990422</v>
      </c>
      <c r="C525" s="2">
        <v>0.773028</v>
      </c>
      <c r="E525">
        <v>7.273968</v>
      </c>
      <c r="F525">
        <v>13333.907608</v>
      </c>
      <c r="G525" s="3">
        <v>13.333907608</v>
      </c>
      <c r="H525" s="4"/>
      <c r="I525" t="s">
        <v>491</v>
      </c>
      <c r="J525">
        <v>5.26543</v>
      </c>
      <c r="K525" s="5">
        <v>18.4202281675001</v>
      </c>
      <c r="L525">
        <v>1.38145761235427</v>
      </c>
      <c r="O525">
        <v>0.0101184</v>
      </c>
      <c r="P525" s="6">
        <v>9.58554929633144</v>
      </c>
      <c r="Q525" s="4">
        <v>1.92166641660795</v>
      </c>
      <c r="R525" s="4"/>
      <c r="T525">
        <v>53.702</v>
      </c>
      <c r="U525" s="7">
        <v>1.80608584410264</v>
      </c>
      <c r="V525">
        <v>10.1989771015852</v>
      </c>
      <c r="Y525">
        <v>0.0116358</v>
      </c>
      <c r="Z525" s="8">
        <v>8.33551814228502</v>
      </c>
      <c r="AA525">
        <v>2.20984800861468</v>
      </c>
      <c r="AD525" s="9">
        <v>3.1536</v>
      </c>
      <c r="AE525">
        <v>5.84101603484909</v>
      </c>
      <c r="AH525">
        <v>9.1994</v>
      </c>
      <c r="AI525" s="10">
        <v>10.5431247690067</v>
      </c>
      <c r="AJ525">
        <v>1.74713176321782</v>
      </c>
    </row>
    <row r="526" customFormat="1" spans="1:36">
      <c r="A526" s="1" t="s">
        <v>517</v>
      </c>
      <c r="B526" s="1">
        <v>134214134</v>
      </c>
      <c r="C526" s="2">
        <v>0.778281</v>
      </c>
      <c r="E526">
        <v>9.949532</v>
      </c>
      <c r="F526">
        <v>13489.492753</v>
      </c>
      <c r="G526" s="3">
        <v>13.489492753</v>
      </c>
      <c r="H526" s="4"/>
      <c r="I526" t="s">
        <v>517</v>
      </c>
      <c r="J526">
        <v>5.30407</v>
      </c>
      <c r="K526" s="5">
        <v>25.3039899548837</v>
      </c>
      <c r="L526">
        <v>1.8758296118478</v>
      </c>
      <c r="O526">
        <v>0.011864</v>
      </c>
      <c r="P526" s="6">
        <v>11.3127220161834</v>
      </c>
      <c r="Q526" s="4">
        <v>2.23677289326875</v>
      </c>
      <c r="R526" s="4"/>
      <c r="T526">
        <v>43.543</v>
      </c>
      <c r="U526" s="7">
        <v>3.08233548446363</v>
      </c>
      <c r="V526">
        <v>8.20935621136222</v>
      </c>
      <c r="Y526">
        <v>0.019247</v>
      </c>
      <c r="Z526" s="8">
        <v>6.9732495453837</v>
      </c>
      <c r="AA526">
        <v>3.62872284868035</v>
      </c>
      <c r="AD526" s="9">
        <v>3.49281</v>
      </c>
      <c r="AE526">
        <v>7.24459388139741</v>
      </c>
      <c r="AH526">
        <v>12.4773</v>
      </c>
      <c r="AI526" s="10">
        <v>10.7566648233191</v>
      </c>
      <c r="AJ526">
        <v>2.35240108067955</v>
      </c>
    </row>
    <row r="527" customFormat="1" spans="1:36">
      <c r="A527" s="1" t="s">
        <v>499</v>
      </c>
      <c r="B527" s="1">
        <v>107194894</v>
      </c>
      <c r="C527" s="2">
        <v>0.783916</v>
      </c>
      <c r="E527">
        <v>9.728527</v>
      </c>
      <c r="F527">
        <v>11018.615366</v>
      </c>
      <c r="G527" s="3">
        <v>11.018615366</v>
      </c>
      <c r="H527" s="4"/>
      <c r="I527" t="s">
        <v>499</v>
      </c>
      <c r="J527">
        <v>3.68075</v>
      </c>
      <c r="K527" s="5">
        <v>29.1231118657882</v>
      </c>
      <c r="L527">
        <v>2.643082719418</v>
      </c>
      <c r="O527">
        <v>0.0090304</v>
      </c>
      <c r="P527" s="6">
        <v>11.8704480421687</v>
      </c>
      <c r="Q527" s="4">
        <v>2.4534130272363</v>
      </c>
      <c r="R527" s="4"/>
      <c r="T527">
        <v>32.131</v>
      </c>
      <c r="U527" s="7">
        <v>3.33618293859513</v>
      </c>
      <c r="V527">
        <v>8.7294708958772</v>
      </c>
      <c r="Y527">
        <v>0.0148671</v>
      </c>
      <c r="Z527" s="8">
        <v>7.21020871588945</v>
      </c>
      <c r="AA527">
        <v>4.03914962983088</v>
      </c>
      <c r="AD527" s="9">
        <v>3.57585</v>
      </c>
      <c r="AE527">
        <v>8.14438856937182</v>
      </c>
      <c r="AH527">
        <v>10.1977</v>
      </c>
      <c r="AI527" s="10">
        <v>10.5116736126774</v>
      </c>
      <c r="AJ527">
        <v>2.77054948040481</v>
      </c>
    </row>
    <row r="528" customFormat="1" spans="1:36">
      <c r="A528" s="1" t="s">
        <v>481</v>
      </c>
      <c r="B528" s="1">
        <v>92140016</v>
      </c>
      <c r="C528" s="2">
        <v>0.787071</v>
      </c>
      <c r="E528">
        <v>8.861135</v>
      </c>
      <c r="F528">
        <v>10398.218295</v>
      </c>
      <c r="G528" s="3">
        <v>10.398218295</v>
      </c>
      <c r="H528" s="4"/>
      <c r="I528" t="s">
        <v>481</v>
      </c>
      <c r="J528">
        <v>3.45723</v>
      </c>
      <c r="K528" s="5">
        <v>26.6513989523405</v>
      </c>
      <c r="L528">
        <v>2.56307361475146</v>
      </c>
      <c r="O528">
        <v>0.008136</v>
      </c>
      <c r="P528" s="6">
        <v>11.3249773844641</v>
      </c>
      <c r="Q528" s="4">
        <v>2.35332911029929</v>
      </c>
      <c r="R528" s="4"/>
      <c r="T528">
        <v>30.494</v>
      </c>
      <c r="U528" s="7">
        <v>3.02157854004066</v>
      </c>
      <c r="V528">
        <v>8.82035618110453</v>
      </c>
      <c r="Y528">
        <v>0.0136566</v>
      </c>
      <c r="Z528" s="8">
        <v>6.74692207430839</v>
      </c>
      <c r="AA528">
        <v>3.95015662828334</v>
      </c>
      <c r="AD528" s="9">
        <v>3.46785</v>
      </c>
      <c r="AE528">
        <v>7.6852802031058</v>
      </c>
      <c r="AH528">
        <v>9.4718</v>
      </c>
      <c r="AI528" s="10">
        <v>9.72782533414979</v>
      </c>
      <c r="AJ528">
        <v>2.73970780075378</v>
      </c>
    </row>
    <row r="529" customFormat="1" spans="1:36">
      <c r="A529" s="1" t="s">
        <v>412</v>
      </c>
      <c r="B529" s="1">
        <v>47813606</v>
      </c>
      <c r="C529" s="2">
        <v>0.797101</v>
      </c>
      <c r="E529">
        <v>3.516289</v>
      </c>
      <c r="F529">
        <v>13597.747507</v>
      </c>
      <c r="G529" s="3">
        <v>13.597747507</v>
      </c>
      <c r="H529" s="4"/>
      <c r="I529" t="s">
        <v>412</v>
      </c>
      <c r="J529">
        <v>1.94427</v>
      </c>
      <c r="K529" s="5">
        <v>24.5920607734522</v>
      </c>
      <c r="L529">
        <v>1.80853930114473</v>
      </c>
      <c r="O529">
        <v>0.0052288</v>
      </c>
      <c r="P529" s="6">
        <v>9.14427899326805</v>
      </c>
      <c r="Q529" s="4">
        <v>2.68933841493208</v>
      </c>
      <c r="R529" s="4"/>
      <c r="T529">
        <v>22.48</v>
      </c>
      <c r="U529" s="7">
        <v>2.12693976868327</v>
      </c>
      <c r="V529">
        <v>11.5621801498763</v>
      </c>
      <c r="Y529">
        <v>0.0340232</v>
      </c>
      <c r="Z529" s="8">
        <v>1.40532360271815</v>
      </c>
      <c r="AA529">
        <v>17.4992156439178</v>
      </c>
      <c r="AD529" s="9">
        <v>3.43419</v>
      </c>
      <c r="AE529">
        <v>7.16094938644986</v>
      </c>
      <c r="AH529">
        <v>4.4151</v>
      </c>
      <c r="AI529" s="10">
        <v>10.8295635432946</v>
      </c>
      <c r="AJ529">
        <v>2.27082658272771</v>
      </c>
    </row>
    <row r="530" customFormat="1" spans="1:36">
      <c r="A530" s="1" t="s">
        <v>528</v>
      </c>
      <c r="B530" s="1">
        <v>152561542</v>
      </c>
      <c r="C530" s="2">
        <v>0.798755</v>
      </c>
      <c r="E530">
        <v>11.360956</v>
      </c>
      <c r="F530">
        <v>13428.582785</v>
      </c>
      <c r="G530" s="3">
        <v>13.428582785</v>
      </c>
      <c r="H530" s="4"/>
      <c r="I530" t="s">
        <v>528</v>
      </c>
      <c r="J530">
        <v>4.73493</v>
      </c>
      <c r="K530" s="5">
        <v>32.2204429632539</v>
      </c>
      <c r="L530">
        <v>2.399392659607</v>
      </c>
      <c r="O530">
        <v>0.0134848</v>
      </c>
      <c r="P530" s="6">
        <v>11.313593230897</v>
      </c>
      <c r="Q530" s="4">
        <v>2.84794072985239</v>
      </c>
      <c r="R530" s="4"/>
      <c r="T530">
        <v>45.263</v>
      </c>
      <c r="U530" s="7">
        <v>3.37055745310739</v>
      </c>
      <c r="V530">
        <v>9.55938102569626</v>
      </c>
      <c r="Y530">
        <v>0.020298</v>
      </c>
      <c r="Z530" s="8">
        <v>7.51608739777318</v>
      </c>
      <c r="AA530">
        <v>4.28686379735286</v>
      </c>
      <c r="AD530" s="9">
        <v>3.55941</v>
      </c>
      <c r="AE530">
        <v>9.05218644754438</v>
      </c>
      <c r="AH530">
        <v>14.6999</v>
      </c>
      <c r="AI530" s="10">
        <v>10.3784067918829</v>
      </c>
      <c r="AJ530">
        <v>3.10456543180153</v>
      </c>
    </row>
    <row r="531" customFormat="1" spans="1:36">
      <c r="A531" s="1" t="s">
        <v>172</v>
      </c>
      <c r="B531" s="1">
        <v>7641406</v>
      </c>
      <c r="C531" s="2">
        <v>0.8</v>
      </c>
      <c r="E531">
        <v>1.557202</v>
      </c>
      <c r="F531">
        <v>4907.137519</v>
      </c>
      <c r="G531" s="3">
        <v>4.907137519</v>
      </c>
      <c r="H531" s="4"/>
      <c r="I531" t="s">
        <v>172</v>
      </c>
      <c r="J531">
        <v>0.57906</v>
      </c>
      <c r="K531" s="5">
        <v>13.1962249162436</v>
      </c>
      <c r="L531">
        <v>2.68918995344006</v>
      </c>
      <c r="O531">
        <v>0.0011104</v>
      </c>
      <c r="P531" s="6">
        <v>6.8816696685879</v>
      </c>
      <c r="Q531" s="4">
        <v>1.91759057783304</v>
      </c>
      <c r="R531" s="4"/>
      <c r="T531">
        <v>11.471</v>
      </c>
      <c r="U531" s="7">
        <v>0.666149943335367</v>
      </c>
      <c r="V531">
        <v>19.8096915690947</v>
      </c>
      <c r="Y531">
        <v>0.00290539</v>
      </c>
      <c r="Z531" s="8">
        <v>2.63007926646681</v>
      </c>
      <c r="AA531">
        <v>5.01742479190412</v>
      </c>
      <c r="AD531" s="9">
        <v>2.807907</v>
      </c>
      <c r="AE531">
        <v>4.69966594913705</v>
      </c>
      <c r="AH531">
        <v>1.0951</v>
      </c>
      <c r="AI531" s="10">
        <v>6.97781572459136</v>
      </c>
      <c r="AJ531">
        <v>1.89116844541153</v>
      </c>
    </row>
    <row r="532" customFormat="1" spans="1:36">
      <c r="A532" s="1" t="s">
        <v>446</v>
      </c>
      <c r="B532" s="1">
        <v>62573378</v>
      </c>
      <c r="C532" s="2">
        <v>0.807097</v>
      </c>
      <c r="E532">
        <v>33.677342</v>
      </c>
      <c r="F532">
        <v>1858.026023</v>
      </c>
      <c r="G532" s="3">
        <v>1.858026023</v>
      </c>
      <c r="H532" s="4"/>
      <c r="I532" t="s">
        <v>446</v>
      </c>
      <c r="J532">
        <v>18.8721</v>
      </c>
      <c r="K532" s="5">
        <v>3.31565527948665</v>
      </c>
      <c r="L532">
        <v>1.78450422030857</v>
      </c>
      <c r="O532">
        <v>0.0241392</v>
      </c>
      <c r="P532" s="6">
        <v>2.59218938490091</v>
      </c>
      <c r="Q532" s="4">
        <v>1.2790945363791</v>
      </c>
      <c r="R532" s="4"/>
      <c r="T532">
        <v>676.446</v>
      </c>
      <c r="U532" s="7">
        <v>0.0925031384619023</v>
      </c>
      <c r="V532">
        <v>35.8437057879091</v>
      </c>
      <c r="Y532">
        <v>0.0278953</v>
      </c>
      <c r="Z532" s="8">
        <v>2.24315128354956</v>
      </c>
      <c r="AA532">
        <v>1.47812379120501</v>
      </c>
      <c r="AD532" s="9">
        <v>1.330605</v>
      </c>
      <c r="AE532">
        <v>2.49184038800895</v>
      </c>
      <c r="AH532">
        <v>49.2763</v>
      </c>
      <c r="AI532" s="10">
        <v>1.26984733025816</v>
      </c>
      <c r="AJ532">
        <v>2.61106607107847</v>
      </c>
    </row>
    <row r="533" customFormat="1" spans="1:36">
      <c r="A533" s="1" t="s">
        <v>511</v>
      </c>
      <c r="B533" s="1">
        <v>128237870</v>
      </c>
      <c r="C533" s="2">
        <v>0.813177</v>
      </c>
      <c r="E533">
        <v>74.213825</v>
      </c>
      <c r="F533">
        <v>1727.951221</v>
      </c>
      <c r="G533" s="3">
        <v>1.727951221</v>
      </c>
      <c r="H533" s="4"/>
      <c r="I533" t="s">
        <v>511</v>
      </c>
      <c r="J533">
        <v>50.7612</v>
      </c>
      <c r="K533" s="5">
        <v>2.52629705365515</v>
      </c>
      <c r="L533">
        <v>1.46201873233038</v>
      </c>
      <c r="O533">
        <v>0.0493872</v>
      </c>
      <c r="P533" s="6">
        <v>2.59658109793631</v>
      </c>
      <c r="Q533" s="4">
        <v>0.972932081983877</v>
      </c>
      <c r="R533" s="4"/>
      <c r="T533">
        <v>1644.494</v>
      </c>
      <c r="U533" s="7">
        <v>0.0779801385714998</v>
      </c>
      <c r="V533">
        <v>32.3966730494945</v>
      </c>
      <c r="Y533">
        <v>0.0418382</v>
      </c>
      <c r="Z533" s="8">
        <v>3.06509051536634</v>
      </c>
      <c r="AA533">
        <v>0.824216133582342</v>
      </c>
      <c r="AD533" s="9">
        <v>1.238844</v>
      </c>
      <c r="AE533">
        <v>2.03923742913164</v>
      </c>
      <c r="AH533">
        <v>98.0624</v>
      </c>
      <c r="AI533" s="10">
        <v>1.30771702507791</v>
      </c>
      <c r="AJ533">
        <v>1.93183770281238</v>
      </c>
    </row>
    <row r="534" customFormat="1" spans="1:36">
      <c r="A534" s="1" t="s">
        <v>288</v>
      </c>
      <c r="B534" s="1">
        <v>17853682</v>
      </c>
      <c r="C534" s="2">
        <v>0.824324</v>
      </c>
      <c r="E534">
        <v>1.38682</v>
      </c>
      <c r="F534">
        <v>12873.826912</v>
      </c>
      <c r="G534" s="3">
        <v>12.873826912</v>
      </c>
      <c r="H534" s="4"/>
      <c r="I534" t="s">
        <v>288</v>
      </c>
      <c r="J534">
        <v>0.706723</v>
      </c>
      <c r="K534" s="5">
        <v>25.2626304789854</v>
      </c>
      <c r="L534">
        <v>1.96232485116275</v>
      </c>
      <c r="O534">
        <v>0.0014448</v>
      </c>
      <c r="P534" s="6">
        <v>12.3571996124031</v>
      </c>
      <c r="Q534" s="4">
        <v>2.04436533125425</v>
      </c>
      <c r="R534" s="4"/>
      <c r="T534">
        <v>6.174</v>
      </c>
      <c r="U534" s="7">
        <v>2.89175283446712</v>
      </c>
      <c r="V534">
        <v>8.73609603762719</v>
      </c>
      <c r="Y534">
        <v>0.00207538</v>
      </c>
      <c r="Z534" s="8">
        <v>8.60260867889254</v>
      </c>
      <c r="AA534">
        <v>2.93662439173481</v>
      </c>
      <c r="AD534" s="9">
        <v>3.35556</v>
      </c>
      <c r="AE534">
        <v>7.52858851547444</v>
      </c>
      <c r="AH534">
        <v>1.4143</v>
      </c>
      <c r="AI534" s="10">
        <v>12.6236880435551</v>
      </c>
      <c r="AJ534">
        <v>2.0012083942365</v>
      </c>
    </row>
    <row r="535" customFormat="1" spans="1:36">
      <c r="A535" s="1" t="s">
        <v>289</v>
      </c>
      <c r="B535" s="1">
        <v>17853682</v>
      </c>
      <c r="C535" s="2">
        <v>0.824324</v>
      </c>
      <c r="E535">
        <v>1.397931</v>
      </c>
      <c r="F535">
        <v>12771.507495</v>
      </c>
      <c r="G535" s="3">
        <v>12.771507495</v>
      </c>
      <c r="H535" s="4"/>
      <c r="I535" t="s">
        <v>289</v>
      </c>
      <c r="J535">
        <v>0.719395</v>
      </c>
      <c r="K535" s="5">
        <v>24.817634262123</v>
      </c>
      <c r="L535">
        <v>1.94320320227186</v>
      </c>
      <c r="O535">
        <v>0.0014496</v>
      </c>
      <c r="P535" s="6">
        <v>12.3162817328918</v>
      </c>
      <c r="Q535" s="4">
        <v>2.0150265153358</v>
      </c>
      <c r="R535" s="4"/>
      <c r="T535">
        <v>6.185</v>
      </c>
      <c r="U535" s="7">
        <v>2.88660986257074</v>
      </c>
      <c r="V535">
        <v>8.59750206770967</v>
      </c>
      <c r="Y535">
        <v>0.00206848</v>
      </c>
      <c r="Z535" s="8">
        <v>8.63130511293317</v>
      </c>
      <c r="AA535">
        <v>2.87530494373745</v>
      </c>
      <c r="AD535" s="9">
        <v>3.31569</v>
      </c>
      <c r="AE535">
        <v>7.48490789613113</v>
      </c>
      <c r="AH535">
        <v>1.4267</v>
      </c>
      <c r="AI535" s="10">
        <v>12.5139707016191</v>
      </c>
      <c r="AJ535">
        <v>1.98319421180297</v>
      </c>
    </row>
    <row r="536" customFormat="1" spans="1:36">
      <c r="A536" s="1" t="s">
        <v>287</v>
      </c>
      <c r="B536" s="1">
        <v>17853682</v>
      </c>
      <c r="C536" s="2">
        <v>0.830909</v>
      </c>
      <c r="E536">
        <v>1.397527</v>
      </c>
      <c r="F536">
        <v>12775.200006</v>
      </c>
      <c r="G536" s="3">
        <v>12.775200006</v>
      </c>
      <c r="H536" s="4"/>
      <c r="I536" t="s">
        <v>287</v>
      </c>
      <c r="J536">
        <v>0.738464</v>
      </c>
      <c r="K536" s="5">
        <v>24.1767804523985</v>
      </c>
      <c r="L536">
        <v>1.89247764739837</v>
      </c>
      <c r="O536">
        <v>0.001456</v>
      </c>
      <c r="P536" s="6">
        <v>12.2621442307692</v>
      </c>
      <c r="Q536" s="4">
        <v>1.97166009446635</v>
      </c>
      <c r="R536" s="4"/>
      <c r="T536">
        <v>6.232</v>
      </c>
      <c r="U536" s="7">
        <v>2.86483985879332</v>
      </c>
      <c r="V536">
        <v>8.43913853620488</v>
      </c>
      <c r="Y536">
        <v>0.00216371</v>
      </c>
      <c r="Z536" s="8">
        <v>8.25142093903527</v>
      </c>
      <c r="AA536">
        <v>2.93001419161936</v>
      </c>
      <c r="AD536" s="9">
        <v>3.32922</v>
      </c>
      <c r="AE536">
        <v>7.26199543809015</v>
      </c>
      <c r="AH536">
        <v>1.4475</v>
      </c>
      <c r="AI536" s="10">
        <v>12.3341499136442</v>
      </c>
      <c r="AJ536">
        <v>1.96014971616761</v>
      </c>
    </row>
    <row r="537" customFormat="1" spans="1:36">
      <c r="A537" s="1" t="s">
        <v>155</v>
      </c>
      <c r="B537" s="1">
        <v>6465434</v>
      </c>
      <c r="C537" s="2">
        <v>0.841077</v>
      </c>
      <c r="E537">
        <v>2.472399</v>
      </c>
      <c r="F537">
        <v>2615.044555</v>
      </c>
      <c r="G537" s="3">
        <v>2.615044555</v>
      </c>
      <c r="H537" s="4"/>
      <c r="I537" t="s">
        <v>155</v>
      </c>
      <c r="J537">
        <v>1.66478</v>
      </c>
      <c r="K537" s="5">
        <v>3.8836566993837</v>
      </c>
      <c r="L537">
        <v>1.48512066150387</v>
      </c>
      <c r="O537">
        <v>0.001928</v>
      </c>
      <c r="P537" s="6">
        <v>3.35344087136929</v>
      </c>
      <c r="Q537" s="4">
        <v>1.15811098163121</v>
      </c>
      <c r="R537" s="4"/>
      <c r="T537">
        <v>10.111</v>
      </c>
      <c r="U537" s="7">
        <v>0.639445554346751</v>
      </c>
      <c r="V537">
        <v>6.07347517389685</v>
      </c>
      <c r="Y537">
        <v>0.0033609</v>
      </c>
      <c r="Z537" s="8">
        <v>1.92372102710583</v>
      </c>
      <c r="AA537">
        <v>2.0188253102512</v>
      </c>
      <c r="AD537" s="9">
        <v>1.860507</v>
      </c>
      <c r="AE537">
        <v>2.08741848291014</v>
      </c>
      <c r="AH537">
        <v>2.245</v>
      </c>
      <c r="AI537" s="10">
        <v>2.87992605790646</v>
      </c>
      <c r="AJ537">
        <v>1.34852653203426</v>
      </c>
    </row>
    <row r="538" customFormat="1" spans="1:36">
      <c r="A538" s="1" t="s">
        <v>324</v>
      </c>
      <c r="B538" s="1">
        <v>22582544</v>
      </c>
      <c r="C538" s="2">
        <v>0.841463</v>
      </c>
      <c r="E538">
        <v>2.140264</v>
      </c>
      <c r="F538">
        <v>10551.29036</v>
      </c>
      <c r="G538" s="3">
        <v>10.55129036</v>
      </c>
      <c r="H538" s="4"/>
      <c r="I538" t="s">
        <v>324</v>
      </c>
      <c r="J538">
        <v>0.838903</v>
      </c>
      <c r="K538" s="5">
        <v>26.9191360622146</v>
      </c>
      <c r="L538">
        <v>2.5512648352722</v>
      </c>
      <c r="O538">
        <v>0.0018832</v>
      </c>
      <c r="P538" s="6">
        <v>11.99158028887</v>
      </c>
      <c r="Q538" s="4">
        <v>2.24483641136103</v>
      </c>
      <c r="R538" s="4"/>
      <c r="T538">
        <v>13.414</v>
      </c>
      <c r="U538" s="7">
        <v>1.6835055911734</v>
      </c>
      <c r="V538">
        <v>15.9899297058182</v>
      </c>
      <c r="Y538">
        <v>0.00251253</v>
      </c>
      <c r="Z538" s="8">
        <v>8.98796989488683</v>
      </c>
      <c r="AA538">
        <v>2.99501849439089</v>
      </c>
      <c r="AD538" s="9">
        <v>3.57714</v>
      </c>
      <c r="AE538">
        <v>7.52532359991909</v>
      </c>
      <c r="AH538">
        <v>1.5948</v>
      </c>
      <c r="AI538" s="10">
        <v>14.1601103586657</v>
      </c>
      <c r="AJ538">
        <v>1.90105411471887</v>
      </c>
    </row>
    <row r="539" customFormat="1" spans="1:36">
      <c r="A539" s="1" t="s">
        <v>530</v>
      </c>
      <c r="B539" s="1">
        <v>153607828</v>
      </c>
      <c r="C539" s="2">
        <v>0.860174</v>
      </c>
      <c r="E539">
        <v>12.035817</v>
      </c>
      <c r="F539">
        <v>12762.559728</v>
      </c>
      <c r="G539" s="3">
        <v>12.762559728</v>
      </c>
      <c r="H539" s="4"/>
      <c r="I539" t="s">
        <v>530</v>
      </c>
      <c r="J539">
        <v>8.42445</v>
      </c>
      <c r="K539" s="5">
        <v>18.2335734677041</v>
      </c>
      <c r="L539">
        <v>1.42867683727279</v>
      </c>
      <c r="O539">
        <v>0.01356</v>
      </c>
      <c r="P539" s="6">
        <v>11.3280109144543</v>
      </c>
      <c r="Q539" s="4">
        <v>1.60960062674715</v>
      </c>
      <c r="R539" s="4"/>
      <c r="T539">
        <v>66.715</v>
      </c>
      <c r="U539" s="7">
        <v>2.30244814509481</v>
      </c>
      <c r="V539">
        <v>7.91921134317374</v>
      </c>
      <c r="Y539">
        <v>0.0187629</v>
      </c>
      <c r="Z539" s="8">
        <v>8.18678498526347</v>
      </c>
      <c r="AA539">
        <v>2.22719584067803</v>
      </c>
      <c r="AD539" s="9">
        <v>3.43536</v>
      </c>
      <c r="AE539">
        <v>5.30761651404922</v>
      </c>
      <c r="AH539">
        <v>26.0073</v>
      </c>
      <c r="AI539" s="10">
        <v>5.90633506746183</v>
      </c>
      <c r="AJ539">
        <v>3.08712141445436</v>
      </c>
    </row>
    <row r="540" customFormat="1" spans="1:36">
      <c r="A540" s="1" t="s">
        <v>192</v>
      </c>
      <c r="B540" s="1">
        <v>9578640</v>
      </c>
      <c r="C540" s="2">
        <v>0.862442</v>
      </c>
      <c r="E540">
        <v>2.849668</v>
      </c>
      <c r="F540">
        <v>3361.317898</v>
      </c>
      <c r="G540" s="3">
        <v>3.361317898</v>
      </c>
      <c r="H540" s="4"/>
      <c r="I540" t="s">
        <v>192</v>
      </c>
      <c r="J540">
        <v>1.87772</v>
      </c>
      <c r="K540" s="5">
        <v>5.10120784781544</v>
      </c>
      <c r="L540">
        <v>1.51762136239797</v>
      </c>
      <c r="O540">
        <v>0.0039264</v>
      </c>
      <c r="P540" s="6">
        <v>2.43954767726161</v>
      </c>
      <c r="Q540" s="4">
        <v>2.09104658841574</v>
      </c>
      <c r="R540" s="4"/>
      <c r="T540">
        <v>18.497</v>
      </c>
      <c r="U540" s="7">
        <v>0.51784829972428</v>
      </c>
      <c r="V540">
        <v>9.85077647359564</v>
      </c>
      <c r="Y540">
        <v>0.0052494</v>
      </c>
      <c r="Z540" s="8">
        <v>1.82471139558807</v>
      </c>
      <c r="AA540">
        <v>2.79562448075325</v>
      </c>
      <c r="AD540" s="9">
        <v>1.830396</v>
      </c>
      <c r="AE540">
        <v>2.78694219601411</v>
      </c>
      <c r="AH540">
        <v>2.5703</v>
      </c>
      <c r="AI540" s="10">
        <v>3.72666225732405</v>
      </c>
      <c r="AJ540">
        <v>1.36884093475065</v>
      </c>
    </row>
    <row r="541" customFormat="1" spans="1:36">
      <c r="A541" s="1" t="s">
        <v>455</v>
      </c>
      <c r="B541" s="1">
        <v>68585642</v>
      </c>
      <c r="C541" s="2">
        <v>0.866393</v>
      </c>
      <c r="E541">
        <v>4.307234</v>
      </c>
      <c r="F541">
        <v>15923.362287</v>
      </c>
      <c r="G541" s="3">
        <v>15.923362287</v>
      </c>
      <c r="H541" s="4"/>
      <c r="I541" t="s">
        <v>455</v>
      </c>
      <c r="J541">
        <v>2.45969</v>
      </c>
      <c r="K541" s="5">
        <v>27.8838560956869</v>
      </c>
      <c r="L541">
        <v>1.75112866196931</v>
      </c>
      <c r="O541">
        <v>0.005736</v>
      </c>
      <c r="P541" s="6">
        <v>11.9570505578801</v>
      </c>
      <c r="Q541" s="4">
        <v>2.33200118714147</v>
      </c>
      <c r="R541" s="4"/>
      <c r="T541">
        <v>22.941</v>
      </c>
      <c r="U541" s="7">
        <v>2.98965354605292</v>
      </c>
      <c r="V541">
        <v>9.32678508267302</v>
      </c>
      <c r="Y541">
        <v>0.00396627</v>
      </c>
      <c r="Z541" s="8">
        <v>17.2922272059139</v>
      </c>
      <c r="AA541">
        <v>1.61250808028654</v>
      </c>
      <c r="AD541" s="9">
        <v>3.41196</v>
      </c>
      <c r="AE541">
        <v>8.17238657419397</v>
      </c>
      <c r="AH541">
        <v>5.2755</v>
      </c>
      <c r="AI541" s="10">
        <v>13.0007851388494</v>
      </c>
      <c r="AJ541">
        <v>2.14478247258801</v>
      </c>
    </row>
    <row r="542" customFormat="1" spans="1:36">
      <c r="A542" s="1" t="s">
        <v>465</v>
      </c>
      <c r="B542" s="1">
        <v>76260962</v>
      </c>
      <c r="C542" s="2">
        <v>0.870627</v>
      </c>
      <c r="E542">
        <v>3.916934</v>
      </c>
      <c r="F542">
        <v>19469.554471</v>
      </c>
      <c r="G542" s="3">
        <v>19.469554471</v>
      </c>
      <c r="H542" s="4"/>
      <c r="I542" t="s">
        <v>465</v>
      </c>
      <c r="J542">
        <v>2.33138</v>
      </c>
      <c r="K542" s="5">
        <v>32.7106529180142</v>
      </c>
      <c r="L542">
        <v>1.68009252429155</v>
      </c>
      <c r="O542">
        <v>0.0061232</v>
      </c>
      <c r="P542" s="6">
        <v>12.454429383329</v>
      </c>
      <c r="Q542" s="4">
        <v>2.62642726625432</v>
      </c>
      <c r="R542" s="4"/>
      <c r="T542">
        <v>23.127</v>
      </c>
      <c r="U542" s="7">
        <v>3.29748614173909</v>
      </c>
      <c r="V542">
        <v>9.91987578172585</v>
      </c>
      <c r="Y542">
        <v>0.00312582</v>
      </c>
      <c r="Z542" s="8">
        <v>24.3971060393753</v>
      </c>
      <c r="AA542">
        <v>1.34075955013769</v>
      </c>
      <c r="AD542" s="9">
        <v>3.55383</v>
      </c>
      <c r="AE542">
        <v>9.20433811353223</v>
      </c>
      <c r="AH542">
        <v>6.3844</v>
      </c>
      <c r="AI542" s="10">
        <v>11.9448909842742</v>
      </c>
      <c r="AJ542">
        <v>2.73846391407664</v>
      </c>
    </row>
    <row r="543" customFormat="1" spans="1:36">
      <c r="A543" s="1" t="s">
        <v>629</v>
      </c>
      <c r="B543" s="1">
        <v>26088428220</v>
      </c>
      <c r="C543" s="2">
        <v>0.873237</v>
      </c>
      <c r="E543">
        <v>157369.276327</v>
      </c>
      <c r="F543">
        <v>165.778409</v>
      </c>
      <c r="G543" s="3">
        <v>0.165778409</v>
      </c>
      <c r="H543" s="4"/>
      <c r="I543" t="s">
        <v>629</v>
      </c>
      <c r="J543">
        <v>216832</v>
      </c>
      <c r="K543" s="5">
        <v>0.120316319639168</v>
      </c>
      <c r="L543">
        <v>0.72576592069458</v>
      </c>
      <c r="O543" t="e">
        <v>#VALUE!</v>
      </c>
      <c r="P543" s="6" t="e">
        <v>#VALUE!</v>
      </c>
      <c r="Q543" s="4" t="e">
        <v>#VALUE!</v>
      </c>
      <c r="R543" s="4"/>
      <c r="T543">
        <v>0</v>
      </c>
      <c r="U543" s="7" t="e">
        <v>#DIV/0!</v>
      </c>
      <c r="V543" t="e">
        <v>#DIV/0!</v>
      </c>
      <c r="Y543" t="s">
        <v>626</v>
      </c>
      <c r="Z543" s="8" t="e">
        <v>#VALUE!</v>
      </c>
      <c r="AA543" t="e">
        <v>#VALUE!</v>
      </c>
      <c r="AD543" s="9">
        <v>0</v>
      </c>
      <c r="AE543" t="e">
        <v>#DIV/0!</v>
      </c>
      <c r="AH543" t="s">
        <v>623</v>
      </c>
      <c r="AI543" s="10" t="e">
        <v>#VALUE!</v>
      </c>
      <c r="AJ543" t="e">
        <v>#VALUE!</v>
      </c>
    </row>
    <row r="544" customFormat="1" spans="1:36">
      <c r="A544" s="1" t="s">
        <v>631</v>
      </c>
      <c r="B544" s="1">
        <v>26088428220</v>
      </c>
      <c r="C544" s="2">
        <v>0.873237</v>
      </c>
      <c r="E544">
        <v>154260.829325</v>
      </c>
      <c r="F544">
        <v>169.118942</v>
      </c>
      <c r="G544" s="3">
        <v>0.169118942</v>
      </c>
      <c r="H544" s="4"/>
      <c r="I544" t="s">
        <v>631</v>
      </c>
      <c r="J544">
        <v>215533</v>
      </c>
      <c r="K544" s="5">
        <v>0.121041456389509</v>
      </c>
      <c r="L544">
        <v>0.715717914019997</v>
      </c>
      <c r="O544" t="e">
        <v>#VALUE!</v>
      </c>
      <c r="P544" s="6" t="e">
        <v>#VALUE!</v>
      </c>
      <c r="Q544" s="4" t="e">
        <v>#VALUE!</v>
      </c>
      <c r="R544" s="4"/>
      <c r="T544">
        <v>0</v>
      </c>
      <c r="U544" s="7" t="e">
        <v>#DIV/0!</v>
      </c>
      <c r="V544" t="e">
        <v>#DIV/0!</v>
      </c>
      <c r="Y544" t="s">
        <v>626</v>
      </c>
      <c r="Z544" s="8" t="e">
        <v>#VALUE!</v>
      </c>
      <c r="AA544" t="e">
        <v>#VALUE!</v>
      </c>
      <c r="AD544" s="9">
        <v>0</v>
      </c>
      <c r="AE544" t="e">
        <v>#DIV/0!</v>
      </c>
      <c r="AH544" t="s">
        <v>623</v>
      </c>
      <c r="AI544" s="10" t="e">
        <v>#VALUE!</v>
      </c>
      <c r="AJ544" t="e">
        <v>#VALUE!</v>
      </c>
    </row>
    <row r="545" customFormat="1" spans="1:36">
      <c r="A545" s="1" t="s">
        <v>464</v>
      </c>
      <c r="B545" s="1">
        <v>76063056</v>
      </c>
      <c r="C545" s="2">
        <v>0.875164</v>
      </c>
      <c r="E545">
        <v>7.875769</v>
      </c>
      <c r="F545">
        <v>9657.857061</v>
      </c>
      <c r="G545" s="3">
        <v>9.657857061</v>
      </c>
      <c r="H545" s="4"/>
      <c r="I545" t="s">
        <v>464</v>
      </c>
      <c r="J545">
        <v>5.83456</v>
      </c>
      <c r="K545" s="5">
        <v>13.0366396094993</v>
      </c>
      <c r="L545">
        <v>1.3498480591666</v>
      </c>
      <c r="O545">
        <v>0.010424</v>
      </c>
      <c r="P545" s="6">
        <v>7.29691634689179</v>
      </c>
      <c r="Q545" s="4">
        <v>1.78659573301157</v>
      </c>
      <c r="R545" s="4"/>
      <c r="T545">
        <v>37.397</v>
      </c>
      <c r="U545" s="7">
        <v>2.03393470064444</v>
      </c>
      <c r="V545">
        <v>6.40956644545604</v>
      </c>
      <c r="Y545">
        <v>0.00917565</v>
      </c>
      <c r="Z545" s="8">
        <v>8.28966405649736</v>
      </c>
      <c r="AA545">
        <v>1.57263786815115</v>
      </c>
      <c r="AD545" s="9">
        <v>2.934576</v>
      </c>
      <c r="AE545">
        <v>4.44242698417055</v>
      </c>
      <c r="AH545">
        <v>9.4876</v>
      </c>
      <c r="AI545" s="10">
        <v>8.01710190142923</v>
      </c>
      <c r="AJ545">
        <v>1.62610376789338</v>
      </c>
    </row>
    <row r="546" customFormat="1" spans="1:36">
      <c r="A546" s="1" t="s">
        <v>519</v>
      </c>
      <c r="B546" s="1">
        <v>140500862</v>
      </c>
      <c r="C546" s="2">
        <v>0.878766</v>
      </c>
      <c r="E546">
        <v>9.700024</v>
      </c>
      <c r="F546">
        <v>14484.588606</v>
      </c>
      <c r="G546" s="3">
        <v>14.484588606</v>
      </c>
      <c r="H546" s="4"/>
      <c r="I546" t="s">
        <v>519</v>
      </c>
      <c r="J546">
        <v>7.93509</v>
      </c>
      <c r="K546" s="5">
        <v>17.7062720145581</v>
      </c>
      <c r="L546">
        <v>1.22242146437101</v>
      </c>
      <c r="O546">
        <v>0.0110624</v>
      </c>
      <c r="P546" s="6">
        <v>12.7007577017645</v>
      </c>
      <c r="Q546" s="4">
        <v>1.39411147195558</v>
      </c>
      <c r="R546" s="4"/>
      <c r="T546">
        <v>43.908</v>
      </c>
      <c r="U546" s="7">
        <v>3.19989209255716</v>
      </c>
      <c r="V546">
        <v>5.53339659663596</v>
      </c>
      <c r="Y546">
        <v>0.00556157</v>
      </c>
      <c r="Z546" s="8">
        <v>25.262805646607</v>
      </c>
      <c r="AA546">
        <v>0.700883039763884</v>
      </c>
      <c r="AD546" s="9">
        <v>3.43728</v>
      </c>
      <c r="AE546">
        <v>5.15124517483537</v>
      </c>
      <c r="AH546">
        <v>10.315</v>
      </c>
      <c r="AI546" s="10">
        <v>13.6210239457101</v>
      </c>
      <c r="AJ546">
        <v>1.29992224410813</v>
      </c>
    </row>
    <row r="547" customFormat="1" spans="1:36">
      <c r="A547" s="1" t="s">
        <v>628</v>
      </c>
      <c r="B547" s="1">
        <v>26088428220</v>
      </c>
      <c r="C547" s="2">
        <v>0.881265</v>
      </c>
      <c r="E547">
        <v>135995.644929</v>
      </c>
      <c r="F547">
        <v>191.832821</v>
      </c>
      <c r="G547" s="3">
        <v>0.191832821</v>
      </c>
      <c r="H547" s="4"/>
      <c r="I547" t="s">
        <v>628</v>
      </c>
      <c r="J547">
        <v>223287</v>
      </c>
      <c r="K547" s="5">
        <v>0.116838097247041</v>
      </c>
      <c r="L547">
        <v>0.609062081441428</v>
      </c>
      <c r="O547" t="e">
        <v>#VALUE!</v>
      </c>
      <c r="P547" s="6" t="e">
        <v>#VALUE!</v>
      </c>
      <c r="Q547" s="4" t="e">
        <v>#VALUE!</v>
      </c>
      <c r="R547" s="4"/>
      <c r="T547">
        <v>0</v>
      </c>
      <c r="U547" s="7" t="e">
        <v>#DIV/0!</v>
      </c>
      <c r="V547" t="e">
        <v>#DIV/0!</v>
      </c>
      <c r="Y547" t="s">
        <v>626</v>
      </c>
      <c r="Z547" s="8" t="e">
        <v>#VALUE!</v>
      </c>
      <c r="AA547" t="e">
        <v>#VALUE!</v>
      </c>
      <c r="AD547" s="9">
        <v>0</v>
      </c>
      <c r="AE547" t="e">
        <v>#DIV/0!</v>
      </c>
      <c r="AH547" t="s">
        <v>623</v>
      </c>
      <c r="AI547" s="10" t="e">
        <v>#VALUE!</v>
      </c>
      <c r="AJ547" t="e">
        <v>#VALUE!</v>
      </c>
    </row>
    <row r="548" customFormat="1" spans="1:36">
      <c r="A548" s="1" t="s">
        <v>520</v>
      </c>
      <c r="B548" s="1">
        <v>140500862</v>
      </c>
      <c r="C548" s="2">
        <v>0.881535</v>
      </c>
      <c r="E548">
        <v>9.732896</v>
      </c>
      <c r="F548">
        <v>14435.668103</v>
      </c>
      <c r="G548" s="3">
        <v>14.435668103</v>
      </c>
      <c r="H548" s="4"/>
      <c r="I548" t="s">
        <v>520</v>
      </c>
      <c r="J548">
        <v>8.60306</v>
      </c>
      <c r="K548" s="5">
        <v>16.3314985598148</v>
      </c>
      <c r="L548">
        <v>1.13132959578232</v>
      </c>
      <c r="O548">
        <v>0.0113536</v>
      </c>
      <c r="P548" s="6">
        <v>12.375005460823</v>
      </c>
      <c r="Q548" s="4">
        <v>1.3197164729759</v>
      </c>
      <c r="R548" s="4"/>
      <c r="T548">
        <v>43.887</v>
      </c>
      <c r="U548" s="7">
        <v>3.20142324606375</v>
      </c>
      <c r="V548">
        <v>5.10132441247649</v>
      </c>
      <c r="Y548">
        <v>0.0054607</v>
      </c>
      <c r="Z548" s="8">
        <v>25.7294599593459</v>
      </c>
      <c r="AA548">
        <v>0.634739267190976</v>
      </c>
      <c r="AD548" s="9">
        <v>3.43812</v>
      </c>
      <c r="AE548">
        <v>4.75012464946388</v>
      </c>
      <c r="AH548">
        <v>10.1506</v>
      </c>
      <c r="AI548" s="10">
        <v>13.8416312336217</v>
      </c>
      <c r="AJ548">
        <v>1.17988250692196</v>
      </c>
    </row>
    <row r="549" customFormat="1" spans="1:36">
      <c r="A549" s="1" t="s">
        <v>591</v>
      </c>
      <c r="B549" s="1">
        <v>407765828</v>
      </c>
      <c r="C549" s="2">
        <v>0.88159</v>
      </c>
      <c r="E549">
        <v>33.77801</v>
      </c>
      <c r="F549">
        <v>12071.931615</v>
      </c>
      <c r="G549" s="3">
        <v>12.071931615</v>
      </c>
      <c r="H549" s="4"/>
      <c r="I549" t="s">
        <v>591</v>
      </c>
      <c r="J549">
        <v>88.762</v>
      </c>
      <c r="K549" s="5">
        <v>4.59392339064014</v>
      </c>
      <c r="L549">
        <v>0.38054584279884</v>
      </c>
      <c r="O549">
        <v>0.1994224</v>
      </c>
      <c r="P549" s="6">
        <v>2.04473433275299</v>
      </c>
      <c r="Q549" s="4">
        <v>2.24670917735067</v>
      </c>
      <c r="R549" s="4"/>
      <c r="T549">
        <v>149.51</v>
      </c>
      <c r="U549" s="7">
        <v>2.72734819075647</v>
      </c>
      <c r="V549">
        <v>1.68439196953651</v>
      </c>
      <c r="Y549">
        <v>0.0552417</v>
      </c>
      <c r="Z549" s="8">
        <v>7.38148587027553</v>
      </c>
      <c r="AA549">
        <v>0.622357540388905</v>
      </c>
      <c r="AD549" s="9">
        <v>1.237518</v>
      </c>
      <c r="AE549">
        <v>3.71220733002683</v>
      </c>
      <c r="AH549">
        <v>474.8298</v>
      </c>
      <c r="AI549" s="10">
        <v>0.858762082750493</v>
      </c>
      <c r="AJ549">
        <v>5.3494716207386</v>
      </c>
    </row>
    <row r="550" customFormat="1" spans="1:36">
      <c r="A550" s="1" t="s">
        <v>352</v>
      </c>
      <c r="B550" s="1">
        <v>29324434</v>
      </c>
      <c r="C550" s="2">
        <v>0.884462</v>
      </c>
      <c r="E550">
        <v>2.195521</v>
      </c>
      <c r="F550">
        <v>13356.479902</v>
      </c>
      <c r="G550" s="3">
        <v>13.356479902</v>
      </c>
      <c r="H550" s="4"/>
      <c r="I550" t="s">
        <v>352</v>
      </c>
      <c r="J550">
        <v>1.00305</v>
      </c>
      <c r="K550" s="5">
        <v>29.235266437366</v>
      </c>
      <c r="L550">
        <v>2.18884516368631</v>
      </c>
      <c r="O550">
        <v>0.0022208</v>
      </c>
      <c r="P550" s="6">
        <v>13.2044461455331</v>
      </c>
      <c r="Q550" s="4">
        <v>2.21404715617367</v>
      </c>
      <c r="R550" s="4"/>
      <c r="T550">
        <v>18.008</v>
      </c>
      <c r="U550" s="7">
        <v>1.62841148378498</v>
      </c>
      <c r="V550">
        <v>17.9532426100394</v>
      </c>
      <c r="Y550">
        <v>0.00215764</v>
      </c>
      <c r="Z550" s="8">
        <v>13.5909762518307</v>
      </c>
      <c r="AA550">
        <v>2.15107920841434</v>
      </c>
      <c r="AD550" s="9">
        <v>3.49776</v>
      </c>
      <c r="AE550">
        <v>8.35828256866281</v>
      </c>
      <c r="AH550">
        <v>1.9638</v>
      </c>
      <c r="AI550" s="10">
        <v>14.9324951624402</v>
      </c>
      <c r="AJ550">
        <v>1.95782862270076</v>
      </c>
    </row>
    <row r="551" customFormat="1" spans="1:36">
      <c r="A551" s="1" t="s">
        <v>630</v>
      </c>
      <c r="B551" s="1">
        <v>26088428220</v>
      </c>
      <c r="C551" s="2">
        <v>0.884939</v>
      </c>
      <c r="E551">
        <v>154385.839604</v>
      </c>
      <c r="F551">
        <v>168.982002</v>
      </c>
      <c r="G551" s="3">
        <v>0.168982002</v>
      </c>
      <c r="H551" s="4"/>
      <c r="I551" t="s">
        <v>630</v>
      </c>
      <c r="J551">
        <v>225439</v>
      </c>
      <c r="K551" s="5">
        <v>0.115722781861169</v>
      </c>
      <c r="L551">
        <v>0.684823120163819</v>
      </c>
      <c r="O551" t="e">
        <v>#VALUE!</v>
      </c>
      <c r="P551" s="6" t="e">
        <v>#VALUE!</v>
      </c>
      <c r="Q551" s="4" t="e">
        <v>#VALUE!</v>
      </c>
      <c r="R551" s="4"/>
      <c r="T551">
        <v>0</v>
      </c>
      <c r="U551" s="7" t="e">
        <v>#DIV/0!</v>
      </c>
      <c r="V551" t="e">
        <v>#DIV/0!</v>
      </c>
      <c r="Y551" t="s">
        <v>626</v>
      </c>
      <c r="Z551" s="8" t="e">
        <v>#VALUE!</v>
      </c>
      <c r="AA551" t="e">
        <v>#VALUE!</v>
      </c>
      <c r="AD551" s="9">
        <v>0</v>
      </c>
      <c r="AE551" t="e">
        <v>#DIV/0!</v>
      </c>
      <c r="AH551" t="s">
        <v>623</v>
      </c>
      <c r="AI551" s="10" t="e">
        <v>#VALUE!</v>
      </c>
      <c r="AJ551" t="e">
        <v>#VALUE!</v>
      </c>
    </row>
    <row r="552" customFormat="1" spans="1:36">
      <c r="A552" s="1" t="s">
        <v>353</v>
      </c>
      <c r="B552" s="1">
        <v>29324434</v>
      </c>
      <c r="C552" s="2">
        <v>0.88694</v>
      </c>
      <c r="E552">
        <v>1.888858</v>
      </c>
      <c r="F552">
        <v>15524.95258</v>
      </c>
      <c r="G552" s="3">
        <v>15.52495258</v>
      </c>
      <c r="H552" s="4"/>
      <c r="I552" t="s">
        <v>353</v>
      </c>
      <c r="J552">
        <v>0.963772</v>
      </c>
      <c r="K552" s="5">
        <v>30.4267337088025</v>
      </c>
      <c r="L552">
        <v>1.95986000936323</v>
      </c>
      <c r="O552">
        <v>0.0023728</v>
      </c>
      <c r="P552" s="6">
        <v>12.3585780512475</v>
      </c>
      <c r="Q552" s="4">
        <v>2.46199308550155</v>
      </c>
      <c r="R552" s="4"/>
      <c r="T552">
        <v>17.323</v>
      </c>
      <c r="U552" s="7">
        <v>1.69280344051261</v>
      </c>
      <c r="V552">
        <v>17.9741681642546</v>
      </c>
      <c r="Y552">
        <v>0.00219527</v>
      </c>
      <c r="Z552" s="8">
        <v>13.3580078988006</v>
      </c>
      <c r="AA552">
        <v>2.27778976770439</v>
      </c>
      <c r="AD552" s="9">
        <v>3.4629</v>
      </c>
      <c r="AE552">
        <v>8.7864892745394</v>
      </c>
      <c r="AH552">
        <v>1.9748</v>
      </c>
      <c r="AI552" s="10">
        <v>14.8493184119911</v>
      </c>
      <c r="AJ552">
        <v>2.04903234374935</v>
      </c>
    </row>
    <row r="553" customFormat="1" spans="1:36">
      <c r="A553" s="1" t="s">
        <v>354</v>
      </c>
      <c r="B553" s="1">
        <v>29324434</v>
      </c>
      <c r="C553" s="2">
        <v>0.88694</v>
      </c>
      <c r="E553">
        <v>2.18322</v>
      </c>
      <c r="F553">
        <v>13431.738558</v>
      </c>
      <c r="G553" s="3">
        <v>13.431738558</v>
      </c>
      <c r="H553" s="4"/>
      <c r="I553" t="s">
        <v>354</v>
      </c>
      <c r="J553">
        <v>0.974081</v>
      </c>
      <c r="K553" s="5">
        <v>30.104718190787</v>
      </c>
      <c r="L553">
        <v>2.24131210273271</v>
      </c>
      <c r="O553">
        <v>0.0022096</v>
      </c>
      <c r="P553" s="6">
        <v>13.2713767197683</v>
      </c>
      <c r="Q553" s="4">
        <v>2.26839451749906</v>
      </c>
      <c r="R553" s="4"/>
      <c r="T553">
        <v>17.145</v>
      </c>
      <c r="U553" s="7">
        <v>1.71037818606008</v>
      </c>
      <c r="V553">
        <v>17.6012056492222</v>
      </c>
      <c r="Y553">
        <v>0.00221785</v>
      </c>
      <c r="Z553" s="8">
        <v>13.2220096038957</v>
      </c>
      <c r="AA553">
        <v>2.27686403902756</v>
      </c>
      <c r="AD553" s="9">
        <v>3.51108</v>
      </c>
      <c r="AE553">
        <v>8.57420457260644</v>
      </c>
      <c r="AH553">
        <v>1.9318</v>
      </c>
      <c r="AI553" s="10">
        <v>15.1798498809401</v>
      </c>
      <c r="AJ553">
        <v>1.98320262893948</v>
      </c>
    </row>
    <row r="554" customFormat="1" spans="1:36">
      <c r="A554" s="1" t="s">
        <v>89</v>
      </c>
      <c r="B554" s="1">
        <v>3236648</v>
      </c>
      <c r="C554" s="2">
        <v>0.88936</v>
      </c>
      <c r="E554">
        <v>1.431539</v>
      </c>
      <c r="F554">
        <v>2260.956211</v>
      </c>
      <c r="G554" s="3">
        <v>2.260956211</v>
      </c>
      <c r="H554" s="4"/>
      <c r="I554" t="s">
        <v>89</v>
      </c>
      <c r="J554">
        <v>0.768524</v>
      </c>
      <c r="K554" s="5">
        <v>4.21151193716787</v>
      </c>
      <c r="L554">
        <v>1.86271273927289</v>
      </c>
      <c r="O554">
        <v>0.0010272</v>
      </c>
      <c r="P554" s="6">
        <v>3.15094236760125</v>
      </c>
      <c r="Q554" s="4">
        <v>1.33658805710687</v>
      </c>
      <c r="R554" s="4"/>
      <c r="T554">
        <v>5.347</v>
      </c>
      <c r="U554" s="7">
        <v>0.605320366560688</v>
      </c>
      <c r="V554">
        <v>6.95749254414957</v>
      </c>
      <c r="Y554">
        <v>0.00289622</v>
      </c>
      <c r="Z554" s="8">
        <v>1.11754217566345</v>
      </c>
      <c r="AA554">
        <v>3.76854854240076</v>
      </c>
      <c r="AD554" s="9">
        <v>1.810158</v>
      </c>
      <c r="AE554">
        <v>2.32659907984158</v>
      </c>
      <c r="AH554">
        <v>1.154</v>
      </c>
      <c r="AI554" s="10">
        <v>2.80472097053726</v>
      </c>
      <c r="AJ554">
        <v>1.50157965138369</v>
      </c>
    </row>
    <row r="555" customFormat="1" spans="1:36">
      <c r="A555" s="1" t="s">
        <v>586</v>
      </c>
      <c r="B555" s="1">
        <v>385191344</v>
      </c>
      <c r="C555" s="2">
        <v>0.891726</v>
      </c>
      <c r="E555">
        <v>31.983075</v>
      </c>
      <c r="F555">
        <v>12043.599571</v>
      </c>
      <c r="G555" s="3">
        <v>12.043599571</v>
      </c>
      <c r="H555" s="4"/>
      <c r="I555" t="s">
        <v>586</v>
      </c>
      <c r="J555">
        <v>84.2741</v>
      </c>
      <c r="K555" s="5">
        <v>4.57069661972065</v>
      </c>
      <c r="L555">
        <v>0.379512503116303</v>
      </c>
      <c r="O555">
        <v>0.1831376</v>
      </c>
      <c r="P555" s="6">
        <v>2.10328924262412</v>
      </c>
      <c r="Q555" s="4">
        <v>2.17311843140419</v>
      </c>
      <c r="R555" s="4"/>
      <c r="T555">
        <v>140.755</v>
      </c>
      <c r="U555" s="7">
        <v>2.736608603602</v>
      </c>
      <c r="V555">
        <v>1.67020472482056</v>
      </c>
      <c r="Y555">
        <v>0.0559318</v>
      </c>
      <c r="Z555" s="8">
        <v>6.88680400058643</v>
      </c>
      <c r="AA555">
        <v>0.663689081224243</v>
      </c>
      <c r="AD555" s="9">
        <v>1.241649</v>
      </c>
      <c r="AE555">
        <v>3.68115032486689</v>
      </c>
      <c r="AH555">
        <v>448.9012</v>
      </c>
      <c r="AI555" s="10">
        <v>0.858075995341514</v>
      </c>
      <c r="AJ555">
        <v>5.32668043918594</v>
      </c>
    </row>
    <row r="556" customFormat="1" spans="1:36">
      <c r="A556" s="1" t="s">
        <v>341</v>
      </c>
      <c r="B556" s="1">
        <v>26124212</v>
      </c>
      <c r="C556" s="2">
        <v>0.903485</v>
      </c>
      <c r="E556">
        <v>2.125016</v>
      </c>
      <c r="F556">
        <v>12293.656716</v>
      </c>
      <c r="G556" s="3">
        <v>12.293656716</v>
      </c>
      <c r="H556" s="4"/>
      <c r="I556" t="s">
        <v>341</v>
      </c>
      <c r="J556">
        <v>1.47593</v>
      </c>
      <c r="K556" s="5">
        <v>17.7001700622658</v>
      </c>
      <c r="L556">
        <v>1.43978073173536</v>
      </c>
      <c r="O556">
        <v>0.0025088</v>
      </c>
      <c r="P556" s="6">
        <v>10.4130309311224</v>
      </c>
      <c r="Q556" s="4">
        <v>1.69980961156694</v>
      </c>
      <c r="R556" s="4"/>
      <c r="T556">
        <v>8.355</v>
      </c>
      <c r="U556" s="7">
        <v>3.12677582286056</v>
      </c>
      <c r="V556">
        <v>5.66083757359766</v>
      </c>
      <c r="Y556">
        <v>0.00276283</v>
      </c>
      <c r="Z556" s="8">
        <v>9.45559878819906</v>
      </c>
      <c r="AA556">
        <v>1.8719248202828</v>
      </c>
      <c r="AD556" s="9">
        <v>3.52206</v>
      </c>
      <c r="AE556">
        <v>5.02551633483411</v>
      </c>
      <c r="AH556">
        <v>2.1091</v>
      </c>
      <c r="AI556" s="10">
        <v>12.3864264378171</v>
      </c>
      <c r="AJ556">
        <v>1.42899731017054</v>
      </c>
    </row>
    <row r="557" customFormat="1" spans="1:36">
      <c r="A557" s="1" t="s">
        <v>41</v>
      </c>
      <c r="B557" s="1">
        <v>1613608</v>
      </c>
      <c r="C557" s="2">
        <v>0.904236</v>
      </c>
      <c r="E557">
        <v>0.905211</v>
      </c>
      <c r="F557">
        <v>1782.577641</v>
      </c>
      <c r="G557" s="3">
        <v>1.782577641</v>
      </c>
      <c r="H557" s="4"/>
      <c r="I557" t="s">
        <v>41</v>
      </c>
      <c r="J557">
        <v>0.397619</v>
      </c>
      <c r="K557" s="5">
        <v>4.05817629439237</v>
      </c>
      <c r="L557">
        <v>2.27657758128044</v>
      </c>
      <c r="O557">
        <v>0.000624</v>
      </c>
      <c r="P557" s="6">
        <v>2.58591025641026</v>
      </c>
      <c r="Q557" s="4">
        <v>1.56934150531036</v>
      </c>
      <c r="R557" s="4"/>
      <c r="T557">
        <v>2.635</v>
      </c>
      <c r="U557" s="7">
        <v>0.61237495256167</v>
      </c>
      <c r="V557">
        <v>6.62694690143077</v>
      </c>
      <c r="Y557">
        <v>0.0025529</v>
      </c>
      <c r="Z557" s="8">
        <v>0.632068627835011</v>
      </c>
      <c r="AA557">
        <v>6.42046783478657</v>
      </c>
      <c r="AD557" s="9">
        <v>1.826067</v>
      </c>
      <c r="AE557">
        <v>2.22235892461359</v>
      </c>
      <c r="AH557">
        <v>0.7439</v>
      </c>
      <c r="AI557" s="10">
        <v>2.16911950530985</v>
      </c>
      <c r="AJ557">
        <v>1.87088645160317</v>
      </c>
    </row>
    <row r="558" customFormat="1" spans="1:36">
      <c r="A558" s="1" t="s">
        <v>340</v>
      </c>
      <c r="B558" s="1">
        <v>26124212</v>
      </c>
      <c r="C558" s="2">
        <v>0.905292</v>
      </c>
      <c r="E558">
        <v>2.150868</v>
      </c>
      <c r="F558">
        <v>12145.891305</v>
      </c>
      <c r="G558" s="3">
        <v>12.145891305</v>
      </c>
      <c r="H558" s="4"/>
      <c r="I558" t="s">
        <v>340</v>
      </c>
      <c r="J558">
        <v>1.36986</v>
      </c>
      <c r="K558" s="5">
        <v>19.0707167155768</v>
      </c>
      <c r="L558">
        <v>1.57013727825195</v>
      </c>
      <c r="O558">
        <v>0.0024448</v>
      </c>
      <c r="P558" s="6">
        <v>10.6856233638743</v>
      </c>
      <c r="Q558" s="4">
        <v>1.78470792635744</v>
      </c>
      <c r="R558" s="4"/>
      <c r="T558">
        <v>8.403</v>
      </c>
      <c r="U558" s="7">
        <v>3.10891491134119</v>
      </c>
      <c r="V558">
        <v>6.13420349524769</v>
      </c>
      <c r="Y558">
        <v>0.00279705</v>
      </c>
      <c r="Z558" s="8">
        <v>9.33991598291057</v>
      </c>
      <c r="AA558">
        <v>2.04185099207218</v>
      </c>
      <c r="AD558" s="9">
        <v>3.47832</v>
      </c>
      <c r="AE558">
        <v>5.48273784918489</v>
      </c>
      <c r="AH558">
        <v>2.2147</v>
      </c>
      <c r="AI558" s="10">
        <v>11.7958242651375</v>
      </c>
      <c r="AJ558">
        <v>1.61673455681602</v>
      </c>
    </row>
    <row r="559" customFormat="1" spans="1:36">
      <c r="A559" s="1" t="s">
        <v>632</v>
      </c>
      <c r="B559" s="1">
        <v>26088428220</v>
      </c>
      <c r="C559" s="2">
        <v>0.905336</v>
      </c>
      <c r="E559">
        <v>154252.716847</v>
      </c>
      <c r="F559">
        <v>169.127836</v>
      </c>
      <c r="G559" s="3">
        <v>0.169127836</v>
      </c>
      <c r="H559" s="4"/>
      <c r="I559" t="s">
        <v>632</v>
      </c>
      <c r="J559">
        <v>216202</v>
      </c>
      <c r="K559" s="5">
        <v>0.12066691436712</v>
      </c>
      <c r="L559">
        <v>0.713465726405437</v>
      </c>
      <c r="O559" t="e">
        <v>#VALUE!</v>
      </c>
      <c r="P559" s="6" t="e">
        <v>#VALUE!</v>
      </c>
      <c r="Q559" s="4" t="e">
        <v>#VALUE!</v>
      </c>
      <c r="R559" s="4"/>
      <c r="T559">
        <v>0</v>
      </c>
      <c r="U559" s="7" t="e">
        <v>#DIV/0!</v>
      </c>
      <c r="V559" t="e">
        <v>#DIV/0!</v>
      </c>
      <c r="Y559" t="s">
        <v>626</v>
      </c>
      <c r="Z559" s="8" t="e">
        <v>#VALUE!</v>
      </c>
      <c r="AA559" t="e">
        <v>#VALUE!</v>
      </c>
      <c r="AD559" s="9">
        <v>0</v>
      </c>
      <c r="AE559" t="e">
        <v>#DIV/0!</v>
      </c>
      <c r="AH559" t="s">
        <v>623</v>
      </c>
      <c r="AI559" s="10" t="e">
        <v>#VALUE!</v>
      </c>
      <c r="AJ559" t="e">
        <v>#VALUE!</v>
      </c>
    </row>
    <row r="560" customFormat="1" spans="1:36">
      <c r="A560" s="1" t="s">
        <v>213</v>
      </c>
      <c r="B560" s="1">
        <v>10532754</v>
      </c>
      <c r="C560" s="2">
        <v>0.910555</v>
      </c>
      <c r="E560">
        <v>1.250212</v>
      </c>
      <c r="F560">
        <v>8424.771147</v>
      </c>
      <c r="G560" s="3">
        <v>8.424771147</v>
      </c>
      <c r="H560" s="4"/>
      <c r="I560" t="s">
        <v>213</v>
      </c>
      <c r="J560">
        <v>0.645351</v>
      </c>
      <c r="K560" s="5">
        <v>16.320969518913</v>
      </c>
      <c r="L560">
        <v>1.93725968743077</v>
      </c>
      <c r="O560">
        <v>0.0010992</v>
      </c>
      <c r="P560" s="6">
        <v>9.58219978165939</v>
      </c>
      <c r="Q560" s="4">
        <v>1.70325915664499</v>
      </c>
      <c r="R560" s="4"/>
      <c r="T560">
        <v>14.381</v>
      </c>
      <c r="U560" s="7">
        <v>0.732407621166817</v>
      </c>
      <c r="V560">
        <v>22.2839973905673</v>
      </c>
      <c r="Y560">
        <v>0.0188911</v>
      </c>
      <c r="Z560" s="8">
        <v>0.5575511219569</v>
      </c>
      <c r="AA560">
        <v>29.2725973927367</v>
      </c>
      <c r="AD560" s="9">
        <v>3.11427</v>
      </c>
      <c r="AE560">
        <v>5.24070472981243</v>
      </c>
      <c r="AH560">
        <v>1.2543</v>
      </c>
      <c r="AI560" s="10">
        <v>8.39731643147572</v>
      </c>
      <c r="AJ560">
        <v>1.94359348633534</v>
      </c>
    </row>
    <row r="561" customFormat="1" spans="1:37">
      <c r="A561" s="1" t="s">
        <v>212</v>
      </c>
      <c r="B561" s="1">
        <v>10532754</v>
      </c>
      <c r="C561" s="2">
        <v>0.911765</v>
      </c>
      <c r="E561">
        <v>1.286116</v>
      </c>
      <c r="F561">
        <v>8189.582408</v>
      </c>
      <c r="G561" s="3">
        <v>8.189582408</v>
      </c>
      <c r="H561" s="4"/>
      <c r="I561" t="s">
        <v>212</v>
      </c>
      <c r="J561">
        <v>0.64012</v>
      </c>
      <c r="K561" s="5">
        <v>16.4543429356996</v>
      </c>
      <c r="L561">
        <v>2.00917972565074</v>
      </c>
      <c r="O561">
        <v>0.0010976</v>
      </c>
      <c r="P561" s="6">
        <v>9.59616800291545</v>
      </c>
      <c r="Q561" s="4">
        <v>1.71467849778167</v>
      </c>
      <c r="R561" s="4"/>
      <c r="T561">
        <v>14.41</v>
      </c>
      <c r="U561" s="7">
        <v>0.730933657182512</v>
      </c>
      <c r="V561">
        <v>22.5114041117291</v>
      </c>
      <c r="Y561">
        <v>0.00280927</v>
      </c>
      <c r="Z561" s="8">
        <v>3.74928504558124</v>
      </c>
      <c r="AA561">
        <v>4.38866150096857</v>
      </c>
      <c r="AD561" s="9">
        <v>3.05583</v>
      </c>
      <c r="AE561">
        <v>5.38457405539561</v>
      </c>
      <c r="AH561">
        <v>1.3032</v>
      </c>
      <c r="AI561" s="10">
        <v>8.08222375690608</v>
      </c>
      <c r="AJ561">
        <v>2.03586827469849</v>
      </c>
    </row>
    <row r="562" customFormat="1" spans="1:37">
      <c r="A562" s="1" t="s">
        <v>215</v>
      </c>
      <c r="B562" s="1">
        <v>10532754</v>
      </c>
      <c r="C562" s="2">
        <v>0.912966</v>
      </c>
      <c r="E562">
        <v>1.801582</v>
      </c>
      <c r="F562">
        <v>5846.390289</v>
      </c>
      <c r="G562" s="3">
        <v>5.846390289</v>
      </c>
      <c r="H562" s="4"/>
      <c r="I562" t="s">
        <v>215</v>
      </c>
      <c r="J562">
        <v>0.692391</v>
      </c>
      <c r="K562" s="5">
        <v>15.2121474715876</v>
      </c>
      <c r="L562">
        <v>2.60197262235627</v>
      </c>
      <c r="O562">
        <v>0.0010928</v>
      </c>
      <c r="P562" s="6">
        <v>9.63831808199122</v>
      </c>
      <c r="Q562" s="4">
        <v>1.5782989669132</v>
      </c>
      <c r="R562" s="4"/>
      <c r="T562">
        <v>14.997</v>
      </c>
      <c r="U562" s="7">
        <v>0.702324064812963</v>
      </c>
      <c r="V562">
        <v>21.6597269461908</v>
      </c>
      <c r="Y562">
        <v>0.0195783</v>
      </c>
      <c r="Z562" s="8">
        <v>0.537981030017928</v>
      </c>
      <c r="AA562">
        <v>28.2763640775227</v>
      </c>
      <c r="AD562" s="9">
        <v>3.09381</v>
      </c>
      <c r="AE562">
        <v>4.916962409323</v>
      </c>
      <c r="AH562">
        <v>1.2713</v>
      </c>
      <c r="AI562" s="10">
        <v>8.28502635097931</v>
      </c>
      <c r="AJ562">
        <v>1.8361012780351</v>
      </c>
    </row>
    <row r="563" customFormat="1" spans="1:37">
      <c r="A563" s="1" t="s">
        <v>211</v>
      </c>
      <c r="B563" s="1">
        <v>10532754</v>
      </c>
      <c r="C563" s="2">
        <v>0.915044</v>
      </c>
      <c r="E563">
        <v>1.356136</v>
      </c>
      <c r="F563">
        <v>7766.740293</v>
      </c>
      <c r="G563" s="3">
        <v>7.766740293</v>
      </c>
      <c r="H563" s="4"/>
      <c r="I563" t="s">
        <v>211</v>
      </c>
      <c r="J563">
        <v>0.644862</v>
      </c>
      <c r="K563" s="5">
        <v>16.3333457390884</v>
      </c>
      <c r="L563">
        <v>2.10298595329745</v>
      </c>
      <c r="O563">
        <v>0.0010976</v>
      </c>
      <c r="P563" s="6">
        <v>9.59616800291545</v>
      </c>
      <c r="Q563" s="4">
        <v>1.70206959008284</v>
      </c>
      <c r="R563" s="4"/>
      <c r="T563">
        <v>14.663</v>
      </c>
      <c r="U563" s="7">
        <v>0.718321898656482</v>
      </c>
      <c r="V563">
        <v>22.7381982501682</v>
      </c>
      <c r="Y563">
        <v>0.00266885</v>
      </c>
      <c r="Z563" s="8">
        <v>3.94655151095041</v>
      </c>
      <c r="AA563">
        <v>4.13863741389631</v>
      </c>
      <c r="AD563" s="9">
        <v>3.06762</v>
      </c>
      <c r="AE563">
        <v>5.32443579683545</v>
      </c>
      <c r="AH563">
        <v>1.2596</v>
      </c>
      <c r="AI563" s="10">
        <v>8.36198316926008</v>
      </c>
      <c r="AJ563">
        <v>1.95328612943545</v>
      </c>
    </row>
    <row r="564" customFormat="1" spans="1:37">
      <c r="A564" s="1" t="s">
        <v>216</v>
      </c>
      <c r="B564" s="1">
        <v>10532754</v>
      </c>
      <c r="C564" s="2">
        <v>0.915044</v>
      </c>
      <c r="E564">
        <v>1.262987</v>
      </c>
      <c r="F564">
        <v>8339.56046</v>
      </c>
      <c r="G564" s="3">
        <v>8.33956046</v>
      </c>
      <c r="H564" s="4"/>
      <c r="I564" t="s">
        <v>216</v>
      </c>
      <c r="J564">
        <v>0.648505</v>
      </c>
      <c r="K564" s="5">
        <v>16.2415925860248</v>
      </c>
      <c r="L564">
        <v>1.9475358040662</v>
      </c>
      <c r="O564">
        <v>0.0011024</v>
      </c>
      <c r="P564" s="6">
        <v>9.55438497822932</v>
      </c>
      <c r="Q564" s="4">
        <v>1.6999097925228</v>
      </c>
      <c r="R564" s="4"/>
      <c r="T564">
        <v>16.99</v>
      </c>
      <c r="U564" s="7">
        <v>0.619938434373161</v>
      </c>
      <c r="V564">
        <v>26.1987185912214</v>
      </c>
      <c r="Y564">
        <v>0.0181083</v>
      </c>
      <c r="Z564" s="8">
        <v>0.581653385464124</v>
      </c>
      <c r="AA564">
        <v>27.923146313444</v>
      </c>
      <c r="AD564" s="9">
        <v>3.11499</v>
      </c>
      <c r="AE564">
        <v>5.21401114803732</v>
      </c>
      <c r="AH564">
        <v>1.2604</v>
      </c>
      <c r="AI564" s="10">
        <v>8.35667565852111</v>
      </c>
      <c r="AJ564">
        <v>1.94354708136406</v>
      </c>
    </row>
    <row r="565" customFormat="1" spans="1:37">
      <c r="A565" s="1" t="s">
        <v>214</v>
      </c>
      <c r="B565" s="1">
        <v>10532754</v>
      </c>
      <c r="C565" s="2">
        <v>0.917254</v>
      </c>
      <c r="E565">
        <v>1.29686</v>
      </c>
      <c r="F565">
        <v>8121.737891</v>
      </c>
      <c r="G565" s="3">
        <v>8.121737891</v>
      </c>
      <c r="H565" s="4"/>
      <c r="I565" t="s">
        <v>214</v>
      </c>
      <c r="J565">
        <v>0.686179</v>
      </c>
      <c r="K565" s="5">
        <v>15.3498635195773</v>
      </c>
      <c r="L565">
        <v>1.88997277745038</v>
      </c>
      <c r="O565">
        <v>0.0011056</v>
      </c>
      <c r="P565" s="6">
        <v>9.52673118668596</v>
      </c>
      <c r="Q565" s="4">
        <v>1.611241381622</v>
      </c>
      <c r="R565" s="4"/>
      <c r="T565">
        <v>14.492</v>
      </c>
      <c r="U565" s="7">
        <v>0.726797819486613</v>
      </c>
      <c r="V565">
        <v>21.1198535659063</v>
      </c>
      <c r="Y565">
        <v>0.00265105</v>
      </c>
      <c r="Z565" s="8">
        <v>3.97304992361517</v>
      </c>
      <c r="AA565">
        <v>3.86349625972232</v>
      </c>
      <c r="AD565" s="9">
        <v>3.02742</v>
      </c>
      <c r="AE565">
        <v>5.07027882473435</v>
      </c>
      <c r="AH565">
        <v>1.2605</v>
      </c>
      <c r="AI565" s="10">
        <v>8.35601269337564</v>
      </c>
      <c r="AJ565">
        <v>1.83698422714773</v>
      </c>
    </row>
    <row r="566" customFormat="1" spans="1:37">
      <c r="A566" s="1" t="s">
        <v>610</v>
      </c>
      <c r="B566" s="1">
        <v>1040988978</v>
      </c>
      <c r="C566" s="2">
        <v>0.932452</v>
      </c>
      <c r="E566">
        <v>207.871255</v>
      </c>
      <c r="F566">
        <v>5007.854385</v>
      </c>
      <c r="G566" s="3">
        <v>5.007854385</v>
      </c>
      <c r="H566" s="4"/>
      <c r="I566" t="s">
        <v>610</v>
      </c>
      <c r="J566">
        <v>124.038</v>
      </c>
      <c r="K566" s="5">
        <v>8.39250050790887</v>
      </c>
      <c r="L566">
        <v>1.67586751983981</v>
      </c>
      <c r="O566">
        <v>0.5042944</v>
      </c>
      <c r="P566" s="6">
        <v>2.06424853815549</v>
      </c>
      <c r="Q566" s="4">
        <v>4.06564439929699</v>
      </c>
      <c r="R566" s="4"/>
      <c r="T566">
        <v>394.389</v>
      </c>
      <c r="U566" s="7">
        <v>2.63949800324046</v>
      </c>
      <c r="V566">
        <v>3.17958206356117</v>
      </c>
      <c r="Y566">
        <v>1.15393</v>
      </c>
      <c r="Z566" s="8">
        <v>0.902124893191095</v>
      </c>
      <c r="AA566">
        <v>9.30303616633612</v>
      </c>
      <c r="AD566" s="9">
        <v>1.301025</v>
      </c>
      <c r="AE566">
        <v>6.45068350562738</v>
      </c>
      <c r="AH566">
        <v>1018.6417</v>
      </c>
      <c r="AI566" s="10">
        <v>1.02193831059537</v>
      </c>
      <c r="AJ566">
        <v>8.21233573582289</v>
      </c>
    </row>
    <row r="567" customFormat="1" spans="1:37">
      <c r="A567" s="1" t="s">
        <v>609</v>
      </c>
      <c r="B567" s="1">
        <v>1040988978</v>
      </c>
      <c r="C567" s="2">
        <v>0.932452</v>
      </c>
      <c r="E567">
        <v>215.452721</v>
      </c>
      <c r="F567">
        <v>4831.635335</v>
      </c>
      <c r="G567" s="3">
        <v>4.831635335</v>
      </c>
      <c r="H567" s="4"/>
      <c r="I567" t="s">
        <v>609</v>
      </c>
      <c r="J567">
        <v>393.102</v>
      </c>
      <c r="K567" s="5">
        <v>2.64813961261963</v>
      </c>
      <c r="L567">
        <v>0.548083501550024</v>
      </c>
      <c r="O567">
        <v>0.5048352</v>
      </c>
      <c r="P567" s="6">
        <v>2.06203723115979</v>
      </c>
      <c r="Q567" s="4">
        <v>1.28423462612757</v>
      </c>
      <c r="R567" s="4"/>
      <c r="T567">
        <v>396.749</v>
      </c>
      <c r="U567" s="7">
        <v>2.62379735802737</v>
      </c>
      <c r="V567">
        <v>1.00927749032058</v>
      </c>
      <c r="Y567">
        <v>1.13537</v>
      </c>
      <c r="Z567" s="8">
        <v>0.916872013528629</v>
      </c>
      <c r="AA567">
        <v>2.8882325706814</v>
      </c>
      <c r="AD567" s="9">
        <v>1.292139</v>
      </c>
      <c r="AE567">
        <v>2.04942317554042</v>
      </c>
      <c r="AH567">
        <v>1020.9533</v>
      </c>
      <c r="AI567" s="10">
        <v>1.01962448037535</v>
      </c>
      <c r="AJ567">
        <v>2.59717147203525</v>
      </c>
    </row>
    <row r="568" customFormat="1" spans="1:37">
      <c r="A568" s="1" t="s">
        <v>608</v>
      </c>
      <c r="B568" s="1">
        <v>1040987838</v>
      </c>
      <c r="C568" s="2">
        <v>0.932529</v>
      </c>
      <c r="E568">
        <v>210.932318</v>
      </c>
      <c r="F568">
        <v>4935.174683</v>
      </c>
      <c r="G568" s="3">
        <v>4.935174683</v>
      </c>
      <c r="H568" s="4"/>
      <c r="I568" t="s">
        <v>608</v>
      </c>
      <c r="J568">
        <v>365.608</v>
      </c>
      <c r="K568" s="5">
        <v>2.84727860987725</v>
      </c>
      <c r="L568">
        <v>0.576935730296468</v>
      </c>
      <c r="O568">
        <v>0.4946768</v>
      </c>
      <c r="P568" s="6">
        <v>2.10437974451197</v>
      </c>
      <c r="Q568" s="4">
        <v>1.35302509791908</v>
      </c>
      <c r="R568" s="4"/>
      <c r="T568">
        <v>398.198</v>
      </c>
      <c r="U568" s="7">
        <v>2.61424677672916</v>
      </c>
      <c r="V568">
        <v>1.08913918732632</v>
      </c>
      <c r="Y568">
        <v>1.15322</v>
      </c>
      <c r="Z568" s="8">
        <v>0.902679313574166</v>
      </c>
      <c r="AA568">
        <v>3.15425264217413</v>
      </c>
      <c r="AD568" s="9">
        <v>1.303662</v>
      </c>
      <c r="AE568">
        <v>2.18406198069534</v>
      </c>
      <c r="AH568">
        <v>1032.3683</v>
      </c>
      <c r="AI568" s="10">
        <v>1.00834928581205</v>
      </c>
      <c r="AJ568">
        <v>2.82370270891228</v>
      </c>
    </row>
    <row r="569" customFormat="1" spans="1:37">
      <c r="A569" s="1" t="s">
        <v>475</v>
      </c>
      <c r="B569" s="1">
        <v>84723900</v>
      </c>
      <c r="C569" s="2">
        <v>0.934104</v>
      </c>
      <c r="E569">
        <v>6.907163</v>
      </c>
      <c r="F569">
        <v>12266.093285</v>
      </c>
      <c r="G569" s="3">
        <v>12.266093285</v>
      </c>
      <c r="H569" s="4"/>
      <c r="I569" t="s">
        <v>475</v>
      </c>
      <c r="J569">
        <v>4.54252</v>
      </c>
      <c r="K569" s="5">
        <v>18.6512992788144</v>
      </c>
      <c r="L569">
        <v>1.52055742977454</v>
      </c>
      <c r="O569">
        <v>0.0068176</v>
      </c>
      <c r="P569" s="6">
        <v>12.4272324571697</v>
      </c>
      <c r="Q569" s="4">
        <v>1.50084094291274</v>
      </c>
      <c r="R569" s="4"/>
      <c r="T569">
        <v>31.921</v>
      </c>
      <c r="U569" s="7">
        <v>2.65417436797093</v>
      </c>
      <c r="V569">
        <v>7.02715673238643</v>
      </c>
      <c r="Y569">
        <v>0.0046983</v>
      </c>
      <c r="Z569" s="8">
        <v>18.0328842347232</v>
      </c>
      <c r="AA569">
        <v>1.03429374003857</v>
      </c>
      <c r="AD569" s="9">
        <v>3.4572</v>
      </c>
      <c r="AE569">
        <v>5.39491475147935</v>
      </c>
      <c r="AH569">
        <v>6.2365</v>
      </c>
      <c r="AI569" s="10">
        <v>13.5851679627996</v>
      </c>
      <c r="AJ569">
        <v>1.37291635479866</v>
      </c>
    </row>
    <row r="570" customFormat="1" spans="1:37">
      <c r="A570" s="1" t="s">
        <v>603</v>
      </c>
      <c r="B570" s="1">
        <v>533316882</v>
      </c>
      <c r="C570" s="2">
        <v>0.945586</v>
      </c>
      <c r="E570">
        <v>59.371085</v>
      </c>
      <c r="F570">
        <v>8982.771379</v>
      </c>
      <c r="G570" s="3">
        <v>8.982771379</v>
      </c>
      <c r="H570" s="4"/>
      <c r="I570" t="s">
        <v>603</v>
      </c>
      <c r="J570">
        <v>35.6685</v>
      </c>
      <c r="K570" s="5">
        <v>14.9520412128349</v>
      </c>
      <c r="L570">
        <v>1.66452429678772</v>
      </c>
      <c r="O570">
        <v>0.0462</v>
      </c>
      <c r="P570" s="6">
        <v>11.5436554545455</v>
      </c>
      <c r="Q570" s="4">
        <v>1.29526052399176</v>
      </c>
      <c r="R570" s="4"/>
      <c r="T570">
        <v>66.833</v>
      </c>
      <c r="U570" s="7">
        <v>7.97984352041656</v>
      </c>
      <c r="V570">
        <v>1.87372611688184</v>
      </c>
      <c r="Y570">
        <v>0.0540062</v>
      </c>
      <c r="Z570" s="8">
        <v>9.87510474723273</v>
      </c>
      <c r="AA570">
        <v>1.51411469503904</v>
      </c>
      <c r="AD570" s="9">
        <v>3.39345</v>
      </c>
      <c r="AE570">
        <v>4.40614749379978</v>
      </c>
      <c r="AH570">
        <v>54.2815</v>
      </c>
      <c r="AI570" s="10">
        <v>9.82502108453156</v>
      </c>
      <c r="AJ570">
        <v>1.52183298989304</v>
      </c>
    </row>
    <row r="571" customFormat="1" spans="1:37">
      <c r="A571" s="1" t="s">
        <v>667</v>
      </c>
      <c r="B571" s="1">
        <v>948659742</v>
      </c>
      <c r="C571" s="2">
        <v>0.948307</v>
      </c>
      <c r="E571">
        <v>58.185937</v>
      </c>
      <c r="F571">
        <v>16303.935209</v>
      </c>
      <c r="G571" s="3">
        <v>16.303935209</v>
      </c>
      <c r="H571" s="4"/>
      <c r="I571" t="s">
        <v>667</v>
      </c>
      <c r="J571">
        <v>31.8131</v>
      </c>
      <c r="K571" s="5">
        <v>29.8197831082164</v>
      </c>
      <c r="L571">
        <v>1.82899298396104</v>
      </c>
      <c r="O571">
        <v>0.0681216</v>
      </c>
      <c r="P571" s="6">
        <v>13.9259756376832</v>
      </c>
      <c r="Q571" s="4">
        <v>2.14130656867768</v>
      </c>
      <c r="R571" s="4"/>
      <c r="T571">
        <v>131.28</v>
      </c>
      <c r="U571" s="7">
        <v>7.22623203839122</v>
      </c>
      <c r="V571">
        <v>4.12660193442324</v>
      </c>
      <c r="Y571">
        <v>0.0271795</v>
      </c>
      <c r="Z571" s="8">
        <v>34.9035023455178</v>
      </c>
      <c r="AA571">
        <v>0.854349308932484</v>
      </c>
      <c r="AD571" s="9">
        <v>3.62862</v>
      </c>
      <c r="AE571">
        <v>8.21794045896689</v>
      </c>
      <c r="AH571">
        <v>88.2914</v>
      </c>
      <c r="AI571" s="10">
        <v>10.7446449144537</v>
      </c>
      <c r="AJ571">
        <v>2.77531582901383</v>
      </c>
    </row>
    <row r="572" customFormat="1" spans="1:37">
      <c r="A572" s="1" t="s">
        <v>587</v>
      </c>
      <c r="B572" s="1">
        <v>385300368</v>
      </c>
      <c r="C572" s="2">
        <v>0.950735</v>
      </c>
      <c r="E572">
        <v>30.892996</v>
      </c>
      <c r="F572">
        <v>12472.094627</v>
      </c>
      <c r="G572" s="3">
        <v>12.472094627</v>
      </c>
      <c r="H572" s="4"/>
      <c r="I572" t="s">
        <v>587</v>
      </c>
      <c r="J572">
        <v>11.5086</v>
      </c>
      <c r="K572" s="5">
        <v>33.4793430999427</v>
      </c>
      <c r="L572">
        <v>2.68434004882111</v>
      </c>
      <c r="O572">
        <v>0.0262416</v>
      </c>
      <c r="P572" s="6">
        <v>14.6828077556247</v>
      </c>
      <c r="Q572" s="4">
        <v>2.28017308795162</v>
      </c>
      <c r="R572" s="4"/>
      <c r="T572">
        <v>105.779</v>
      </c>
      <c r="U572" s="7">
        <v>3.64250340804886</v>
      </c>
      <c r="V572">
        <v>9.19130041881723</v>
      </c>
      <c r="Y572">
        <v>0.0120196</v>
      </c>
      <c r="Z572" s="8">
        <v>32.0560058571001</v>
      </c>
      <c r="AA572">
        <v>1.0444015779504</v>
      </c>
      <c r="AD572" s="9">
        <v>3.67638</v>
      </c>
      <c r="AE572">
        <v>9.1066057099491</v>
      </c>
      <c r="AH572">
        <v>24.5689</v>
      </c>
      <c r="AI572" s="10">
        <v>15.6824427630053</v>
      </c>
      <c r="AJ572">
        <v>2.13482960568618</v>
      </c>
    </row>
    <row r="573" customFormat="1" spans="1:37">
      <c r="A573" s="1" t="s">
        <v>447</v>
      </c>
      <c r="B573" s="1">
        <v>62797572</v>
      </c>
      <c r="C573" s="2">
        <v>0.952862</v>
      </c>
      <c r="E573">
        <v>4.72054</v>
      </c>
      <c r="F573">
        <v>13303.047146</v>
      </c>
      <c r="G573" s="3">
        <v>13.303047146</v>
      </c>
      <c r="H573" s="4"/>
      <c r="I573" t="s">
        <v>447</v>
      </c>
      <c r="J573">
        <v>1.22946</v>
      </c>
      <c r="K573" s="5">
        <v>51.0773607925431</v>
      </c>
      <c r="L573">
        <v>3.83952339881026</v>
      </c>
      <c r="O573">
        <v>0.004064</v>
      </c>
      <c r="P573" s="6">
        <v>15.4521584645669</v>
      </c>
      <c r="Q573" s="4">
        <v>3.30551624290339</v>
      </c>
      <c r="R573" s="4"/>
      <c r="T573">
        <v>11.581</v>
      </c>
      <c r="U573" s="7">
        <v>5.42246541749417</v>
      </c>
      <c r="V573">
        <v>9.41958258097051</v>
      </c>
      <c r="Y573">
        <v>0.00281302</v>
      </c>
      <c r="Z573" s="8">
        <v>22.3238981592737</v>
      </c>
      <c r="AA573">
        <v>2.28801262342817</v>
      </c>
      <c r="AD573" s="9">
        <v>3.96393</v>
      </c>
      <c r="AE573">
        <v>12.885535514639</v>
      </c>
      <c r="AH573">
        <v>3.2959</v>
      </c>
      <c r="AI573" s="10">
        <v>19.0532394793531</v>
      </c>
      <c r="AJ573">
        <v>2.68077041953378</v>
      </c>
    </row>
    <row r="574" customFormat="1" spans="1:37">
      <c r="A574" s="1" t="s">
        <v>251</v>
      </c>
      <c r="B574" s="1">
        <v>13973776</v>
      </c>
      <c r="C574" s="2">
        <v>0.957786</v>
      </c>
      <c r="E574">
        <v>1.872178</v>
      </c>
      <c r="F574">
        <v>7463.915319</v>
      </c>
      <c r="G574" s="3">
        <v>7.463915319</v>
      </c>
      <c r="H574" s="4"/>
      <c r="I574" t="s">
        <v>251</v>
      </c>
      <c r="J574">
        <v>1.26059</v>
      </c>
      <c r="K574" s="5">
        <v>11.085107766998</v>
      </c>
      <c r="L574">
        <v>1.4851599051211</v>
      </c>
      <c r="O574">
        <v>0.0014096</v>
      </c>
      <c r="P574" s="6">
        <v>9.91329171396141</v>
      </c>
      <c r="Q574" s="4">
        <v>1.11820655407389</v>
      </c>
      <c r="R574" s="4"/>
      <c r="T574">
        <v>7.563</v>
      </c>
      <c r="U574" s="7">
        <v>1.84764987438847</v>
      </c>
      <c r="V574">
        <v>5.99957162915777</v>
      </c>
      <c r="Y574">
        <v>0.00281911</v>
      </c>
      <c r="Z574" s="8">
        <v>4.95680409774716</v>
      </c>
      <c r="AA574">
        <v>2.2363417130074</v>
      </c>
      <c r="AD574" s="9">
        <v>3.01146</v>
      </c>
      <c r="AE574">
        <v>3.6809745993631</v>
      </c>
      <c r="AH574">
        <v>1.6958</v>
      </c>
      <c r="AI574" s="10">
        <v>8.24022644179738</v>
      </c>
      <c r="AJ574">
        <v>1.34524310045296</v>
      </c>
    </row>
    <row r="575" customFormat="1" spans="1:37">
      <c r="A575" s="1" t="s">
        <v>232</v>
      </c>
      <c r="B575" s="1">
        <v>11620478</v>
      </c>
      <c r="C575" s="2">
        <v>0.963855</v>
      </c>
      <c r="E575">
        <v>1.812993</v>
      </c>
      <c r="F575">
        <v>6409.553197</v>
      </c>
      <c r="G575" s="3">
        <v>6.409553197</v>
      </c>
      <c r="H575" s="4"/>
      <c r="I575" t="s">
        <v>232</v>
      </c>
      <c r="J575">
        <v>2.72958</v>
      </c>
      <c r="K575" s="5">
        <v>4.25724030803274</v>
      </c>
      <c r="L575">
        <v>0.664202351893318</v>
      </c>
      <c r="M575">
        <v>3.35218654328922</v>
      </c>
      <c r="O575">
        <v>0.0009872</v>
      </c>
      <c r="P575" s="6">
        <v>11.7711487034036</v>
      </c>
      <c r="Q575" s="4">
        <v>0.361667362744452</v>
      </c>
      <c r="R575" s="4">
        <v>1.4566502694985</v>
      </c>
      <c r="T575">
        <v>2.971</v>
      </c>
      <c r="U575" s="7">
        <v>3.91130191854594</v>
      </c>
      <c r="V575">
        <v>1.08844584148477</v>
      </c>
      <c r="W575">
        <v>14.4767374149562</v>
      </c>
      <c r="Y575">
        <v>0.00185707</v>
      </c>
      <c r="Z575" s="8">
        <v>6.2574259451717</v>
      </c>
      <c r="AA575">
        <v>0.680350090490112</v>
      </c>
      <c r="AB575">
        <v>1.85685765672323</v>
      </c>
      <c r="AD575" s="9">
        <v>3.75843</v>
      </c>
      <c r="AE575">
        <v>1.132717732679</v>
      </c>
      <c r="AF575">
        <v>8.35045910769056</v>
      </c>
      <c r="AH575">
        <v>0.7474</v>
      </c>
      <c r="AI575" s="10">
        <v>15.5478699491571</v>
      </c>
      <c r="AJ575">
        <v>0.273815019160457</v>
      </c>
      <c r="AK575">
        <v>1.94314861259634</v>
      </c>
    </row>
    <row r="576" customFormat="1" spans="1:37">
      <c r="A576" s="1" t="s">
        <v>219</v>
      </c>
      <c r="B576" s="1">
        <v>10532754</v>
      </c>
      <c r="C576" s="2">
        <v>0.965479</v>
      </c>
      <c r="E576">
        <v>1.300467</v>
      </c>
      <c r="F576">
        <v>8099.210912</v>
      </c>
      <c r="G576" s="3">
        <v>8.099210912</v>
      </c>
      <c r="H576" s="4"/>
      <c r="I576" t="s">
        <v>219</v>
      </c>
      <c r="J576">
        <v>0.636571</v>
      </c>
      <c r="K576" s="5">
        <v>16.5460789134284</v>
      </c>
      <c r="L576">
        <v>2.04292480998529</v>
      </c>
      <c r="O576">
        <v>0.0010896</v>
      </c>
      <c r="P576" s="6">
        <v>9.66662444933921</v>
      </c>
      <c r="Q576" s="4">
        <v>1.7116708112685</v>
      </c>
      <c r="R576" s="4"/>
      <c r="T576">
        <v>12.746</v>
      </c>
      <c r="U576" s="7">
        <v>0.826357602385062</v>
      </c>
      <c r="V576">
        <v>20.0229039651508</v>
      </c>
      <c r="Y576">
        <v>0.00255401</v>
      </c>
      <c r="Z576" s="8">
        <v>4.12400656222959</v>
      </c>
      <c r="AA576">
        <v>4.01213690224657</v>
      </c>
      <c r="AD576" s="9">
        <v>3.10194</v>
      </c>
      <c r="AE576">
        <v>5.33410669240164</v>
      </c>
      <c r="AH576">
        <v>1.2493</v>
      </c>
      <c r="AI576" s="10">
        <v>8.43092451772993</v>
      </c>
      <c r="AJ576">
        <v>1.96254620458676</v>
      </c>
    </row>
    <row r="577" customFormat="1" spans="1:36">
      <c r="A577" s="1" t="s">
        <v>218</v>
      </c>
      <c r="B577" s="1">
        <v>10532754</v>
      </c>
      <c r="C577" s="2">
        <v>0.965479</v>
      </c>
      <c r="E577">
        <v>1.280385</v>
      </c>
      <c r="F577">
        <v>8226.242907</v>
      </c>
      <c r="G577" s="3">
        <v>8.226242907</v>
      </c>
      <c r="H577" s="4"/>
      <c r="I577" t="s">
        <v>218</v>
      </c>
      <c r="J577">
        <v>1.49156</v>
      </c>
      <c r="K577" s="5">
        <v>7.0615690954437</v>
      </c>
      <c r="L577">
        <v>0.858419715449292</v>
      </c>
      <c r="O577">
        <v>0.0010816</v>
      </c>
      <c r="P577" s="6">
        <v>9.73812315088757</v>
      </c>
      <c r="Q577" s="4">
        <v>0.725146826141758</v>
      </c>
      <c r="R577" s="4"/>
      <c r="T577">
        <v>12.902</v>
      </c>
      <c r="U577" s="7">
        <v>0.816365989769028</v>
      </c>
      <c r="V577">
        <v>8.65000402263402</v>
      </c>
      <c r="Y577">
        <v>0.0024999</v>
      </c>
      <c r="Z577" s="8">
        <v>4.21327013080523</v>
      </c>
      <c r="AA577">
        <v>1.67603046474832</v>
      </c>
      <c r="AD577" s="9">
        <v>3.06534</v>
      </c>
      <c r="AE577">
        <v>2.3036821675389</v>
      </c>
      <c r="AH577">
        <v>1.2626</v>
      </c>
      <c r="AI577" s="10">
        <v>8.34211468398543</v>
      </c>
      <c r="AJ577">
        <v>0.846496285767921</v>
      </c>
    </row>
    <row r="578" customFormat="1" spans="1:36">
      <c r="A578" s="1" t="s">
        <v>468</v>
      </c>
      <c r="B578" s="1">
        <v>80922402</v>
      </c>
      <c r="C578" s="2">
        <v>0.968254</v>
      </c>
      <c r="E578">
        <v>5.171163</v>
      </c>
      <c r="F578">
        <v>15648.78111</v>
      </c>
      <c r="G578" s="3">
        <v>15.64878111</v>
      </c>
      <c r="H578" s="4"/>
      <c r="I578" t="s">
        <v>468</v>
      </c>
      <c r="J578">
        <v>2.43739</v>
      </c>
      <c r="K578" s="5">
        <v>33.2004324297712</v>
      </c>
      <c r="L578">
        <v>2.12159862141309</v>
      </c>
      <c r="O578">
        <v>0.0052656</v>
      </c>
      <c r="P578" s="6">
        <v>15.3681255697356</v>
      </c>
      <c r="Q578" s="4">
        <v>2.16034364627737</v>
      </c>
      <c r="R578" s="4"/>
      <c r="T578">
        <v>11.297</v>
      </c>
      <c r="U578" s="7">
        <v>7.16317624148004</v>
      </c>
      <c r="V578">
        <v>4.63487583029388</v>
      </c>
      <c r="Y578">
        <v>0.00315555</v>
      </c>
      <c r="Z578" s="8">
        <v>25.6444683177259</v>
      </c>
      <c r="AA578">
        <v>1.29464304030131</v>
      </c>
      <c r="AD578" s="9">
        <v>3.89076</v>
      </c>
      <c r="AE578">
        <v>8.53314838997296</v>
      </c>
      <c r="AH578">
        <v>4.2827</v>
      </c>
      <c r="AI578" s="10">
        <v>18.8951834123333</v>
      </c>
      <c r="AJ578">
        <v>1.75708442227136</v>
      </c>
    </row>
    <row r="579" customFormat="1" spans="1:36">
      <c r="A579" s="1" t="s">
        <v>221</v>
      </c>
      <c r="B579" s="1">
        <v>10532754</v>
      </c>
      <c r="C579" s="2">
        <v>0.97417</v>
      </c>
      <c r="E579">
        <v>1.296665</v>
      </c>
      <c r="F579">
        <v>8122.958238</v>
      </c>
      <c r="G579" s="3">
        <v>8.122958238</v>
      </c>
      <c r="H579" s="4"/>
      <c r="I579" t="s">
        <v>221</v>
      </c>
      <c r="J579">
        <v>0.666959</v>
      </c>
      <c r="K579" s="5">
        <v>15.7922061176174</v>
      </c>
      <c r="L579">
        <v>1.94414468902966</v>
      </c>
      <c r="O579">
        <v>0.0010768</v>
      </c>
      <c r="P579" s="6">
        <v>9.7815323179792</v>
      </c>
      <c r="Q579" s="4">
        <v>1.61449204523816</v>
      </c>
      <c r="R579" s="4"/>
      <c r="T579">
        <v>12.775</v>
      </c>
      <c r="U579" s="7">
        <v>0.824481722113503</v>
      </c>
      <c r="V579">
        <v>19.1541009267436</v>
      </c>
      <c r="Y579">
        <v>0.00255009</v>
      </c>
      <c r="Z579" s="8">
        <v>4.13034598778867</v>
      </c>
      <c r="AA579">
        <v>3.82345841348569</v>
      </c>
      <c r="AD579" s="9">
        <v>3.12762</v>
      </c>
      <c r="AE579">
        <v>5.04927264744995</v>
      </c>
      <c r="AH579">
        <v>1.2521</v>
      </c>
      <c r="AI579" s="10">
        <v>8.41207092085297</v>
      </c>
      <c r="AJ579">
        <v>1.87732679220162</v>
      </c>
    </row>
    <row r="580" customFormat="1" spans="1:36">
      <c r="A580" s="1" t="s">
        <v>357</v>
      </c>
      <c r="B580" s="1">
        <v>30147168</v>
      </c>
      <c r="C580" s="2">
        <v>0.976119</v>
      </c>
      <c r="E580">
        <v>5.350899</v>
      </c>
      <c r="F580">
        <v>5634.038265</v>
      </c>
      <c r="G580" s="3">
        <v>5.634038265</v>
      </c>
      <c r="H580" s="4"/>
      <c r="I580" t="s">
        <v>357</v>
      </c>
      <c r="J580">
        <v>3.79786</v>
      </c>
      <c r="K580" s="5">
        <v>7.93793557424444</v>
      </c>
      <c r="L580">
        <v>1.40892468259522</v>
      </c>
      <c r="O580">
        <v>0.0035584</v>
      </c>
      <c r="P580" s="6">
        <v>8.47211330935252</v>
      </c>
      <c r="Q580" s="4">
        <v>0.936948702690462</v>
      </c>
      <c r="R580" s="4"/>
      <c r="T580">
        <v>19.702</v>
      </c>
      <c r="U580" s="7">
        <v>1.53015775048218</v>
      </c>
      <c r="V580">
        <v>5.18765831283934</v>
      </c>
      <c r="Y580">
        <v>0.00402356</v>
      </c>
      <c r="Z580" s="8">
        <v>7.49266023123801</v>
      </c>
      <c r="AA580">
        <v>1.05942820430453</v>
      </c>
      <c r="AD580" s="9">
        <v>2.780436</v>
      </c>
      <c r="AE580">
        <v>2.85492475793165</v>
      </c>
      <c r="AH580">
        <v>3.8854</v>
      </c>
      <c r="AI580" s="10">
        <v>7.75908992639111</v>
      </c>
      <c r="AJ580">
        <v>1.02304982279494</v>
      </c>
    </row>
    <row r="581" customFormat="1" spans="1:36">
      <c r="A581" s="1" t="s">
        <v>220</v>
      </c>
      <c r="B581" s="1">
        <v>10532754</v>
      </c>
      <c r="C581" s="2">
        <v>0.976687</v>
      </c>
      <c r="E581">
        <v>1.286962</v>
      </c>
      <c r="F581">
        <v>8184.201171</v>
      </c>
      <c r="G581" s="3">
        <v>8.184201171</v>
      </c>
      <c r="H581" s="4"/>
      <c r="I581" t="s">
        <v>220</v>
      </c>
      <c r="J581">
        <v>0.687736</v>
      </c>
      <c r="K581" s="5">
        <v>15.3151121942141</v>
      </c>
      <c r="L581">
        <v>1.87130202132394</v>
      </c>
      <c r="O581">
        <v>0.0010864</v>
      </c>
      <c r="P581" s="6">
        <v>9.69509756995582</v>
      </c>
      <c r="Q581" s="4">
        <v>1.57967592215618</v>
      </c>
      <c r="R581" s="4"/>
      <c r="T581">
        <v>12.724</v>
      </c>
      <c r="U581" s="7">
        <v>0.827786387928324</v>
      </c>
      <c r="V581">
        <v>18.501285376947</v>
      </c>
      <c r="Y581">
        <v>0.00258676</v>
      </c>
      <c r="Z581" s="8">
        <v>4.07179405897725</v>
      </c>
      <c r="AA581">
        <v>3.76126885898077</v>
      </c>
      <c r="AD581" s="9">
        <v>3.11106</v>
      </c>
      <c r="AE581">
        <v>4.92279550835216</v>
      </c>
      <c r="AH581">
        <v>1.2516</v>
      </c>
      <c r="AI581" s="10">
        <v>8.41543144774688</v>
      </c>
      <c r="AJ581">
        <v>1.81988437423663</v>
      </c>
    </row>
    <row r="582" customFormat="1" spans="1:36">
      <c r="A582" s="1" t="s">
        <v>217</v>
      </c>
      <c r="B582" s="1">
        <v>10532754</v>
      </c>
      <c r="C582" s="2">
        <v>0.976687</v>
      </c>
      <c r="E582">
        <v>1.756339</v>
      </c>
      <c r="F582">
        <v>5996.995309</v>
      </c>
      <c r="G582" s="3">
        <v>5.996995309</v>
      </c>
      <c r="H582" s="4"/>
      <c r="I582" t="s">
        <v>217</v>
      </c>
      <c r="J582">
        <v>0.667568</v>
      </c>
      <c r="K582" s="5">
        <v>15.7777994151907</v>
      </c>
      <c r="L582">
        <v>2.63095076821423</v>
      </c>
      <c r="O582">
        <v>0.0011088</v>
      </c>
      <c r="P582" s="6">
        <v>9.49923701298701</v>
      </c>
      <c r="Q582" s="4">
        <v>1.66095438966517</v>
      </c>
      <c r="R582" s="4"/>
      <c r="T582">
        <v>12.719</v>
      </c>
      <c r="U582" s="7">
        <v>0.828111801242236</v>
      </c>
      <c r="V582">
        <v>19.0527406945809</v>
      </c>
      <c r="Y582">
        <v>0.00253399</v>
      </c>
      <c r="Z582" s="8">
        <v>4.15658862110742</v>
      </c>
      <c r="AA582">
        <v>3.79585300673489</v>
      </c>
      <c r="AD582" s="9">
        <v>2.992752</v>
      </c>
      <c r="AE582">
        <v>5.27200363250636</v>
      </c>
      <c r="AH582">
        <v>1.2659</v>
      </c>
      <c r="AI582" s="10">
        <v>8.32036811754483</v>
      </c>
      <c r="AJ582">
        <v>1.89628622102917</v>
      </c>
    </row>
    <row r="583" customFormat="1" spans="1:36">
      <c r="A583" s="1" t="s">
        <v>449</v>
      </c>
      <c r="B583" s="1">
        <v>64527332</v>
      </c>
      <c r="C583" s="2">
        <v>0.990619</v>
      </c>
      <c r="E583">
        <v>8.576729</v>
      </c>
      <c r="F583">
        <v>7523.536439</v>
      </c>
      <c r="G583" s="3">
        <v>7.523536439</v>
      </c>
      <c r="H583" s="4"/>
      <c r="I583" t="s">
        <v>449</v>
      </c>
      <c r="J583">
        <v>2.72229</v>
      </c>
      <c r="K583" s="5">
        <v>23.7033277130651</v>
      </c>
      <c r="L583">
        <v>3.15055664384017</v>
      </c>
      <c r="O583">
        <v>0.00556</v>
      </c>
      <c r="P583" s="6">
        <v>11.6056352517986</v>
      </c>
      <c r="Q583" s="4">
        <v>2.04239812804661</v>
      </c>
      <c r="R583" s="4"/>
      <c r="T583">
        <v>26.266</v>
      </c>
      <c r="U583" s="7">
        <v>2.45668666717429</v>
      </c>
      <c r="V583">
        <v>9.64849446605615</v>
      </c>
      <c r="Y583">
        <v>0.00892006</v>
      </c>
      <c r="Z583" s="8">
        <v>7.23395717069168</v>
      </c>
      <c r="AA583">
        <v>3.27667515216968</v>
      </c>
      <c r="AD583" s="9">
        <v>3.36264</v>
      </c>
      <c r="AE583">
        <v>7.04902330105664</v>
      </c>
      <c r="AH583">
        <v>5.7931</v>
      </c>
      <c r="AI583" s="10">
        <v>11.1386532253888</v>
      </c>
      <c r="AJ583">
        <v>2.12802456755158</v>
      </c>
    </row>
    <row r="584" customFormat="1" spans="1:36">
      <c r="A584" s="1" t="s">
        <v>300</v>
      </c>
      <c r="B584" s="1">
        <v>19302814</v>
      </c>
      <c r="C584" s="2">
        <v>0.997254</v>
      </c>
      <c r="E584">
        <v>2.287647</v>
      </c>
      <c r="F584">
        <v>8437.847901</v>
      </c>
      <c r="G584" s="3">
        <v>8.437847901</v>
      </c>
      <c r="H584" s="4"/>
      <c r="I584" t="s">
        <v>300</v>
      </c>
      <c r="J584">
        <v>0.890926</v>
      </c>
      <c r="K584" s="5">
        <v>21.6660126654739</v>
      </c>
      <c r="L584">
        <v>2.56771784934713</v>
      </c>
      <c r="O584">
        <v>0.0021808</v>
      </c>
      <c r="P584" s="6">
        <v>8.85125366837858</v>
      </c>
      <c r="Q584" s="4">
        <v>2.44779027663353</v>
      </c>
      <c r="R584" s="4"/>
      <c r="T584">
        <v>8.82</v>
      </c>
      <c r="U584" s="7">
        <v>2.18852766439909</v>
      </c>
      <c r="V584">
        <v>9.89981210560697</v>
      </c>
      <c r="Y584">
        <v>0.00353596</v>
      </c>
      <c r="Z584" s="8">
        <v>5.45900236428014</v>
      </c>
      <c r="AA584">
        <v>3.96885936654672</v>
      </c>
      <c r="AD584" s="9">
        <v>2.824248</v>
      </c>
      <c r="AE584">
        <v>7.67142710748982</v>
      </c>
      <c r="AH584">
        <v>2.4017</v>
      </c>
      <c r="AI584" s="10">
        <v>8.03714618811675</v>
      </c>
      <c r="AJ584">
        <v>2.69573455034425</v>
      </c>
    </row>
    <row r="585" customFormat="1" spans="1:36">
      <c r="A585" s="1" t="s">
        <v>668</v>
      </c>
      <c r="B585" s="1">
        <v>79678311330</v>
      </c>
      <c r="C585" s="2">
        <v>0.999377</v>
      </c>
      <c r="E585">
        <v>286140.105088</v>
      </c>
      <c r="F585">
        <v>278.459083</v>
      </c>
      <c r="G585" s="3">
        <v>0.278459083</v>
      </c>
      <c r="H585" s="4"/>
      <c r="I585" t="s">
        <v>668</v>
      </c>
      <c r="J585">
        <v>101390</v>
      </c>
      <c r="K585" s="5">
        <v>0.785859663970806</v>
      </c>
      <c r="L585">
        <v>2.8221728503315</v>
      </c>
      <c r="O585" t="e">
        <v>#VALUE!</v>
      </c>
      <c r="P585" s="6" t="e">
        <v>#VALUE!</v>
      </c>
      <c r="Q585" s="4" t="e">
        <v>#VALUE!</v>
      </c>
      <c r="R585" s="4"/>
      <c r="T585">
        <v>0</v>
      </c>
      <c r="U585" s="7" t="e">
        <v>#DIV/0!</v>
      </c>
      <c r="V585" t="e">
        <v>#DIV/0!</v>
      </c>
      <c r="Y585">
        <v>0.00327501</v>
      </c>
      <c r="Z585" s="8">
        <v>24329.1810803631</v>
      </c>
      <c r="AA585">
        <v>3.23011145083342e-5</v>
      </c>
      <c r="AD585" s="9">
        <v>0</v>
      </c>
      <c r="AE585" t="e">
        <v>#DIV/0!</v>
      </c>
      <c r="AH585" t="s">
        <v>623</v>
      </c>
      <c r="AI585" s="10" t="e">
        <v>#VALUE!</v>
      </c>
      <c r="AJ585" t="e">
        <v>#VALUE!</v>
      </c>
    </row>
    <row r="586" customFormat="1" spans="1:36">
      <c r="A586" s="1" t="s">
        <v>633</v>
      </c>
      <c r="B586" s="1">
        <v>35218253702</v>
      </c>
      <c r="C586" s="2">
        <v>0.999738</v>
      </c>
      <c r="E586">
        <v>13887.19959</v>
      </c>
      <c r="F586">
        <v>2536.022722</v>
      </c>
      <c r="G586" s="3">
        <v>2.536022722</v>
      </c>
      <c r="H586" s="4"/>
      <c r="I586" t="s">
        <v>633</v>
      </c>
      <c r="J586">
        <v>128564</v>
      </c>
      <c r="K586" s="5">
        <v>0.27393557840453</v>
      </c>
      <c r="L586">
        <v>0.108017793384948</v>
      </c>
      <c r="O586" t="e">
        <v>#VALUE!</v>
      </c>
      <c r="P586" s="6" t="e">
        <v>#VALUE!</v>
      </c>
      <c r="Q586" s="4" t="e">
        <v>#VALUE!</v>
      </c>
      <c r="R586" s="4"/>
      <c r="T586">
        <v>0</v>
      </c>
      <c r="U586" s="7" t="e">
        <v>#DIV/0!</v>
      </c>
      <c r="V586" t="e">
        <v>#DIV/0!</v>
      </c>
      <c r="Y586">
        <v>991.587</v>
      </c>
      <c r="Z586" s="8">
        <v>0.035517058716986</v>
      </c>
      <c r="AA586">
        <v>7.71278896113998</v>
      </c>
      <c r="AD586" s="9">
        <v>0</v>
      </c>
      <c r="AE586" t="e">
        <v>#DIV/0!</v>
      </c>
      <c r="AH586" t="s">
        <v>623</v>
      </c>
      <c r="AI586" s="10" t="e">
        <v>#VALUE!</v>
      </c>
      <c r="AJ586" t="e">
        <v>#VALUE!</v>
      </c>
    </row>
    <row r="587" customFormat="1" spans="1:36">
      <c r="A587" s="1" t="s">
        <v>602</v>
      </c>
      <c r="B587" s="1">
        <v>527862308</v>
      </c>
      <c r="C587" s="2">
        <v>0.999929</v>
      </c>
      <c r="E587">
        <v>251.961461</v>
      </c>
      <c r="F587">
        <v>2095.01209</v>
      </c>
      <c r="G587" s="3">
        <v>2.09501209</v>
      </c>
      <c r="H587" s="4"/>
      <c r="I587" t="s">
        <v>602</v>
      </c>
      <c r="J587">
        <v>244.816</v>
      </c>
      <c r="K587" s="5">
        <v>2.15615935232991</v>
      </c>
      <c r="L587">
        <v>1.02918706895382</v>
      </c>
      <c r="O587">
        <v>0.371784</v>
      </c>
      <c r="P587" s="6">
        <v>1.41980910421105</v>
      </c>
      <c r="Q587" s="4">
        <v>1.5186262335795</v>
      </c>
      <c r="R587" s="4"/>
      <c r="T587">
        <v>232.178</v>
      </c>
      <c r="U587" s="7">
        <v>2.27352422710162</v>
      </c>
      <c r="V587">
        <v>0.948377557022417</v>
      </c>
      <c r="Y587">
        <v>0.465494</v>
      </c>
      <c r="Z587" s="8">
        <v>1.13398305456139</v>
      </c>
      <c r="AA587">
        <v>1.90140350303902</v>
      </c>
      <c r="AD587" s="9">
        <v>0.97725</v>
      </c>
      <c r="AE587">
        <v>2.20635390363767</v>
      </c>
      <c r="AH587">
        <v>405.5368</v>
      </c>
      <c r="AI587" s="10">
        <v>1.30163849002113</v>
      </c>
      <c r="AJ587">
        <v>1.65649630743089</v>
      </c>
    </row>
    <row r="588" customFormat="1" spans="1:36">
      <c r="A588" s="1" t="s">
        <v>112</v>
      </c>
      <c r="B588" s="1">
        <v>4572198</v>
      </c>
      <c r="C588" s="2">
        <v>1</v>
      </c>
      <c r="E588">
        <v>0.746463</v>
      </c>
      <c r="F588">
        <v>6125.151876</v>
      </c>
      <c r="G588" s="3">
        <v>6.125151876</v>
      </c>
      <c r="H588" s="4"/>
      <c r="I588" t="s">
        <v>112</v>
      </c>
      <c r="J588">
        <v>0.3396</v>
      </c>
      <c r="K588" s="5">
        <v>13.463480565371</v>
      </c>
      <c r="L588">
        <v>2.19806477258541</v>
      </c>
      <c r="O588">
        <v>0.0006304</v>
      </c>
      <c r="P588" s="6">
        <v>7.25285215736041</v>
      </c>
      <c r="Q588" s="4">
        <v>1.85630153121319</v>
      </c>
      <c r="R588" s="4"/>
      <c r="T588">
        <v>1.881</v>
      </c>
      <c r="U588" s="7">
        <v>2.43072727272727</v>
      </c>
      <c r="V588">
        <v>5.53886925795053</v>
      </c>
      <c r="Y588">
        <v>0.00224766</v>
      </c>
      <c r="Z588" s="8">
        <v>2.03420357171458</v>
      </c>
      <c r="AA588">
        <v>6.61855123674912</v>
      </c>
      <c r="AD588" s="9">
        <v>3.0633</v>
      </c>
      <c r="AE588">
        <v>4.39509044669834</v>
      </c>
      <c r="AH588">
        <v>0.7102</v>
      </c>
      <c r="AI588" s="10">
        <v>6.43790199943678</v>
      </c>
      <c r="AJ588">
        <v>2.09128386336867</v>
      </c>
    </row>
    <row r="589" customFormat="1" spans="1:36">
      <c r="A589" s="1" t="s">
        <v>411</v>
      </c>
      <c r="B589" s="1">
        <v>47745340</v>
      </c>
      <c r="C589" s="2">
        <v>1</v>
      </c>
      <c r="E589">
        <v>5.782552</v>
      </c>
      <c r="F589">
        <v>8256.794427</v>
      </c>
      <c r="G589" s="3">
        <v>8.256794427</v>
      </c>
      <c r="H589" s="4"/>
      <c r="I589" t="s">
        <v>411</v>
      </c>
      <c r="J589">
        <v>2.16353</v>
      </c>
      <c r="K589" s="5">
        <v>22.0682588177654</v>
      </c>
      <c r="L589">
        <v>2.67273928312923</v>
      </c>
      <c r="O589">
        <v>0.004512</v>
      </c>
      <c r="P589" s="6">
        <v>10.5818572695035</v>
      </c>
      <c r="Q589" s="4">
        <v>2.08548067278938</v>
      </c>
      <c r="R589" s="4"/>
      <c r="T589">
        <v>7.406</v>
      </c>
      <c r="U589" s="7">
        <v>6.44684580070213</v>
      </c>
      <c r="V589">
        <v>3.42310945538079</v>
      </c>
      <c r="Y589">
        <v>0.0015919</v>
      </c>
      <c r="Z589" s="8">
        <v>29.9926754193103</v>
      </c>
      <c r="AA589">
        <v>0.735788271944461</v>
      </c>
      <c r="AD589" s="9">
        <v>3.36462</v>
      </c>
      <c r="AE589">
        <v>6.55891566291748</v>
      </c>
      <c r="AH589">
        <v>5.0528</v>
      </c>
      <c r="AI589" s="10">
        <v>9.44928356554781</v>
      </c>
      <c r="AJ589">
        <v>2.33544254066271</v>
      </c>
    </row>
    <row r="590" customFormat="1" spans="1:36">
      <c r="A590" s="1" t="s">
        <v>163</v>
      </c>
      <c r="B590" s="1">
        <v>7073754</v>
      </c>
      <c r="C590" s="2">
        <v>1</v>
      </c>
      <c r="E590">
        <v>3.048059</v>
      </c>
      <c r="F590">
        <v>2320.740674</v>
      </c>
      <c r="G590" s="3">
        <v>2.320740674</v>
      </c>
      <c r="H590" s="4"/>
      <c r="I590" t="s">
        <v>163</v>
      </c>
      <c r="J590">
        <v>0.489706</v>
      </c>
      <c r="K590" s="5">
        <v>14.4448995928169</v>
      </c>
      <c r="L590">
        <v>6.22426269106572</v>
      </c>
      <c r="O590">
        <v>0.0009264</v>
      </c>
      <c r="P590" s="6">
        <v>7.63574481865285</v>
      </c>
      <c r="Q590" s="4">
        <v>1.89174729327392</v>
      </c>
      <c r="R590" s="4"/>
      <c r="T590">
        <v>3.084</v>
      </c>
      <c r="U590" s="7">
        <v>2.29369455252918</v>
      </c>
      <c r="V590">
        <v>6.29765614470723</v>
      </c>
      <c r="Y590">
        <v>0.00192467</v>
      </c>
      <c r="Z590" s="8">
        <v>3.67530745530403</v>
      </c>
      <c r="AA590">
        <v>3.93025611285138</v>
      </c>
      <c r="AD590" s="9">
        <v>3.00789</v>
      </c>
      <c r="AE590">
        <v>4.80233638624315</v>
      </c>
      <c r="AH590">
        <v>1.1367</v>
      </c>
      <c r="AI590" s="10">
        <v>6.22306149379784</v>
      </c>
      <c r="AJ590">
        <v>2.32118863154627</v>
      </c>
    </row>
    <row r="591" customFormat="1" spans="1:36">
      <c r="A591" s="1" t="s">
        <v>164</v>
      </c>
      <c r="B591" s="1">
        <v>7073754</v>
      </c>
      <c r="C591" s="2">
        <v>1</v>
      </c>
      <c r="E591">
        <v>2.292918</v>
      </c>
      <c r="F591">
        <v>3085.044165</v>
      </c>
      <c r="G591" s="3">
        <v>3.085044165</v>
      </c>
      <c r="H591" s="4"/>
      <c r="I591" t="s">
        <v>164</v>
      </c>
      <c r="J591">
        <v>0.549097</v>
      </c>
      <c r="K591" s="5">
        <v>12.8825216673921</v>
      </c>
      <c r="L591">
        <v>4.1757981339603</v>
      </c>
      <c r="O591">
        <v>0.0009056</v>
      </c>
      <c r="P591" s="6">
        <v>7.81112411660777</v>
      </c>
      <c r="Q591" s="4">
        <v>1.6492532284824</v>
      </c>
      <c r="R591" s="4"/>
      <c r="T591">
        <v>3.06</v>
      </c>
      <c r="U591" s="7">
        <v>2.31168431372549</v>
      </c>
      <c r="V591">
        <v>5.57278586479256</v>
      </c>
      <c r="Y591">
        <v>0.00197745</v>
      </c>
      <c r="Z591" s="8">
        <v>3.5772100432375</v>
      </c>
      <c r="AA591">
        <v>3.60127627723335</v>
      </c>
      <c r="AD591" s="9">
        <v>3.02394</v>
      </c>
      <c r="AE591">
        <v>4.26017767131362</v>
      </c>
      <c r="AH591">
        <v>1.333</v>
      </c>
      <c r="AI591" s="10">
        <v>5.30664216054014</v>
      </c>
      <c r="AJ591">
        <v>2.42762207770212</v>
      </c>
    </row>
    <row r="592" customFormat="1" spans="1:36">
      <c r="A592" s="1" t="s">
        <v>94</v>
      </c>
      <c r="B592" s="1">
        <v>3539034</v>
      </c>
      <c r="C592" s="2">
        <v>1</v>
      </c>
      <c r="E592">
        <v>0.765277</v>
      </c>
      <c r="F592">
        <v>4624.515972</v>
      </c>
      <c r="G592" s="3">
        <v>4.624515972</v>
      </c>
      <c r="H592" s="4"/>
      <c r="I592" t="s">
        <v>94</v>
      </c>
      <c r="J592">
        <v>0.270541</v>
      </c>
      <c r="K592" s="5">
        <v>13.0813222395127</v>
      </c>
      <c r="L592">
        <v>2.82869003344696</v>
      </c>
      <c r="O592">
        <v>0.00076</v>
      </c>
      <c r="P592" s="6">
        <v>4.65662368421053</v>
      </c>
      <c r="Q592" s="4">
        <v>2.80918603834539</v>
      </c>
      <c r="R592" s="4"/>
      <c r="T592">
        <v>2.418</v>
      </c>
      <c r="U592" s="7">
        <v>1.46362034739454</v>
      </c>
      <c r="V592">
        <v>8.93764715884099</v>
      </c>
      <c r="Y592">
        <v>0.00130783</v>
      </c>
      <c r="Z592" s="8">
        <v>2.70603518805961</v>
      </c>
      <c r="AA592">
        <v>4.83412865332796</v>
      </c>
      <c r="AD592" s="9">
        <v>2.200899</v>
      </c>
      <c r="AE592">
        <v>5.9436267813801</v>
      </c>
      <c r="AH592">
        <v>0.8021</v>
      </c>
      <c r="AI592" s="10">
        <v>4.41221044757511</v>
      </c>
      <c r="AJ592">
        <v>2.96480015968005</v>
      </c>
    </row>
    <row r="593" customFormat="1" spans="1:36">
      <c r="A593" s="1" t="s">
        <v>358</v>
      </c>
      <c r="B593" s="1">
        <v>30316474</v>
      </c>
      <c r="C593" s="2">
        <v>1</v>
      </c>
      <c r="E593">
        <v>2.050436</v>
      </c>
      <c r="F593">
        <v>14785.378738</v>
      </c>
      <c r="G593" s="3">
        <v>14.785378738</v>
      </c>
      <c r="H593" s="4"/>
      <c r="I593" t="s">
        <v>358</v>
      </c>
      <c r="J593">
        <v>1.00787</v>
      </c>
      <c r="K593" s="5">
        <v>30.0797463958645</v>
      </c>
      <c r="L593">
        <v>2.03442515263788</v>
      </c>
      <c r="O593">
        <v>0.0045248</v>
      </c>
      <c r="P593" s="6">
        <v>6.70006939533239</v>
      </c>
      <c r="Q593" s="4">
        <v>4.48946788772361</v>
      </c>
      <c r="R593" s="4"/>
      <c r="T593">
        <v>15.181</v>
      </c>
      <c r="U593" s="7">
        <v>1.99700111982083</v>
      </c>
      <c r="V593">
        <v>15.0624584519829</v>
      </c>
      <c r="Y593">
        <v>0.0025444</v>
      </c>
      <c r="Z593" s="8">
        <v>11.9149795629618</v>
      </c>
      <c r="AA593">
        <v>2.52453193368192</v>
      </c>
      <c r="AD593" s="9">
        <v>3.62202</v>
      </c>
      <c r="AE593">
        <v>8.30468810107745</v>
      </c>
      <c r="AH593">
        <v>2.0674</v>
      </c>
      <c r="AI593" s="10">
        <v>14.6640582373996</v>
      </c>
      <c r="AJ593">
        <v>2.05125661047556</v>
      </c>
    </row>
    <row r="594" customFormat="1" spans="1:36">
      <c r="A594" s="1" t="s">
        <v>386</v>
      </c>
      <c r="B594" s="1">
        <v>37457212</v>
      </c>
      <c r="C594" s="2">
        <v>1</v>
      </c>
      <c r="E594">
        <v>2.888033</v>
      </c>
      <c r="F594">
        <v>12969.801687</v>
      </c>
      <c r="G594" s="3">
        <v>12.969801687</v>
      </c>
      <c r="H594" s="4"/>
      <c r="I594" t="s">
        <v>386</v>
      </c>
      <c r="J594">
        <v>1.0975</v>
      </c>
      <c r="K594" s="5">
        <v>34.1295781321185</v>
      </c>
      <c r="L594">
        <v>2.63146491795071</v>
      </c>
      <c r="O594">
        <v>0.0039488</v>
      </c>
      <c r="P594" s="6">
        <v>9.48572021880065</v>
      </c>
      <c r="Q594" s="4">
        <v>3.59799544419134</v>
      </c>
      <c r="R594" s="4"/>
      <c r="T594">
        <v>15.222</v>
      </c>
      <c r="U594" s="7">
        <v>2.46072868217054</v>
      </c>
      <c r="V594">
        <v>13.8697038724374</v>
      </c>
      <c r="Y594">
        <v>0.00331051</v>
      </c>
      <c r="Z594" s="8">
        <v>11.3146349051959</v>
      </c>
      <c r="AA594">
        <v>3.01641002277904</v>
      </c>
      <c r="AD594" s="9">
        <v>3.57282</v>
      </c>
      <c r="AE594">
        <v>9.55256019953943</v>
      </c>
      <c r="AH594">
        <v>2.7044</v>
      </c>
      <c r="AI594" s="10">
        <v>13.8504703446236</v>
      </c>
      <c r="AJ594">
        <v>2.46414578587699</v>
      </c>
    </row>
    <row r="595" customFormat="1" spans="1:36">
      <c r="A595" s="1" t="s">
        <v>434</v>
      </c>
      <c r="B595" s="1">
        <v>56334928</v>
      </c>
      <c r="C595" s="2">
        <v>1</v>
      </c>
      <c r="E595">
        <v>3.963243</v>
      </c>
      <c r="F595">
        <v>14214.349616</v>
      </c>
      <c r="G595" s="3">
        <v>14.214349616</v>
      </c>
      <c r="H595" s="4"/>
      <c r="I595" t="s">
        <v>434</v>
      </c>
      <c r="J595">
        <v>1.74819</v>
      </c>
      <c r="K595" s="5">
        <v>32.2247169930042</v>
      </c>
      <c r="L595">
        <v>2.26705532532641</v>
      </c>
      <c r="O595">
        <v>0.009328</v>
      </c>
      <c r="P595" s="6">
        <v>6.03933619210978</v>
      </c>
      <c r="Q595" s="4">
        <v>5.33580446061355</v>
      </c>
      <c r="R595" s="4"/>
      <c r="T595">
        <v>14.101</v>
      </c>
      <c r="U595" s="7">
        <v>3.9951016239983</v>
      </c>
      <c r="V595">
        <v>8.06605689312947</v>
      </c>
      <c r="Y595">
        <v>0.00576979</v>
      </c>
      <c r="Z595" s="8">
        <v>9.76377441813307</v>
      </c>
      <c r="AA595">
        <v>3.30043645141546</v>
      </c>
      <c r="AD595" s="9">
        <v>3.69546</v>
      </c>
      <c r="AE595">
        <v>8.72008274829228</v>
      </c>
      <c r="AH595">
        <v>3.547</v>
      </c>
      <c r="AI595" s="10">
        <v>15.8824155624471</v>
      </c>
      <c r="AJ595">
        <v>2.02895566271401</v>
      </c>
    </row>
    <row r="596" customFormat="1" spans="1:36">
      <c r="A596" s="1" t="s">
        <v>435</v>
      </c>
      <c r="B596" s="1">
        <v>56334928</v>
      </c>
      <c r="C596" s="2">
        <v>1</v>
      </c>
      <c r="E596">
        <v>3.920175</v>
      </c>
      <c r="F596">
        <v>14370.51409</v>
      </c>
      <c r="G596" s="3">
        <v>14.37051409</v>
      </c>
      <c r="H596" s="4"/>
      <c r="I596" t="s">
        <v>435</v>
      </c>
      <c r="J596">
        <v>1.7806</v>
      </c>
      <c r="K596" s="5">
        <v>31.6381714028979</v>
      </c>
      <c r="L596">
        <v>2.20160331111007</v>
      </c>
      <c r="O596">
        <v>0.0044</v>
      </c>
      <c r="P596" s="6">
        <v>12.8033927272727</v>
      </c>
      <c r="Q596" s="4">
        <v>2.47107716500056</v>
      </c>
      <c r="R596" s="4"/>
      <c r="T596">
        <v>14.093</v>
      </c>
      <c r="U596" s="7">
        <v>3.99736947420705</v>
      </c>
      <c r="V596">
        <v>7.91474783780748</v>
      </c>
      <c r="Y596">
        <v>0.00566584</v>
      </c>
      <c r="Z596" s="8">
        <v>9.94290837722209</v>
      </c>
      <c r="AA596">
        <v>3.18198360103336</v>
      </c>
      <c r="AD596" s="9">
        <v>3.66348</v>
      </c>
      <c r="AE596">
        <v>8.63609775483909</v>
      </c>
      <c r="AH596">
        <v>3.5623</v>
      </c>
      <c r="AI596" s="10">
        <v>15.8142009375965</v>
      </c>
      <c r="AJ596">
        <v>2.00061776929125</v>
      </c>
    </row>
    <row r="597" customFormat="1" spans="1:36">
      <c r="A597" s="1" t="s">
        <v>404</v>
      </c>
      <c r="B597" s="1">
        <v>43444082</v>
      </c>
      <c r="C597" s="2">
        <v>1</v>
      </c>
      <c r="E597">
        <v>3.07073</v>
      </c>
      <c r="F597">
        <v>14147.804061</v>
      </c>
      <c r="G597" s="3">
        <v>14.147804061</v>
      </c>
      <c r="H597" s="4"/>
      <c r="I597" t="s">
        <v>404</v>
      </c>
      <c r="J597">
        <v>1.47991</v>
      </c>
      <c r="K597" s="5">
        <v>29.3558946152131</v>
      </c>
      <c r="L597">
        <v>2.0749435381379</v>
      </c>
      <c r="O597">
        <v>0.00348</v>
      </c>
      <c r="P597" s="6">
        <v>12.4839316091954</v>
      </c>
      <c r="Q597" s="4">
        <v>2.35149434762925</v>
      </c>
      <c r="R597" s="4"/>
      <c r="T597">
        <v>15.476</v>
      </c>
      <c r="U597" s="7">
        <v>2.80719061773068</v>
      </c>
      <c r="V597">
        <v>10.4573926792846</v>
      </c>
      <c r="Y597">
        <v>0.00319102</v>
      </c>
      <c r="Z597" s="8">
        <v>13.6144812630444</v>
      </c>
      <c r="AA597">
        <v>2.1562257164287</v>
      </c>
      <c r="AD597" s="9">
        <v>3.513</v>
      </c>
      <c r="AE597">
        <v>8.35636055087193</v>
      </c>
      <c r="AH597">
        <v>3.1025</v>
      </c>
      <c r="AI597" s="10">
        <v>14.0029273166801</v>
      </c>
      <c r="AJ597">
        <v>2.0964112682528</v>
      </c>
    </row>
    <row r="598" customFormat="1" spans="1:36">
      <c r="A598" s="1" t="s">
        <v>373</v>
      </c>
      <c r="B598" s="1">
        <v>33640560</v>
      </c>
      <c r="C598" s="2">
        <v>1</v>
      </c>
      <c r="E598">
        <v>2.220739</v>
      </c>
      <c r="F598">
        <v>15148.365916</v>
      </c>
      <c r="G598" s="3">
        <v>15.148365916</v>
      </c>
      <c r="H598" s="4"/>
      <c r="I598" t="s">
        <v>373</v>
      </c>
      <c r="J598">
        <v>0.950493</v>
      </c>
      <c r="K598" s="5">
        <v>35.3927488156146</v>
      </c>
      <c r="L598">
        <v>2.33640704296904</v>
      </c>
      <c r="O598">
        <v>0.0026208</v>
      </c>
      <c r="P598" s="6">
        <v>12.835989010989</v>
      </c>
      <c r="Q598" s="4">
        <v>2.75730594544094</v>
      </c>
      <c r="R598" s="4"/>
      <c r="T598">
        <v>9.402</v>
      </c>
      <c r="U598" s="7">
        <v>3.57802169751117</v>
      </c>
      <c r="V598">
        <v>9.89170882899716</v>
      </c>
      <c r="Y598">
        <v>0.00236691</v>
      </c>
      <c r="Z598" s="8">
        <v>14.2128598045553</v>
      </c>
      <c r="AA598">
        <v>2.49019193197635</v>
      </c>
      <c r="AD598" s="9">
        <v>3.45279</v>
      </c>
      <c r="AE598">
        <v>10.250478255444</v>
      </c>
      <c r="AH598">
        <v>2.3786</v>
      </c>
      <c r="AI598" s="10">
        <v>14.1430084923905</v>
      </c>
      <c r="AJ598">
        <v>2.50249081266248</v>
      </c>
    </row>
    <row r="599" customFormat="1" spans="1:36">
      <c r="A599" s="1" t="s">
        <v>371</v>
      </c>
      <c r="B599" s="1">
        <v>33640560</v>
      </c>
      <c r="C599" s="2">
        <v>1</v>
      </c>
      <c r="E599">
        <v>2.248866</v>
      </c>
      <c r="F599">
        <v>14958.902418</v>
      </c>
      <c r="G599" s="3">
        <v>14.958902418</v>
      </c>
      <c r="H599" s="4"/>
      <c r="I599" t="s">
        <v>371</v>
      </c>
      <c r="J599">
        <v>0.943149</v>
      </c>
      <c r="K599" s="5">
        <v>35.6683408454019</v>
      </c>
      <c r="L599">
        <v>2.3844223224882</v>
      </c>
      <c r="O599">
        <v>0.0026432</v>
      </c>
      <c r="P599" s="6">
        <v>12.7272094430993</v>
      </c>
      <c r="Q599" s="4">
        <v>2.80252643007627</v>
      </c>
      <c r="R599" s="4"/>
      <c r="T599">
        <v>9.602</v>
      </c>
      <c r="U599" s="7">
        <v>3.50349510518642</v>
      </c>
      <c r="V599">
        <v>10.1807879772973</v>
      </c>
      <c r="Y599">
        <v>0.00230723</v>
      </c>
      <c r="Z599" s="8">
        <v>14.5804969595576</v>
      </c>
      <c r="AA599">
        <v>2.4463048786565</v>
      </c>
      <c r="AD599" s="9">
        <v>3.50112</v>
      </c>
      <c r="AE599">
        <v>10.1876944650289</v>
      </c>
      <c r="AH599">
        <v>2.3467</v>
      </c>
      <c r="AI599" s="10">
        <v>14.3352622832062</v>
      </c>
      <c r="AJ599">
        <v>2.4881540456492</v>
      </c>
    </row>
    <row r="600" customFormat="1" spans="1:36">
      <c r="A600" s="1" t="s">
        <v>370</v>
      </c>
      <c r="B600" s="1">
        <v>33640560</v>
      </c>
      <c r="C600" s="2">
        <v>1</v>
      </c>
      <c r="E600">
        <v>2.247267</v>
      </c>
      <c r="F600">
        <v>14969.545751</v>
      </c>
      <c r="G600" s="3">
        <v>14.969545751</v>
      </c>
      <c r="H600" s="4"/>
      <c r="I600" t="s">
        <v>370</v>
      </c>
      <c r="J600">
        <v>1.73694</v>
      </c>
      <c r="K600" s="5">
        <v>19.3677156378459</v>
      </c>
      <c r="L600">
        <v>1.29380783892872</v>
      </c>
      <c r="O600">
        <v>0.0026272</v>
      </c>
      <c r="P600" s="6">
        <v>12.8047198538368</v>
      </c>
      <c r="Q600" s="4">
        <v>1.51254505049109</v>
      </c>
      <c r="R600" s="4"/>
      <c r="T600">
        <v>9.657</v>
      </c>
      <c r="U600" s="7">
        <v>3.48354147250699</v>
      </c>
      <c r="V600">
        <v>5.55977753981139</v>
      </c>
      <c r="Y600">
        <v>0.00235014</v>
      </c>
      <c r="Z600" s="8">
        <v>14.3142791493273</v>
      </c>
      <c r="AA600">
        <v>1.35303464713807</v>
      </c>
      <c r="AD600" s="9">
        <v>3.53319</v>
      </c>
      <c r="AE600">
        <v>5.48165132298174</v>
      </c>
      <c r="AH600">
        <v>5.8214</v>
      </c>
      <c r="AI600" s="10">
        <v>5.77877486515271</v>
      </c>
      <c r="AJ600">
        <v>3.35152624730848</v>
      </c>
    </row>
    <row r="601" customFormat="1" spans="1:36">
      <c r="A601" s="1" t="s">
        <v>374</v>
      </c>
      <c r="B601" s="1">
        <v>33640560</v>
      </c>
      <c r="C601" s="2">
        <v>1</v>
      </c>
      <c r="E601">
        <v>2.247827</v>
      </c>
      <c r="F601">
        <v>14965.815436</v>
      </c>
      <c r="G601" s="3">
        <v>14.965815436</v>
      </c>
      <c r="H601" s="4"/>
      <c r="I601" t="s">
        <v>374</v>
      </c>
      <c r="J601">
        <v>0.899909</v>
      </c>
      <c r="K601" s="5">
        <v>37.3821797537307</v>
      </c>
      <c r="L601">
        <v>2.49783781669581</v>
      </c>
      <c r="O601">
        <v>0.0026784</v>
      </c>
      <c r="P601" s="6">
        <v>12.5599462365591</v>
      </c>
      <c r="Q601" s="4">
        <v>2.97630093709475</v>
      </c>
      <c r="R601" s="4"/>
      <c r="T601">
        <v>9.413</v>
      </c>
      <c r="U601" s="7">
        <v>3.57384043344311</v>
      </c>
      <c r="V601">
        <v>10.4599465057022</v>
      </c>
      <c r="Y601">
        <v>0.00228522</v>
      </c>
      <c r="Z601" s="8">
        <v>14.7209284007667</v>
      </c>
      <c r="AA601">
        <v>2.53939009388727</v>
      </c>
      <c r="AD601" s="9">
        <v>3.46509</v>
      </c>
      <c r="AE601">
        <v>10.7882276517293</v>
      </c>
      <c r="AH601">
        <v>2.4473</v>
      </c>
      <c r="AI601" s="10">
        <v>13.7459894577698</v>
      </c>
      <c r="AJ601">
        <v>2.71949719360513</v>
      </c>
    </row>
    <row r="602" customFormat="1" spans="1:36">
      <c r="A602" s="1" t="s">
        <v>372</v>
      </c>
      <c r="B602" s="1">
        <v>33640560</v>
      </c>
      <c r="C602" s="2">
        <v>1</v>
      </c>
      <c r="E602">
        <v>2.332738</v>
      </c>
      <c r="F602">
        <v>14421.064044</v>
      </c>
      <c r="G602" s="3">
        <v>14.421064044</v>
      </c>
      <c r="H602" s="4"/>
      <c r="I602" t="s">
        <v>372</v>
      </c>
      <c r="J602">
        <v>0.934116</v>
      </c>
      <c r="K602" s="5">
        <v>36.0132574541063</v>
      </c>
      <c r="L602">
        <v>2.49726770120614</v>
      </c>
      <c r="O602">
        <v>0.0026176</v>
      </c>
      <c r="P602" s="6">
        <v>12.8516809290954</v>
      </c>
      <c r="Q602" s="4">
        <v>2.80222156562997</v>
      </c>
      <c r="R602" s="4"/>
      <c r="T602">
        <v>9.359</v>
      </c>
      <c r="U602" s="7">
        <v>3.59446094668234</v>
      </c>
      <c r="V602">
        <v>10.0190982704503</v>
      </c>
      <c r="Y602">
        <v>0.00233185</v>
      </c>
      <c r="Z602" s="8">
        <v>14.4265540236293</v>
      </c>
      <c r="AA602">
        <v>2.49631737385935</v>
      </c>
      <c r="AD602" s="9">
        <v>3.54753</v>
      </c>
      <c r="AE602">
        <v>10.1516428202457</v>
      </c>
      <c r="AH602">
        <v>5.1181</v>
      </c>
      <c r="AI602" s="10">
        <v>6.57286102264512</v>
      </c>
      <c r="AJ602">
        <v>5.47908396815813</v>
      </c>
    </row>
    <row r="603" customFormat="1" spans="1:36">
      <c r="A603" s="1" t="s">
        <v>375</v>
      </c>
      <c r="B603" s="1">
        <v>33641008</v>
      </c>
      <c r="C603" s="2">
        <v>1</v>
      </c>
      <c r="E603">
        <v>2.769894</v>
      </c>
      <c r="F603">
        <v>12145.235183</v>
      </c>
      <c r="G603" s="3">
        <v>12.145235183</v>
      </c>
      <c r="H603" s="4"/>
      <c r="I603" t="s">
        <v>375</v>
      </c>
      <c r="J603">
        <v>0.897076</v>
      </c>
      <c r="K603" s="5">
        <v>37.5007334941521</v>
      </c>
      <c r="L603">
        <v>3.08769101043369</v>
      </c>
      <c r="O603">
        <v>0.0026352</v>
      </c>
      <c r="P603" s="6">
        <v>12.7660170006072</v>
      </c>
      <c r="Q603" s="4">
        <v>2.93754375326059</v>
      </c>
      <c r="R603" s="4"/>
      <c r="T603">
        <v>10.839</v>
      </c>
      <c r="U603" s="7">
        <v>3.1037003413599</v>
      </c>
      <c r="V603">
        <v>12.0825883202761</v>
      </c>
      <c r="Y603">
        <v>0.00227566</v>
      </c>
      <c r="Z603" s="8">
        <v>14.7829675786365</v>
      </c>
      <c r="AA603">
        <v>2.53675273889838</v>
      </c>
      <c r="AD603" s="9">
        <v>3.50883</v>
      </c>
      <c r="AE603">
        <v>10.687532167176</v>
      </c>
      <c r="AH603">
        <v>3.0368</v>
      </c>
      <c r="AI603" s="10">
        <v>11.0777818756586</v>
      </c>
      <c r="AJ603">
        <v>3.38522042725477</v>
      </c>
    </row>
    <row r="604" customFormat="1" spans="1:36">
      <c r="A604" s="1" t="s">
        <v>376</v>
      </c>
      <c r="B604" s="1">
        <v>33641596</v>
      </c>
      <c r="C604" s="2">
        <v>1</v>
      </c>
      <c r="E604">
        <v>2.266761</v>
      </c>
      <c r="F604">
        <v>14841.263788</v>
      </c>
      <c r="G604" s="3">
        <v>14.841263788</v>
      </c>
      <c r="H604" s="4"/>
      <c r="I604" t="s">
        <v>376</v>
      </c>
      <c r="J604">
        <v>0.888798</v>
      </c>
      <c r="K604" s="5">
        <v>37.850665730571</v>
      </c>
      <c r="L604">
        <v>2.55036675253864</v>
      </c>
      <c r="O604">
        <v>0.002624</v>
      </c>
      <c r="P604" s="6">
        <v>12.8207301829268</v>
      </c>
      <c r="Q604" s="4">
        <v>2.9523018728665</v>
      </c>
      <c r="R604" s="4"/>
      <c r="T604">
        <v>9.433</v>
      </c>
      <c r="U604" s="7">
        <v>3.5663729460405</v>
      </c>
      <c r="V604">
        <v>10.613210200743</v>
      </c>
      <c r="Y604">
        <v>0.00229312</v>
      </c>
      <c r="Z604" s="8">
        <v>14.670665294446</v>
      </c>
      <c r="AA604">
        <v>2.58002380743431</v>
      </c>
      <c r="AD604" s="9">
        <v>3.53241</v>
      </c>
      <c r="AE604">
        <v>10.7152526831741</v>
      </c>
      <c r="AH604">
        <v>4.9961</v>
      </c>
      <c r="AI604" s="10">
        <v>6.73357138568083</v>
      </c>
      <c r="AJ604">
        <v>5.62118726639799</v>
      </c>
    </row>
    <row r="605" customFormat="1" spans="1:36">
      <c r="A605" s="1" t="s">
        <v>377</v>
      </c>
      <c r="B605" s="1">
        <v>33771140</v>
      </c>
      <c r="C605" s="2">
        <v>1</v>
      </c>
      <c r="E605">
        <v>2.242987</v>
      </c>
      <c r="F605">
        <v>15056.323681</v>
      </c>
      <c r="G605" s="3">
        <v>15.056323681</v>
      </c>
      <c r="H605" s="4"/>
      <c r="I605" t="s">
        <v>377</v>
      </c>
      <c r="J605">
        <v>0.911269</v>
      </c>
      <c r="K605" s="5">
        <v>37.0594632320423</v>
      </c>
      <c r="L605">
        <v>2.46138858443969</v>
      </c>
      <c r="O605">
        <v>0.0026336</v>
      </c>
      <c r="P605" s="6">
        <v>12.8231849939247</v>
      </c>
      <c r="Q605" s="4">
        <v>2.89003576331467</v>
      </c>
      <c r="R605" s="4"/>
      <c r="T605">
        <v>9.46</v>
      </c>
      <c r="U605" s="7">
        <v>3.56988794926004</v>
      </c>
      <c r="V605">
        <v>10.3811278557704</v>
      </c>
      <c r="Y605">
        <v>0.00226639</v>
      </c>
      <c r="Z605" s="8">
        <v>14.9008511333001</v>
      </c>
      <c r="AA605">
        <v>2.48707022843968</v>
      </c>
      <c r="AD605" s="9">
        <v>3.55692</v>
      </c>
      <c r="AE605">
        <v>10.4189757520671</v>
      </c>
      <c r="AH605">
        <v>5.0397</v>
      </c>
      <c r="AI605" s="10">
        <v>6.70102188622339</v>
      </c>
      <c r="AJ605">
        <v>5.53041966751859</v>
      </c>
    </row>
    <row r="606" customFormat="1" spans="1:36">
      <c r="A606" s="1" t="s">
        <v>378</v>
      </c>
      <c r="B606" s="1">
        <v>34857344</v>
      </c>
      <c r="C606" s="2">
        <v>1</v>
      </c>
      <c r="E606">
        <v>2.314469</v>
      </c>
      <c r="F606">
        <v>15060.619306</v>
      </c>
      <c r="G606" s="3">
        <v>15.060619306</v>
      </c>
      <c r="H606" s="4"/>
      <c r="I606" t="s">
        <v>378</v>
      </c>
      <c r="J606">
        <v>0.985956</v>
      </c>
      <c r="K606" s="5">
        <v>35.3538535188183</v>
      </c>
      <c r="L606">
        <v>2.34743690153124</v>
      </c>
      <c r="O606">
        <v>0.0027072</v>
      </c>
      <c r="P606" s="6">
        <v>12.8757919621749</v>
      </c>
      <c r="Q606" s="4">
        <v>2.74576147414286</v>
      </c>
      <c r="R606" s="4"/>
      <c r="T606">
        <v>9.659</v>
      </c>
      <c r="U606" s="7">
        <v>3.60879428512268</v>
      </c>
      <c r="V606">
        <v>9.79658321466678</v>
      </c>
      <c r="Y606">
        <v>0.00249544</v>
      </c>
      <c r="Z606" s="8">
        <v>13.9684159907672</v>
      </c>
      <c r="AA606">
        <v>2.53098515552418</v>
      </c>
      <c r="AD606" s="9">
        <v>3.47037</v>
      </c>
      <c r="AE606">
        <v>10.1873441502832</v>
      </c>
      <c r="AH606">
        <v>3.509</v>
      </c>
      <c r="AI606" s="10">
        <v>9.93369734967227</v>
      </c>
      <c r="AJ606">
        <v>3.55898234809667</v>
      </c>
    </row>
    <row r="607" customFormat="1" spans="1:36">
      <c r="A607" s="1" t="s">
        <v>569</v>
      </c>
      <c r="B607" s="1">
        <v>243981060</v>
      </c>
      <c r="C607" s="2">
        <v>1</v>
      </c>
      <c r="E607">
        <v>36.032706</v>
      </c>
      <c r="F607">
        <v>6771.100168</v>
      </c>
      <c r="G607" s="3">
        <v>6.771100168</v>
      </c>
      <c r="H607" s="4"/>
      <c r="I607" t="s">
        <v>569</v>
      </c>
      <c r="J607">
        <v>11.0847</v>
      </c>
      <c r="K607" s="5">
        <v>22.0106146309778</v>
      </c>
      <c r="L607">
        <v>3.25067036151662</v>
      </c>
      <c r="O607">
        <v>0.0213568</v>
      </c>
      <c r="P607" s="6">
        <v>11.4240457371891</v>
      </c>
      <c r="Q607" s="4">
        <v>1.92669174628091</v>
      </c>
      <c r="R607" s="4"/>
      <c r="T607">
        <v>34.591</v>
      </c>
      <c r="U607" s="7">
        <v>7.05331039865861</v>
      </c>
      <c r="V607">
        <v>3.12060768446597</v>
      </c>
      <c r="Y607">
        <v>0.00428257</v>
      </c>
      <c r="Z607" s="8">
        <v>56.9707115120126</v>
      </c>
      <c r="AA607">
        <v>0.386349653125479</v>
      </c>
      <c r="AD607" s="9">
        <v>3.33552</v>
      </c>
      <c r="AE607">
        <v>6.59885554005907</v>
      </c>
      <c r="AH607">
        <v>41.8385</v>
      </c>
      <c r="AI607" s="10">
        <v>5.83149634905649</v>
      </c>
      <c r="AJ607">
        <v>3.77443683636003</v>
      </c>
    </row>
    <row r="608" customFormat="1" spans="1:36">
      <c r="A608" s="1" t="s">
        <v>384</v>
      </c>
      <c r="B608" s="1">
        <v>36033704</v>
      </c>
      <c r="C608" s="2">
        <v>1</v>
      </c>
      <c r="E608">
        <v>2.331844</v>
      </c>
      <c r="F608">
        <v>15452.876759</v>
      </c>
      <c r="G608" s="3">
        <v>15.452876759</v>
      </c>
      <c r="H608" s="4"/>
      <c r="I608" t="s">
        <v>384</v>
      </c>
      <c r="J608">
        <v>0.99081</v>
      </c>
      <c r="K608" s="5">
        <v>36.3679252328903</v>
      </c>
      <c r="L608">
        <v>2.35347280639568</v>
      </c>
      <c r="O608">
        <v>0.0029776</v>
      </c>
      <c r="P608" s="6">
        <v>12.1015932294465</v>
      </c>
      <c r="Q608" s="4">
        <v>3.00521795298796</v>
      </c>
      <c r="R608" s="4"/>
      <c r="T608">
        <v>9.941</v>
      </c>
      <c r="U608" s="7">
        <v>3.62475646313248</v>
      </c>
      <c r="V608">
        <v>10.0332051553779</v>
      </c>
      <c r="Y608">
        <v>0.00245846</v>
      </c>
      <c r="Z608" s="8">
        <v>14.6570226890004</v>
      </c>
      <c r="AA608">
        <v>2.4812628051796</v>
      </c>
      <c r="AD608" s="9">
        <v>3.51543</v>
      </c>
      <c r="AE608">
        <v>10.3452281037854</v>
      </c>
      <c r="AH608">
        <v>4.7283</v>
      </c>
      <c r="AI608" s="10">
        <v>7.62085823657551</v>
      </c>
      <c r="AJ608">
        <v>4.77215611469404</v>
      </c>
    </row>
    <row r="609" customFormat="1" spans="1:36">
      <c r="A609" s="1" t="s">
        <v>402</v>
      </c>
      <c r="B609" s="1">
        <v>42805332</v>
      </c>
      <c r="C609" s="2">
        <v>1</v>
      </c>
      <c r="E609">
        <v>2.509611</v>
      </c>
      <c r="F609">
        <v>17056.559246</v>
      </c>
      <c r="G609" s="3">
        <v>17.056559246</v>
      </c>
      <c r="H609" s="4"/>
      <c r="I609" t="s">
        <v>402</v>
      </c>
      <c r="J609">
        <v>1.09862</v>
      </c>
      <c r="K609" s="5">
        <v>38.9628188090514</v>
      </c>
      <c r="L609">
        <v>2.28433051749219</v>
      </c>
      <c r="O609">
        <v>0.0031392</v>
      </c>
      <c r="P609" s="6">
        <v>13.635745412844</v>
      </c>
      <c r="Q609" s="4">
        <v>2.85740292366787</v>
      </c>
      <c r="R609" s="4"/>
      <c r="T609">
        <v>12.189</v>
      </c>
      <c r="U609" s="7">
        <v>3.51180014767413</v>
      </c>
      <c r="V609">
        <v>11.094828057017</v>
      </c>
      <c r="Y609">
        <v>0.00246793</v>
      </c>
      <c r="Z609" s="8">
        <v>17.3446297099188</v>
      </c>
      <c r="AA609">
        <v>2.24639092679908</v>
      </c>
      <c r="AD609" s="9">
        <v>3.56343</v>
      </c>
      <c r="AE609">
        <v>10.9340772258895</v>
      </c>
      <c r="AH609">
        <v>2.7795</v>
      </c>
      <c r="AI609" s="10">
        <v>15.4003712898003</v>
      </c>
      <c r="AJ609">
        <v>2.5299921719976</v>
      </c>
    </row>
    <row r="610" customFormat="1" spans="1:36">
      <c r="A610" s="1" t="s">
        <v>413</v>
      </c>
      <c r="B610" s="1">
        <v>48301476</v>
      </c>
      <c r="C610" s="2">
        <v>1</v>
      </c>
      <c r="E610">
        <v>2.793693</v>
      </c>
      <c r="F610">
        <v>17289.471058</v>
      </c>
      <c r="G610" s="3">
        <v>17.289471058</v>
      </c>
      <c r="H610" s="4"/>
      <c r="I610" t="s">
        <v>413</v>
      </c>
      <c r="J610">
        <v>1.25827</v>
      </c>
      <c r="K610" s="5">
        <v>38.387211011945</v>
      </c>
      <c r="L610">
        <v>2.2202652055213</v>
      </c>
      <c r="O610">
        <v>0.0035136</v>
      </c>
      <c r="P610" s="6">
        <v>13.7470047814208</v>
      </c>
      <c r="Q610" s="4">
        <v>2.7924054455721</v>
      </c>
      <c r="R610" s="4"/>
      <c r="T610">
        <v>13.158</v>
      </c>
      <c r="U610" s="7">
        <v>3.67088280893753</v>
      </c>
      <c r="V610">
        <v>10.4572150651291</v>
      </c>
      <c r="Y610">
        <v>0.00273924</v>
      </c>
      <c r="Z610" s="8">
        <v>17.6331668638016</v>
      </c>
      <c r="AA610">
        <v>2.176989040508</v>
      </c>
      <c r="AD610" s="9">
        <v>3.60816</v>
      </c>
      <c r="AE610">
        <v>10.6389991053459</v>
      </c>
      <c r="AH610">
        <v>3.0238</v>
      </c>
      <c r="AI610" s="10">
        <v>15.9737667835174</v>
      </c>
      <c r="AJ610">
        <v>2.40314082033268</v>
      </c>
    </row>
    <row r="611" customFormat="1" spans="1:36">
      <c r="A611" s="1" t="s">
        <v>424</v>
      </c>
      <c r="B611" s="1">
        <v>52600628</v>
      </c>
      <c r="C611" s="2">
        <v>1</v>
      </c>
      <c r="E611">
        <v>3.05102</v>
      </c>
      <c r="F611">
        <v>17240.341681</v>
      </c>
      <c r="G611" s="3">
        <v>17.240341681</v>
      </c>
      <c r="H611" s="4"/>
      <c r="I611" t="s">
        <v>424</v>
      </c>
      <c r="J611">
        <v>1.29306</v>
      </c>
      <c r="K611" s="5">
        <v>40.6791858073098</v>
      </c>
      <c r="L611">
        <v>2.35953477953056</v>
      </c>
      <c r="O611">
        <v>0.003808</v>
      </c>
      <c r="P611" s="6">
        <v>13.8131901260504</v>
      </c>
      <c r="Q611" s="4">
        <v>2.94495228373007</v>
      </c>
      <c r="R611" s="4"/>
      <c r="T611">
        <v>14.462</v>
      </c>
      <c r="U611" s="7">
        <v>3.63716138846633</v>
      </c>
      <c r="V611">
        <v>11.1843224599013</v>
      </c>
      <c r="Y611">
        <v>0.00296072</v>
      </c>
      <c r="Z611" s="8">
        <v>17.7661609338269</v>
      </c>
      <c r="AA611">
        <v>2.28970040060013</v>
      </c>
      <c r="AD611" s="9">
        <v>3.61095</v>
      </c>
      <c r="AE611">
        <v>11.2655079154543</v>
      </c>
      <c r="AH611">
        <v>4.6081</v>
      </c>
      <c r="AI611" s="10">
        <v>11.4148191228489</v>
      </c>
      <c r="AJ611">
        <v>3.56371707422703</v>
      </c>
    </row>
    <row r="612" customFormat="1" spans="1:36">
      <c r="A612" s="1" t="s">
        <v>444</v>
      </c>
      <c r="B612" s="1">
        <v>61999464</v>
      </c>
      <c r="C612" s="2">
        <v>1</v>
      </c>
      <c r="E612">
        <v>3.720079</v>
      </c>
      <c r="F612">
        <v>16666.170154</v>
      </c>
      <c r="G612" s="3">
        <v>16.666170154</v>
      </c>
      <c r="H612" s="4"/>
      <c r="I612" t="s">
        <v>444</v>
      </c>
      <c r="J612">
        <v>1.61895</v>
      </c>
      <c r="K612" s="5">
        <v>38.2960956175299</v>
      </c>
      <c r="L612">
        <v>2.29783419127871</v>
      </c>
      <c r="O612">
        <v>0.0046224</v>
      </c>
      <c r="P612" s="6">
        <v>13.4128296988577</v>
      </c>
      <c r="Q612" s="4">
        <v>2.85518391550079</v>
      </c>
      <c r="R612" s="4"/>
      <c r="T612">
        <v>20.937</v>
      </c>
      <c r="U612" s="7">
        <v>2.96123914600946</v>
      </c>
      <c r="V612">
        <v>12.9324562216251</v>
      </c>
      <c r="Y612">
        <v>0.00327603</v>
      </c>
      <c r="Z612" s="8">
        <v>18.9251820038278</v>
      </c>
      <c r="AA612">
        <v>2.02355230241823</v>
      </c>
      <c r="AD612" s="9">
        <v>3.65889</v>
      </c>
      <c r="AE612">
        <v>10.4665883963524</v>
      </c>
      <c r="AH612">
        <v>4.0648</v>
      </c>
      <c r="AI612" s="10">
        <v>15.2527711080496</v>
      </c>
      <c r="AJ612">
        <v>2.51076314895457</v>
      </c>
    </row>
    <row r="613" customFormat="1" spans="1:36">
      <c r="A613" s="1" t="s">
        <v>594</v>
      </c>
      <c r="B613" s="1">
        <v>459065752</v>
      </c>
      <c r="C613" s="2">
        <v>1</v>
      </c>
      <c r="E613">
        <v>53.807582</v>
      </c>
      <c r="F613">
        <v>8531.61832</v>
      </c>
      <c r="G613" s="3">
        <v>8.53161832</v>
      </c>
      <c r="H613" s="4"/>
      <c r="I613" t="s">
        <v>594</v>
      </c>
      <c r="J613">
        <v>24.5111</v>
      </c>
      <c r="K613" s="5">
        <v>18.7288922977753</v>
      </c>
      <c r="L613">
        <v>2.19523326001008</v>
      </c>
      <c r="O613">
        <v>0.0406704</v>
      </c>
      <c r="P613" s="6">
        <v>11.2874658719855</v>
      </c>
      <c r="Q613" s="4">
        <v>1.65926457808911</v>
      </c>
      <c r="R613" s="4"/>
      <c r="T613">
        <v>67.114</v>
      </c>
      <c r="U613" s="7">
        <v>6.84008928092499</v>
      </c>
      <c r="V613">
        <v>2.7381064089331</v>
      </c>
      <c r="Y613">
        <v>0.0721357</v>
      </c>
      <c r="Z613" s="8">
        <v>6.36391900265749</v>
      </c>
      <c r="AA613">
        <v>2.94298093516815</v>
      </c>
      <c r="AD613" s="9">
        <v>3.16803</v>
      </c>
      <c r="AE613">
        <v>5.91184183791672</v>
      </c>
      <c r="AH613">
        <v>44.2394</v>
      </c>
      <c r="AI613" s="10">
        <v>10.3768530314606</v>
      </c>
      <c r="AJ613">
        <v>1.8048720783645</v>
      </c>
    </row>
    <row r="614" customFormat="1" spans="1:36">
      <c r="A614" s="1" t="s">
        <v>595</v>
      </c>
      <c r="B614" s="1">
        <v>461232120</v>
      </c>
      <c r="C614" s="2">
        <v>1</v>
      </c>
      <c r="E614">
        <v>52.075328</v>
      </c>
      <c r="F614">
        <v>8857.018076</v>
      </c>
      <c r="G614" s="3">
        <v>8.857018076</v>
      </c>
      <c r="H614" s="4"/>
      <c r="I614" t="s">
        <v>595</v>
      </c>
      <c r="J614">
        <v>28.5395</v>
      </c>
      <c r="K614" s="5">
        <v>16.1611843234815</v>
      </c>
      <c r="L614">
        <v>1.82467554935602</v>
      </c>
      <c r="O614">
        <v>0.0404944</v>
      </c>
      <c r="P614" s="6">
        <v>11.3900223240744</v>
      </c>
      <c r="Q614" s="4">
        <v>1.41888960913821</v>
      </c>
      <c r="R614" s="4"/>
      <c r="T614">
        <v>67.576</v>
      </c>
      <c r="U614" s="7">
        <v>6.8253835681307</v>
      </c>
      <c r="V614">
        <v>2.36780602323096</v>
      </c>
      <c r="Y614">
        <v>0.0717458</v>
      </c>
      <c r="Z614" s="8">
        <v>6.42869854402627</v>
      </c>
      <c r="AA614">
        <v>2.51391229699189</v>
      </c>
      <c r="AD614" s="9">
        <v>3.14196</v>
      </c>
      <c r="AE614">
        <v>5.14366329408442</v>
      </c>
      <c r="AH614">
        <v>44.1693</v>
      </c>
      <c r="AI614" s="10">
        <v>10.4423687946153</v>
      </c>
      <c r="AJ614">
        <v>1.54765500446749</v>
      </c>
    </row>
    <row r="615" customFormat="1" spans="1:36">
      <c r="A615" s="1" t="s">
        <v>596</v>
      </c>
      <c r="B615" s="1">
        <v>461232120</v>
      </c>
      <c r="C615" s="2">
        <v>1</v>
      </c>
      <c r="E615">
        <v>51.896655</v>
      </c>
      <c r="F615">
        <v>8887.511468</v>
      </c>
      <c r="G615" s="3">
        <v>8.887511468</v>
      </c>
      <c r="H615" s="4"/>
      <c r="I615" t="s">
        <v>596</v>
      </c>
      <c r="J615">
        <v>28.0789</v>
      </c>
      <c r="K615" s="5">
        <v>16.4262887791188</v>
      </c>
      <c r="L615">
        <v>1.84824389124702</v>
      </c>
      <c r="O615">
        <v>0.0423024</v>
      </c>
      <c r="P615" s="6">
        <v>10.9032140020424</v>
      </c>
      <c r="Q615" s="4">
        <v>1.50655474395364</v>
      </c>
      <c r="R615" s="4"/>
      <c r="T615">
        <v>67.646</v>
      </c>
      <c r="U615" s="7">
        <v>6.818320669367</v>
      </c>
      <c r="V615">
        <v>2.40913995918644</v>
      </c>
      <c r="Y615">
        <v>0.0714052</v>
      </c>
      <c r="Z615" s="8">
        <v>6.45936318363368</v>
      </c>
      <c r="AA615">
        <v>2.5430198476436</v>
      </c>
      <c r="AD615" s="9">
        <v>3.15435</v>
      </c>
      <c r="AE615">
        <v>5.20750353610691</v>
      </c>
      <c r="AH615">
        <v>44.7423</v>
      </c>
      <c r="AI615" s="10">
        <v>10.30863679337</v>
      </c>
      <c r="AJ615">
        <v>1.59344917357874</v>
      </c>
    </row>
    <row r="616" customFormat="1" spans="1:36">
      <c r="A616" s="1" t="s">
        <v>458</v>
      </c>
      <c r="B616" s="1">
        <v>73016184</v>
      </c>
      <c r="C616" s="2">
        <v>1</v>
      </c>
      <c r="E616">
        <v>4.543361</v>
      </c>
      <c r="F616">
        <v>16070.961792</v>
      </c>
      <c r="G616" s="3">
        <v>16.070961792</v>
      </c>
      <c r="H616" s="4"/>
      <c r="I616" t="s">
        <v>458</v>
      </c>
      <c r="J616">
        <v>1.71789</v>
      </c>
      <c r="K616" s="5">
        <v>42.5034105792571</v>
      </c>
      <c r="L616">
        <v>2.6447334720449</v>
      </c>
      <c r="O616">
        <v>0.005232</v>
      </c>
      <c r="P616" s="6">
        <v>13.9556926605505</v>
      </c>
      <c r="Q616" s="4">
        <v>3.04559663307895</v>
      </c>
      <c r="R616" s="4"/>
      <c r="T616">
        <v>19.567</v>
      </c>
      <c r="U616" s="7">
        <v>3.7315983032657</v>
      </c>
      <c r="V616">
        <v>11.3901355732905</v>
      </c>
      <c r="Y616">
        <v>0.00342167</v>
      </c>
      <c r="Z616" s="8">
        <v>21.3393413157902</v>
      </c>
      <c r="AA616">
        <v>1.99178643568564</v>
      </c>
      <c r="AD616" s="9">
        <v>3.63963</v>
      </c>
      <c r="AE616">
        <v>11.6779481923319</v>
      </c>
      <c r="AH616">
        <v>4.4858</v>
      </c>
      <c r="AI616" s="10">
        <v>16.277182219448</v>
      </c>
      <c r="AJ616">
        <v>2.61122656281834</v>
      </c>
    </row>
    <row r="617" customFormat="1" spans="1:36">
      <c r="A617" s="1" t="s">
        <v>474</v>
      </c>
      <c r="B617" s="1">
        <v>84044248</v>
      </c>
      <c r="C617" s="2">
        <v>1</v>
      </c>
      <c r="E617">
        <v>4.770992</v>
      </c>
      <c r="F617">
        <v>17615.674194</v>
      </c>
      <c r="G617" s="3">
        <v>17.615674194</v>
      </c>
      <c r="H617" s="4"/>
      <c r="I617" t="s">
        <v>474</v>
      </c>
      <c r="J617">
        <v>1.83798</v>
      </c>
      <c r="K617" s="5">
        <v>45.7264213974037</v>
      </c>
      <c r="L617">
        <v>2.59578037682931</v>
      </c>
      <c r="O617">
        <v>0.0057104</v>
      </c>
      <c r="P617" s="6">
        <v>14.7177514710003</v>
      </c>
      <c r="Q617" s="4">
        <v>3.10688908475609</v>
      </c>
      <c r="R617" s="4"/>
      <c r="T617">
        <v>22.006</v>
      </c>
      <c r="U617" s="7">
        <v>3.81915150413524</v>
      </c>
      <c r="V617">
        <v>11.972926800074</v>
      </c>
      <c r="Y617">
        <v>0.00351417</v>
      </c>
      <c r="Z617" s="8">
        <v>23.9158173907352</v>
      </c>
      <c r="AA617">
        <v>1.9119740149512</v>
      </c>
      <c r="AD617" s="9">
        <v>3.75402</v>
      </c>
      <c r="AE617">
        <v>12.180654710791</v>
      </c>
      <c r="AH617">
        <v>5.0719</v>
      </c>
      <c r="AI617" s="10">
        <v>16.5705648770678</v>
      </c>
      <c r="AJ617">
        <v>2.75949683892099</v>
      </c>
    </row>
    <row r="618" customFormat="1" spans="1:36">
      <c r="A618" s="1" t="s">
        <v>669</v>
      </c>
      <c r="B618" s="1">
        <v>11210400330</v>
      </c>
      <c r="C618" s="2">
        <v>1</v>
      </c>
      <c r="E618">
        <v>2704.400515</v>
      </c>
      <c r="F618">
        <v>4145.244118</v>
      </c>
      <c r="G618" s="3">
        <v>4.145244118</v>
      </c>
      <c r="H618" s="4"/>
      <c r="I618" t="s">
        <v>669</v>
      </c>
      <c r="J618">
        <v>2106.94</v>
      </c>
      <c r="K618" s="5">
        <v>5.32070221743381</v>
      </c>
      <c r="L618">
        <v>1.28356788309031</v>
      </c>
      <c r="O618">
        <v>1.94828</v>
      </c>
      <c r="P618" s="6">
        <v>5.75399856796764</v>
      </c>
      <c r="Q618" s="4">
        <v>0.924696479254274</v>
      </c>
      <c r="R618" s="4"/>
      <c r="T618">
        <v>33920.073</v>
      </c>
      <c r="U618" s="7">
        <v>0.33049458148277</v>
      </c>
      <c r="V618">
        <v>16.0992116529184</v>
      </c>
      <c r="Y618">
        <v>0.00176036</v>
      </c>
      <c r="Z618" s="8">
        <v>6368.24304687677</v>
      </c>
      <c r="AA618">
        <v>0.000835505519853437</v>
      </c>
      <c r="AD618" s="9">
        <v>1.94829</v>
      </c>
      <c r="AE618">
        <v>2.73096008162738</v>
      </c>
      <c r="AH618">
        <v>40664.85</v>
      </c>
      <c r="AI618" s="10">
        <v>0.275677897004415</v>
      </c>
      <c r="AJ618">
        <v>19.300430956743</v>
      </c>
    </row>
    <row r="619" customFormat="1" spans="1:36">
      <c r="A619" s="1" t="s">
        <v>592</v>
      </c>
      <c r="B619" s="1">
        <v>425405742</v>
      </c>
      <c r="C619" s="2">
        <v>1</v>
      </c>
      <c r="E619">
        <v>49.885193</v>
      </c>
      <c r="F619">
        <v>8527.695607</v>
      </c>
      <c r="G619" s="3">
        <v>8.527695607</v>
      </c>
      <c r="H619" s="4"/>
      <c r="I619" t="s">
        <v>592</v>
      </c>
      <c r="J619">
        <v>6.5184</v>
      </c>
      <c r="K619" s="5">
        <v>65.2622947349043</v>
      </c>
      <c r="L619">
        <v>7.65298126745207</v>
      </c>
      <c r="O619">
        <v>0.0242976</v>
      </c>
      <c r="P619" s="6">
        <v>17.5081383346503</v>
      </c>
      <c r="Q619" s="4">
        <v>3.72754050073638</v>
      </c>
      <c r="R619" s="4"/>
      <c r="T619">
        <v>51.133</v>
      </c>
      <c r="U619" s="7">
        <v>8.31959286566405</v>
      </c>
      <c r="V619">
        <v>7.84440967108493</v>
      </c>
      <c r="Y619">
        <v>0.0393269</v>
      </c>
      <c r="Z619" s="8">
        <v>10.8171694692437</v>
      </c>
      <c r="AA619">
        <v>6.03321367206676</v>
      </c>
      <c r="AD619" s="9">
        <v>3.95718</v>
      </c>
      <c r="AE619">
        <v>16.4921218481101</v>
      </c>
      <c r="AH619">
        <v>18.0585</v>
      </c>
      <c r="AI619" s="10">
        <v>23.557091785032</v>
      </c>
      <c r="AJ619">
        <v>2.77038843888071</v>
      </c>
    </row>
    <row r="620" customFormat="1" spans="1:36">
      <c r="A620" s="1" t="s">
        <v>593</v>
      </c>
      <c r="B620" s="1">
        <v>425405742</v>
      </c>
      <c r="C620" s="2">
        <v>1</v>
      </c>
      <c r="E620">
        <v>49.645496</v>
      </c>
      <c r="F620">
        <v>8568.868794</v>
      </c>
      <c r="G620" s="3">
        <v>8.568868794</v>
      </c>
      <c r="H620" s="4"/>
      <c r="I620" t="s">
        <v>593</v>
      </c>
      <c r="J620">
        <v>8.54778</v>
      </c>
      <c r="K620" s="5">
        <v>49.7679797561472</v>
      </c>
      <c r="L620">
        <v>5.80799880971397</v>
      </c>
      <c r="O620">
        <v>0.0243248</v>
      </c>
      <c r="P620" s="6">
        <v>17.4885607281458</v>
      </c>
      <c r="Q620" s="4">
        <v>2.84574474307949</v>
      </c>
      <c r="R620" s="4"/>
      <c r="T620">
        <v>51.244</v>
      </c>
      <c r="U620" s="7">
        <v>8.30157173522754</v>
      </c>
      <c r="V620">
        <v>5.99500689067805</v>
      </c>
      <c r="Y620">
        <v>0.0364539</v>
      </c>
      <c r="Z620" s="8">
        <v>11.6696908149745</v>
      </c>
      <c r="AA620">
        <v>4.26472136624948</v>
      </c>
      <c r="AD620" s="9">
        <v>3.96174</v>
      </c>
      <c r="AE620">
        <v>12.5621519221724</v>
      </c>
      <c r="AH620">
        <v>17.8976</v>
      </c>
      <c r="AI620" s="10">
        <v>23.7688707983193</v>
      </c>
      <c r="AJ620">
        <v>2.09383021088517</v>
      </c>
    </row>
    <row r="621" customFormat="1" spans="1:36">
      <c r="A621" s="1" t="s">
        <v>495</v>
      </c>
      <c r="B621" s="1">
        <v>102299492</v>
      </c>
      <c r="C621" s="2">
        <v>1</v>
      </c>
      <c r="E621">
        <v>5.29112</v>
      </c>
      <c r="F621">
        <v>19334.185554</v>
      </c>
      <c r="G621" s="3">
        <v>19.334185554</v>
      </c>
      <c r="H621" s="4"/>
      <c r="I621" t="s">
        <v>495</v>
      </c>
      <c r="J621">
        <v>2.11378</v>
      </c>
      <c r="K621" s="5">
        <v>48.3964707774697</v>
      </c>
      <c r="L621">
        <v>2.50315538983007</v>
      </c>
      <c r="O621">
        <v>0.0067552</v>
      </c>
      <c r="P621" s="6">
        <v>15.1438139507342</v>
      </c>
      <c r="Q621" s="4">
        <v>3.19579142578698</v>
      </c>
      <c r="R621" s="4"/>
      <c r="T621">
        <v>23.908</v>
      </c>
      <c r="U621" s="7">
        <v>4.27888121131002</v>
      </c>
      <c r="V621">
        <v>11.3105431974945</v>
      </c>
      <c r="Y621">
        <v>0.00371322</v>
      </c>
      <c r="Z621" s="8">
        <v>27.5500756755592</v>
      </c>
      <c r="AA621">
        <v>1.75667287986451</v>
      </c>
      <c r="AD621" s="9">
        <v>3.78768</v>
      </c>
      <c r="AE621">
        <v>12.7773388399943</v>
      </c>
      <c r="AH621">
        <v>5.7821</v>
      </c>
      <c r="AI621" s="10">
        <v>17.6924459971291</v>
      </c>
      <c r="AJ621">
        <v>2.73543131262478</v>
      </c>
    </row>
    <row r="622" customFormat="1" spans="1:36">
      <c r="A622" s="1" t="s">
        <v>504</v>
      </c>
      <c r="B622" s="1">
        <v>112788760</v>
      </c>
      <c r="C622" s="2">
        <v>1</v>
      </c>
      <c r="E622">
        <v>6.317691</v>
      </c>
      <c r="F622">
        <v>17852.846032</v>
      </c>
      <c r="G622" s="3">
        <v>17.852846032</v>
      </c>
      <c r="H622" s="4"/>
      <c r="I622" t="s">
        <v>504</v>
      </c>
      <c r="J622">
        <v>2.45622</v>
      </c>
      <c r="K622" s="5">
        <v>45.9196488913859</v>
      </c>
      <c r="L622">
        <v>2.57211924693005</v>
      </c>
      <c r="O622">
        <v>0.007544</v>
      </c>
      <c r="P622" s="6">
        <v>14.9507900318134</v>
      </c>
      <c r="Q622" s="4">
        <v>3.07138611362174</v>
      </c>
      <c r="R622" s="4"/>
      <c r="T622">
        <v>25.054</v>
      </c>
      <c r="U622" s="7">
        <v>4.50182645485751</v>
      </c>
      <c r="V622">
        <v>10.2002263640879</v>
      </c>
      <c r="Y622">
        <v>0.0431588</v>
      </c>
      <c r="Z622" s="8">
        <v>2.61334328109215</v>
      </c>
      <c r="AA622">
        <v>17.5712273330565</v>
      </c>
      <c r="AD622" s="9">
        <v>3.80892</v>
      </c>
      <c r="AE622">
        <v>12.0558186812498</v>
      </c>
      <c r="AH622">
        <v>6.3685</v>
      </c>
      <c r="AI622" s="10">
        <v>17.7104121849729</v>
      </c>
      <c r="AJ622">
        <v>2.5928052047455</v>
      </c>
    </row>
    <row r="623" customFormat="1" spans="1:36">
      <c r="A623" s="1" t="s">
        <v>512</v>
      </c>
      <c r="B623" s="1">
        <v>129037780</v>
      </c>
      <c r="C623" s="2">
        <v>1</v>
      </c>
      <c r="E623">
        <v>71.57079</v>
      </c>
      <c r="F623">
        <v>1802.939148</v>
      </c>
      <c r="G623" s="3">
        <v>1.802939148</v>
      </c>
      <c r="H623" s="4"/>
      <c r="I623" t="s">
        <v>512</v>
      </c>
      <c r="J623">
        <v>48.3722</v>
      </c>
      <c r="K623" s="5">
        <v>2.66760205241854</v>
      </c>
      <c r="L623">
        <v>1.47958518476772</v>
      </c>
      <c r="O623">
        <v>0.0428768</v>
      </c>
      <c r="P623" s="6">
        <v>3.00950117546086</v>
      </c>
      <c r="Q623" s="4">
        <v>0.886393424322235</v>
      </c>
      <c r="R623" s="4"/>
      <c r="T623">
        <v>47.301</v>
      </c>
      <c r="U623" s="7">
        <v>2.72801378406376</v>
      </c>
      <c r="V623">
        <v>0.977855048974411</v>
      </c>
      <c r="Y623">
        <v>0.0114152</v>
      </c>
      <c r="Z623" s="8">
        <v>11.3040314668162</v>
      </c>
      <c r="AA623">
        <v>0.235986785798454</v>
      </c>
      <c r="AD623" s="9">
        <v>1.398801</v>
      </c>
      <c r="AE623">
        <v>1.90706330094026</v>
      </c>
      <c r="AH623">
        <v>62.1749</v>
      </c>
      <c r="AI623" s="10">
        <v>2.07539988001589</v>
      </c>
      <c r="AJ623">
        <v>1.2853436477977</v>
      </c>
    </row>
    <row r="624" customFormat="1" spans="1:36">
      <c r="A624" s="1" t="s">
        <v>522</v>
      </c>
      <c r="B624" s="1">
        <v>141965260</v>
      </c>
      <c r="C624" s="2">
        <v>1</v>
      </c>
      <c r="E624">
        <v>7.232224</v>
      </c>
      <c r="F624">
        <v>19629.543322</v>
      </c>
      <c r="G624" s="3">
        <v>19.629543322</v>
      </c>
      <c r="H624" s="4"/>
      <c r="I624" t="s">
        <v>522</v>
      </c>
      <c r="J624">
        <v>2.83571</v>
      </c>
      <c r="K624" s="5">
        <v>50.0633915315741</v>
      </c>
      <c r="L624">
        <v>2.55041040488523</v>
      </c>
      <c r="O624">
        <v>0.0089792</v>
      </c>
      <c r="P624" s="6">
        <v>15.8104575017819</v>
      </c>
      <c r="Q624" s="4">
        <v>3.16647329945587</v>
      </c>
      <c r="R624" s="4"/>
      <c r="T624">
        <v>28.47</v>
      </c>
      <c r="U624" s="7">
        <v>4.9864861257464</v>
      </c>
      <c r="V624">
        <v>10.0398136621869</v>
      </c>
      <c r="Y624">
        <v>0.00557414</v>
      </c>
      <c r="Z624" s="8">
        <v>25.4685494085186</v>
      </c>
      <c r="AA624">
        <v>1.96569465848059</v>
      </c>
      <c r="AD624" s="9">
        <v>3.81918</v>
      </c>
      <c r="AE624">
        <v>13.1084137253479</v>
      </c>
      <c r="AH624">
        <v>7.4264</v>
      </c>
      <c r="AI624" s="10">
        <v>19.1162959172681</v>
      </c>
      <c r="AJ624">
        <v>2.61888557010414</v>
      </c>
    </row>
    <row r="625" customFormat="1" spans="1:36">
      <c r="A625" s="1" t="s">
        <v>554</v>
      </c>
      <c r="B625" s="1">
        <v>201068708</v>
      </c>
      <c r="C625" s="2">
        <v>1</v>
      </c>
      <c r="E625">
        <v>9.901221</v>
      </c>
      <c r="F625">
        <v>20307.465529</v>
      </c>
      <c r="G625" s="3">
        <v>20.307465529</v>
      </c>
      <c r="H625" s="4"/>
      <c r="I625" t="s">
        <v>554</v>
      </c>
      <c r="J625">
        <v>4.0049</v>
      </c>
      <c r="K625" s="5">
        <v>50.2056750480661</v>
      </c>
      <c r="L625">
        <v>2.47227675833649</v>
      </c>
      <c r="O625">
        <v>0.0121552</v>
      </c>
      <c r="P625" s="6">
        <v>16.5417852441753</v>
      </c>
      <c r="Q625" s="4">
        <v>3.03508202451996</v>
      </c>
      <c r="R625" s="4"/>
      <c r="T625">
        <v>37.638</v>
      </c>
      <c r="U625" s="7">
        <v>5.34217301663213</v>
      </c>
      <c r="V625">
        <v>9.39798746535494</v>
      </c>
      <c r="Y625">
        <v>0.00569397</v>
      </c>
      <c r="Z625" s="8">
        <v>35.3125689106195</v>
      </c>
      <c r="AA625">
        <v>1.42175085520238</v>
      </c>
      <c r="AD625" s="9">
        <v>3.84246</v>
      </c>
      <c r="AE625">
        <v>13.066024122064</v>
      </c>
      <c r="AH625">
        <v>10.0494</v>
      </c>
      <c r="AI625" s="10">
        <v>20.0080311262364</v>
      </c>
      <c r="AJ625">
        <v>2.5092761367325</v>
      </c>
    </row>
    <row r="626" customFormat="1" spans="1:36">
      <c r="A626" s="1" t="s">
        <v>573</v>
      </c>
      <c r="B626" s="1">
        <v>293719984</v>
      </c>
      <c r="C626" s="2">
        <v>1</v>
      </c>
      <c r="E626">
        <v>13.80253</v>
      </c>
      <c r="F626">
        <v>21280.155863</v>
      </c>
      <c r="G626" s="3">
        <v>21.280155863</v>
      </c>
      <c r="H626" s="4"/>
      <c r="I626" t="s">
        <v>573</v>
      </c>
      <c r="J626">
        <v>5.46231</v>
      </c>
      <c r="K626" s="5">
        <v>53.7721191217635</v>
      </c>
      <c r="L626">
        <v>2.52686678931979</v>
      </c>
      <c r="O626">
        <v>0.017152</v>
      </c>
      <c r="P626" s="6">
        <v>17.1245326492537</v>
      </c>
      <c r="Q626" s="4">
        <v>3.14006345300798</v>
      </c>
      <c r="R626" s="4"/>
      <c r="T626">
        <v>46.617</v>
      </c>
      <c r="U626" s="7">
        <v>6.30070540789841</v>
      </c>
      <c r="V626">
        <v>8.53430142192589</v>
      </c>
      <c r="Y626">
        <v>0.00706386</v>
      </c>
      <c r="Z626" s="8">
        <v>41.5806632634282</v>
      </c>
      <c r="AA626">
        <v>1.29320012961549</v>
      </c>
      <c r="AD626" s="9">
        <v>3.95715</v>
      </c>
      <c r="AE626">
        <v>13.5885976325799</v>
      </c>
      <c r="AH626">
        <v>12.674</v>
      </c>
      <c r="AI626" s="10">
        <v>23.1750026826574</v>
      </c>
      <c r="AJ626">
        <v>2.32026377118838</v>
      </c>
    </row>
    <row r="627" customFormat="1" spans="1:36">
      <c r="A627" s="1" t="s">
        <v>613</v>
      </c>
      <c r="B627" s="1">
        <v>1240402324</v>
      </c>
      <c r="C627" s="2">
        <v>1</v>
      </c>
      <c r="E627">
        <v>145.848335</v>
      </c>
      <c r="F627">
        <v>8504.741046</v>
      </c>
      <c r="G627" s="3">
        <v>8.504741046</v>
      </c>
      <c r="H627" s="4"/>
      <c r="I627" t="s">
        <v>613</v>
      </c>
      <c r="J627">
        <v>54.8842</v>
      </c>
      <c r="K627" s="5">
        <v>22.6003535443716</v>
      </c>
      <c r="L627">
        <v>2.65738291408662</v>
      </c>
      <c r="O627">
        <v>0.1019024</v>
      </c>
      <c r="P627" s="6">
        <v>12.1724544662344</v>
      </c>
      <c r="Q627" s="4">
        <v>1.85668006457232</v>
      </c>
      <c r="R627" s="4"/>
      <c r="T627">
        <v>166.926</v>
      </c>
      <c r="U627" s="7">
        <v>7.43085153900531</v>
      </c>
      <c r="V627">
        <v>3.04142175708127</v>
      </c>
      <c r="Y627">
        <v>0.0176386</v>
      </c>
      <c r="Z627" s="8">
        <v>70.3231732677197</v>
      </c>
      <c r="AA627">
        <v>0.32137846593373</v>
      </c>
      <c r="AD627" s="9">
        <v>3.29652</v>
      </c>
      <c r="AE627">
        <v>6.85582175881584</v>
      </c>
      <c r="AH627">
        <v>120.9177</v>
      </c>
      <c r="AI627" s="10">
        <v>10.2582361722064</v>
      </c>
      <c r="AJ627">
        <v>2.20314225223288</v>
      </c>
    </row>
    <row r="628" customFormat="1" spans="1:36">
      <c r="A628" s="1" t="s">
        <v>588</v>
      </c>
      <c r="B628" s="1">
        <v>394238376</v>
      </c>
      <c r="C628" s="2">
        <v>1</v>
      </c>
      <c r="E628">
        <v>18.464977</v>
      </c>
      <c r="F628">
        <v>21350.60261</v>
      </c>
      <c r="G628" s="3">
        <v>21.35060261</v>
      </c>
      <c r="H628" s="4"/>
      <c r="I628" t="s">
        <v>588</v>
      </c>
      <c r="J628">
        <v>6.8519</v>
      </c>
      <c r="K628" s="5">
        <v>57.5370883988383</v>
      </c>
      <c r="L628">
        <v>2.69486952897009</v>
      </c>
      <c r="O628">
        <v>0.0226272</v>
      </c>
      <c r="P628" s="6">
        <v>17.4232064064489</v>
      </c>
      <c r="Q628" s="4">
        <v>3.30232490258177</v>
      </c>
      <c r="R628" s="4"/>
      <c r="T628">
        <v>57.744</v>
      </c>
      <c r="U628" s="7">
        <v>6.82734788029925</v>
      </c>
      <c r="V628">
        <v>8.42744348282958</v>
      </c>
      <c r="Y628">
        <v>0.00944342</v>
      </c>
      <c r="Z628" s="8">
        <v>41.7474152372763</v>
      </c>
      <c r="AA628">
        <v>1.37821918008144</v>
      </c>
      <c r="AD628" s="9">
        <v>3.96927</v>
      </c>
      <c r="AE628">
        <v>14.4956348141694</v>
      </c>
      <c r="AH628">
        <v>16.6449</v>
      </c>
      <c r="AI628" s="10">
        <v>23.6852354775337</v>
      </c>
      <c r="AJ628">
        <v>2.42923860535034</v>
      </c>
    </row>
    <row r="629" customFormat="1" spans="1:36">
      <c r="A629" s="1" t="s">
        <v>612</v>
      </c>
      <c r="B629" s="1">
        <v>1192131702</v>
      </c>
      <c r="C629" s="2">
        <v>1</v>
      </c>
      <c r="E629">
        <v>134.315622</v>
      </c>
      <c r="F629">
        <v>8875.599785</v>
      </c>
      <c r="G629" s="3">
        <v>8.875599785</v>
      </c>
      <c r="H629" s="4"/>
      <c r="I629" t="s">
        <v>612</v>
      </c>
      <c r="J629">
        <v>21.4896</v>
      </c>
      <c r="K629" s="5">
        <v>55.4748204712977</v>
      </c>
      <c r="L629">
        <v>6.25026159528415</v>
      </c>
      <c r="O629">
        <v>0.0682752</v>
      </c>
      <c r="P629" s="6">
        <v>17.4606841429977</v>
      </c>
      <c r="Q629" s="4">
        <v>3.1771275407639</v>
      </c>
      <c r="R629" s="4"/>
      <c r="T629">
        <v>138.79</v>
      </c>
      <c r="U629" s="7">
        <v>8.58946395273435</v>
      </c>
      <c r="V629">
        <v>6.45847293574566</v>
      </c>
      <c r="Y629">
        <v>0.0935898</v>
      </c>
      <c r="Z629" s="8">
        <v>12.7378379054128</v>
      </c>
      <c r="AA629">
        <v>4.35512061648425</v>
      </c>
      <c r="AD629" s="9">
        <v>3.90579</v>
      </c>
      <c r="AE629">
        <v>14.2032266126181</v>
      </c>
      <c r="AH629">
        <v>50.3832</v>
      </c>
      <c r="AI629" s="10">
        <v>23.6612938836755</v>
      </c>
      <c r="AJ629">
        <v>2.34453875362966</v>
      </c>
    </row>
    <row r="630" customFormat="1" spans="1:36">
      <c r="A630" s="1" t="s">
        <v>599</v>
      </c>
      <c r="B630" s="1">
        <v>489768668</v>
      </c>
      <c r="C630" s="2">
        <v>1</v>
      </c>
      <c r="E630">
        <v>21.803643</v>
      </c>
      <c r="F630">
        <v>22462.698753</v>
      </c>
      <c r="G630" s="3">
        <v>22.462698753</v>
      </c>
      <c r="H630" s="4"/>
      <c r="I630" t="s">
        <v>599</v>
      </c>
      <c r="J630">
        <v>8.21841</v>
      </c>
      <c r="K630" s="5">
        <v>59.5940903410757</v>
      </c>
      <c r="L630">
        <v>2.65302450949339</v>
      </c>
      <c r="O630">
        <v>0.0272</v>
      </c>
      <c r="P630" s="6">
        <v>18.0062010294118</v>
      </c>
      <c r="Q630" s="4">
        <v>3.30964261943612</v>
      </c>
      <c r="R630" s="4"/>
      <c r="T630">
        <v>68.827</v>
      </c>
      <c r="U630" s="7">
        <v>7.11593804756854</v>
      </c>
      <c r="V630">
        <v>8.37473428558565</v>
      </c>
      <c r="Y630">
        <v>0.010636</v>
      </c>
      <c r="Z630" s="8">
        <v>46.0482012034599</v>
      </c>
      <c r="AA630">
        <v>1.29416760662951</v>
      </c>
      <c r="AD630" s="9">
        <v>3.94713</v>
      </c>
      <c r="AE630">
        <v>15.0980814771937</v>
      </c>
      <c r="AH630">
        <v>19.8266</v>
      </c>
      <c r="AI630" s="10">
        <v>24.7026049852219</v>
      </c>
      <c r="AJ630">
        <v>2.41246177788648</v>
      </c>
    </row>
    <row r="631" customFormat="1" spans="1:36">
      <c r="A631" s="1" t="s">
        <v>598</v>
      </c>
      <c r="B631" s="1">
        <v>488889912</v>
      </c>
      <c r="C631" s="2">
        <v>1</v>
      </c>
      <c r="E631">
        <v>21.416483</v>
      </c>
      <c r="F631">
        <v>22827.739821</v>
      </c>
      <c r="G631" s="3">
        <v>22.827739821</v>
      </c>
      <c r="H631" s="4"/>
      <c r="I631" t="s">
        <v>598</v>
      </c>
      <c r="J631">
        <v>8.18455</v>
      </c>
      <c r="K631" s="5">
        <v>59.7332671924541</v>
      </c>
      <c r="L631">
        <v>2.61669651313896</v>
      </c>
      <c r="O631">
        <v>0.0272672</v>
      </c>
      <c r="P631" s="6">
        <v>17.9295971716935</v>
      </c>
      <c r="Q631" s="4">
        <v>3.33154541178196</v>
      </c>
      <c r="R631" s="4"/>
      <c r="T631">
        <v>95.215</v>
      </c>
      <c r="U631" s="7">
        <v>5.13458921388437</v>
      </c>
      <c r="V631">
        <v>11.6335045909671</v>
      </c>
      <c r="Y631">
        <v>0.0104382</v>
      </c>
      <c r="Z631" s="8">
        <v>46.836610909927</v>
      </c>
      <c r="AA631">
        <v>1.2753541734121</v>
      </c>
      <c r="AD631" s="9">
        <v>3.97992</v>
      </c>
      <c r="AE631">
        <v>15.0086602726824</v>
      </c>
      <c r="AH631">
        <v>19.8515</v>
      </c>
      <c r="AI631" s="10">
        <v>24.6273537012316</v>
      </c>
      <c r="AJ631">
        <v>2.42548460208564</v>
      </c>
    </row>
    <row r="632" customFormat="1" spans="1:36">
      <c r="A632" s="1" t="s">
        <v>600</v>
      </c>
      <c r="B632" s="1">
        <v>492893748</v>
      </c>
      <c r="C632" s="2">
        <v>1</v>
      </c>
      <c r="E632">
        <v>21.349916</v>
      </c>
      <c r="F632">
        <v>23086.44905</v>
      </c>
      <c r="G632" s="3">
        <v>23.08644905</v>
      </c>
      <c r="H632" s="4"/>
      <c r="I632" t="s">
        <v>600</v>
      </c>
      <c r="J632">
        <v>8.28881</v>
      </c>
      <c r="K632" s="5">
        <v>59.464959143713</v>
      </c>
      <c r="L632">
        <v>2.57575164612477</v>
      </c>
      <c r="O632">
        <v>0.0273872</v>
      </c>
      <c r="P632" s="6">
        <v>17.9972303849974</v>
      </c>
      <c r="Q632" s="4">
        <v>3.30411723757693</v>
      </c>
      <c r="R632" s="4"/>
      <c r="T632">
        <v>69.703</v>
      </c>
      <c r="U632" s="7">
        <v>7.0713419508486</v>
      </c>
      <c r="V632">
        <v>8.409289150071</v>
      </c>
      <c r="Y632">
        <v>0.0106268</v>
      </c>
      <c r="Z632" s="8">
        <v>46.3821421312154</v>
      </c>
      <c r="AA632">
        <v>1.28206582126988</v>
      </c>
      <c r="AD632" s="9">
        <v>3.99858</v>
      </c>
      <c r="AE632">
        <v>14.8715191752355</v>
      </c>
      <c r="AH632">
        <v>20.1424</v>
      </c>
      <c r="AI632" s="10">
        <v>24.4704577408849</v>
      </c>
      <c r="AJ632">
        <v>2.4300713853979</v>
      </c>
    </row>
    <row r="633" customFormat="1" spans="1:36">
      <c r="A633" s="1" t="s">
        <v>601</v>
      </c>
      <c r="B633" s="1">
        <v>492894708</v>
      </c>
      <c r="C633" s="2">
        <v>1</v>
      </c>
      <c r="E633">
        <v>21.562196</v>
      </c>
      <c r="F633">
        <v>22859.207377</v>
      </c>
      <c r="G633" s="3">
        <v>22.859207377</v>
      </c>
      <c r="H633" s="4"/>
      <c r="I633" t="s">
        <v>601</v>
      </c>
      <c r="J633">
        <v>8.4956</v>
      </c>
      <c r="K633" s="5">
        <v>58.0176453693677</v>
      </c>
      <c r="L633">
        <v>2.53804274192563</v>
      </c>
      <c r="O633">
        <v>0.0274608</v>
      </c>
      <c r="P633" s="6">
        <v>17.9490294528928</v>
      </c>
      <c r="Q633" s="4">
        <v>3.23235557229625</v>
      </c>
      <c r="R633" s="4"/>
      <c r="T633">
        <v>70.538</v>
      </c>
      <c r="U633" s="7">
        <v>6.98764790609317</v>
      </c>
      <c r="V633">
        <v>8.30288619991525</v>
      </c>
      <c r="Y633">
        <v>0.0106015</v>
      </c>
      <c r="Z633" s="8">
        <v>46.4929215677027</v>
      </c>
      <c r="AA633">
        <v>1.24788125617967</v>
      </c>
      <c r="AD633" s="9">
        <v>3.98892</v>
      </c>
      <c r="AE633">
        <v>14.5447001617901</v>
      </c>
      <c r="AH633">
        <v>20.0368</v>
      </c>
      <c r="AI633" s="10">
        <v>24.5994723708377</v>
      </c>
      <c r="AJ633">
        <v>2.35849145439992</v>
      </c>
    </row>
  </sheetData>
  <autoFilter xmlns:etc="http://www.wps.cn/officeDocument/2017/etCustomData" ref="A1:AK633" etc:filterBottomFollowUsedRange="0">
    <sortState ref="A1:AK633">
      <sortCondition ref="C1"/>
    </sortState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Xeon5120</vt:lpstr>
      <vt:lpstr>Xeon6248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linshengle</dc:creator>
  <cp:lastModifiedBy>036</cp:lastModifiedBy>
  <dcterms:created xsi:type="dcterms:W3CDTF">2026-04-01T15:12:00Z</dcterms:created>
  <dcterms:modified xsi:type="dcterms:W3CDTF">2026-04-01T09:42:27Z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612ECADF38170F016222CA6924D6A1BD_41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