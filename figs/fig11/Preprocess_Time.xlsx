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40"/>
  </bookViews>
  <sheets>
    <sheet name="Xeon5120" sheetId="1" r:id="rId1"/>
    <sheet name="Sheet1" sheetId="2" r:id="rId2"/>
  </sheets>
  <definedNames>
    <definedName name="_xlnm._FilterDatabase" localSheetId="0" hidden="1">Xeon5120!$A$1:$AP$21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<sst xmlns="http://schemas.openxmlformats.org/spreadsheetml/2006/main" count="127" uniqueCount="75">
  <si>
    <t>mtx_ID</t>
  </si>
  <si>
    <t>DATA_name</t>
  </si>
  <si>
    <t>mtx Rows</t>
  </si>
  <si>
    <t>mtx nnz</t>
  </si>
  <si>
    <t>sizeofAcsc</t>
  </si>
  <si>
    <t>GenAandBtime</t>
  </si>
  <si>
    <t>PreprocessAandBtime</t>
  </si>
  <si>
    <t>Floating-pointOperations</t>
  </si>
  <si>
    <t>C.nnz</t>
  </si>
  <si>
    <t>CompressRatio</t>
  </si>
  <si>
    <t>k</t>
  </si>
  <si>
    <t>bands</t>
  </si>
  <si>
    <t>GP_overhead(s)</t>
  </si>
  <si>
    <t>GP_hybSpGEMM</t>
  </si>
  <si>
    <t>runs_1</t>
  </si>
  <si>
    <t>runs_1new</t>
  </si>
  <si>
    <t>log10_1</t>
  </si>
  <si>
    <t>HP_overhead(s)</t>
  </si>
  <si>
    <t>HP_Time(ms)</t>
  </si>
  <si>
    <t>runs_2</t>
  </si>
  <si>
    <t>runs_2new</t>
  </si>
  <si>
    <t>log10_2</t>
  </si>
  <si>
    <t>LSH Overhead</t>
  </si>
  <si>
    <t>LeSpGEMM_VLength_time</t>
  </si>
  <si>
    <t>runs_3</t>
  </si>
  <si>
    <t>runs_3new</t>
  </si>
  <si>
    <t>log10_3</t>
  </si>
  <si>
    <t>Memory (GB)</t>
  </si>
  <si>
    <t>Hier_Time(seconds)</t>
  </si>
  <si>
    <t>Hierachical_SpGEMM(ms)</t>
  </si>
  <si>
    <t>runs_4</t>
  </si>
  <si>
    <t>runs_4new</t>
  </si>
  <si>
    <t>log10_4</t>
  </si>
  <si>
    <t>CLSH_Mem(GB)</t>
  </si>
  <si>
    <t>CLSH Overhead</t>
  </si>
  <si>
    <t>LeSpGEMM(ms)</t>
  </si>
  <si>
    <t>runs_5</t>
  </si>
  <si>
    <t>log10_5</t>
  </si>
  <si>
    <t>Cost_RCM (ms)</t>
  </si>
  <si>
    <t>RCM_time_ms</t>
  </si>
  <si>
    <t>runs_6</t>
  </si>
  <si>
    <t>log10_6</t>
  </si>
  <si>
    <t>Cost_Gray (ms)</t>
  </si>
  <si>
    <t>Gray_time_ms</t>
  </si>
  <si>
    <t>runs_7</t>
  </si>
  <si>
    <t>log10_7</t>
  </si>
  <si>
    <t>cant</t>
  </si>
  <si>
    <t>pwtk</t>
  </si>
  <si>
    <t>offshore</t>
  </si>
  <si>
    <t>cage12</t>
  </si>
  <si>
    <t>scircuit</t>
  </si>
  <si>
    <t>wiki-Vote</t>
  </si>
  <si>
    <t>poisson3Da</t>
  </si>
  <si>
    <t>pdb1HYS</t>
  </si>
  <si>
    <t>rma10</t>
  </si>
  <si>
    <t>shipsec1</t>
  </si>
  <si>
    <t>consph</t>
  </si>
  <si>
    <t>filter3D</t>
  </si>
  <si>
    <t>mac_econ_fwd500</t>
  </si>
  <si>
    <t>af_shell10</t>
  </si>
  <si>
    <t>hood</t>
  </si>
  <si>
    <t>case39</t>
  </si>
  <si>
    <t>gupta3</t>
  </si>
  <si>
    <t>TSOPF_FS_b300_c2</t>
  </si>
  <si>
    <t>com-LiveJournal</t>
  </si>
  <si>
    <t>wikipedia-20070206</t>
  </si>
  <si>
    <t>null</t>
  </si>
  <si>
    <t>genPairs_time</t>
  </si>
  <si>
    <t>HC_time</t>
  </si>
  <si>
    <t>cost_sum</t>
  </si>
  <si>
    <t>Format_Conversion_time</t>
  </si>
  <si>
    <t>mtxname</t>
  </si>
  <si>
    <t>r</t>
  </si>
  <si>
    <t>C-LSH</t>
  </si>
  <si>
    <t>LSH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</si>
</sst>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1"/>
  <sheetViews>
    <sheetView tabSelected="1" zoomScale="101" zoomScaleNormal="101" zoomScaleSheetLayoutView="60" topLeftCell="AA1" workbookViewId="0">
      <selection activeCell="AR11" sqref="AR11"/>
    </sheetView>
  </sheetViews>
  <sheetFormatPr defaultColWidth="10.3846153846154" defaultRowHeight="16.8"/>
  <cols>
    <col min="1" max="4" width="10.3846153846154" style="1"/>
    <col min="5" max="5" width="11.7692307692308" style="1"/>
    <col min="6" max="6" width="10.6923076923077" style="1"/>
    <col min="7" max="7" width="21.2884615384615" style="1" customWidth="1"/>
    <col min="8" max="8" width="17.3461538461538" style="1" customWidth="1"/>
    <col min="9" max="9" width="17.4615384615385" style="1"/>
    <col min="10" max="12" width="12.9230769230769" style="1"/>
    <col min="13" max="13" width="10.3846153846154" style="1"/>
    <col min="14" max="14" width="16.3461538461538" style="1" customWidth="1"/>
    <col min="15" max="15" width="18.1057692307692" style="1" customWidth="1"/>
    <col min="16" max="18" width="12.2884615384615" style="1" customWidth="1"/>
    <col min="19" max="19" width="10.3846153846154" style="1"/>
    <col min="20" max="20" width="14.7403846153846" style="1" customWidth="1"/>
    <col min="21" max="24" width="12.9230769230769" style="1"/>
    <col min="25" max="26" width="10.3846153846154" style="1"/>
    <col min="27" max="29" width="12.9230769230769" style="1"/>
    <col min="30" max="30" width="14.0769230769231" style="1"/>
    <col min="31" max="31" width="10.3846153846154" style="1"/>
    <col min="32" max="32" width="12.9230769230769" style="1"/>
    <col min="33" max="33" width="16.6826923076923" style="1" customWidth="1"/>
    <col min="34" max="37" width="12.9230769230769" style="1"/>
    <col min="38" max="38" width="10.3846153846154" style="1"/>
    <col min="39" max="39" width="12.9230769230769" style="1"/>
    <col min="40" max="40" width="16.6538461538462" style="1" customWidth="1"/>
    <col min="41" max="41" width="10.3846153846154" style="1"/>
    <col min="42" max="42" width="12.9230769230769" style="1"/>
    <col min="43" max="43" width="14.0769230769231" style="1"/>
    <col min="44" max="44" width="10.3846153846154" style="1"/>
    <col min="45" max="45" width="16.9711538461538" style="1" customWidth="1"/>
    <col min="46" max="46" width="16.4903846153846" style="1" customWidth="1"/>
    <col min="47" max="47" width="12.9230769230769" style="1"/>
    <col min="48" max="48" width="14.0769230769231" style="1"/>
    <col min="49" max="49" width="10.3846153846154" style="1"/>
    <col min="50" max="50" width="16.5" style="1" customWidth="1"/>
    <col min="51" max="51" width="16.8076923076923" style="1" customWidth="1"/>
    <col min="52" max="52" width="12.9230769230769" style="1"/>
    <col min="53" max="53" width="14.0769230769231" style="1"/>
    <col min="54" max="16384" width="10.3846153846154" style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5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Z1" s="8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F1" s="1" t="s">
        <v>27</v>
      </c>
      <c r="AG1" s="9" t="s">
        <v>28</v>
      </c>
      <c r="AH1" s="9" t="s">
        <v>29</v>
      </c>
      <c r="AI1" s="9" t="s">
        <v>30</v>
      </c>
      <c r="AJ1" s="9" t="s">
        <v>31</v>
      </c>
      <c r="AK1" s="9" t="s">
        <v>32</v>
      </c>
      <c r="AM1" s="1" t="s">
        <v>33</v>
      </c>
      <c r="AN1" s="10" t="s">
        <v>34</v>
      </c>
      <c r="AO1" s="10" t="s">
        <v>35</v>
      </c>
      <c r="AP1" s="10" t="s">
        <v>36</v>
      </c>
      <c r="AQ1" s="10" t="s">
        <v>37</v>
      </c>
      <c r="AS1" s="1" t="s">
        <v>38</v>
      </c>
      <c r="AT1" s="11" t="s">
        <v>39</v>
      </c>
      <c r="AU1" s="1" t="s">
        <v>40</v>
      </c>
      <c r="AV1" s="1" t="s">
        <v>41</v>
      </c>
      <c r="AX1" s="1" t="s">
        <v>42</v>
      </c>
      <c r="AY1" s="11" t="s">
        <v>43</v>
      </c>
      <c r="AZ1" s="1" t="s">
        <v>44</v>
      </c>
      <c r="BA1" s="1" t="s">
        <v>45</v>
      </c>
    </row>
    <row r="2" spans="1:53">
      <c r="A2" s="1">
        <v>1</v>
      </c>
      <c r="B2" s="1" t="s">
        <v>46</v>
      </c>
      <c r="C2" s="1">
        <v>62451</v>
      </c>
      <c r="D2" s="1">
        <v>4007383</v>
      </c>
      <c r="E2" s="1">
        <v>0.0452514</v>
      </c>
      <c r="F2" s="1">
        <v>2.238659</v>
      </c>
      <c r="G2" s="1">
        <v>0.005858</v>
      </c>
      <c r="H2" s="1">
        <v>538972946</v>
      </c>
      <c r="I2" s="1">
        <v>17440029</v>
      </c>
      <c r="J2" s="1">
        <v>15.4521803260763</v>
      </c>
      <c r="K2" s="1">
        <v>96</v>
      </c>
      <c r="L2" s="1">
        <v>32</v>
      </c>
      <c r="N2" s="5">
        <v>0.267</v>
      </c>
      <c r="O2" s="6">
        <v>38.2271</v>
      </c>
      <c r="P2" s="6">
        <f t="shared" ref="P2:P21" si="0">N2*1000/O2</f>
        <v>6.98457377096353</v>
      </c>
      <c r="Q2" s="6">
        <f>N2/AO2*1000</f>
        <v>9.0890522875817</v>
      </c>
      <c r="R2" s="6">
        <f>LOG10(P2)</f>
        <v>0.84413990872271</v>
      </c>
      <c r="T2" s="7">
        <v>27.8</v>
      </c>
      <c r="U2" s="7">
        <v>38.8251</v>
      </c>
      <c r="V2" s="7">
        <f t="shared" ref="V2:V21" si="1">T2*1000/U2</f>
        <v>716.031639326106</v>
      </c>
      <c r="W2" s="7">
        <f>T2*1000/AO2</f>
        <v>946.350762527233</v>
      </c>
      <c r="X2" s="7">
        <f>LOG10(V2)</f>
        <v>2.85493221292399</v>
      </c>
      <c r="Z2" s="8">
        <v>2043.177</v>
      </c>
      <c r="AA2" s="8">
        <v>37.4018</v>
      </c>
      <c r="AB2" s="8">
        <f t="shared" ref="AB2:AB21" si="2">Z2/AA2</f>
        <v>54.6277719254154</v>
      </c>
      <c r="AC2" s="8">
        <f>Z2/AO2</f>
        <v>69.5525939542484</v>
      </c>
      <c r="AD2" s="8">
        <f>LOG10(AB2)</f>
        <v>1.73741348753215</v>
      </c>
      <c r="AF2" s="1">
        <v>0.2905028</v>
      </c>
      <c r="AG2" s="9">
        <v>2.32312</v>
      </c>
      <c r="AH2" s="9">
        <v>43.092966</v>
      </c>
      <c r="AI2" s="9">
        <f t="shared" ref="AI2:AI21" si="3">AG2/AH2*1000</f>
        <v>53.9094941851995</v>
      </c>
      <c r="AJ2" s="9">
        <f>AG2/AO2*1000</f>
        <v>79.0822440087146</v>
      </c>
      <c r="AK2" s="9">
        <f>LOG10(AI2)</f>
        <v>1.7316652570075</v>
      </c>
      <c r="AM2" s="1">
        <v>0.0967816114425659</v>
      </c>
      <c r="AN2" s="10">
        <v>999.589</v>
      </c>
      <c r="AO2" s="10">
        <v>29.376</v>
      </c>
      <c r="AP2" s="10">
        <f>AN2/AO2</f>
        <v>34.0274033224401</v>
      </c>
      <c r="AQ2" s="10">
        <f>LOG10(AP2)</f>
        <v>1.53182880875601</v>
      </c>
      <c r="AS2" s="1">
        <v>37.447</v>
      </c>
      <c r="AT2" s="11">
        <v>8.85078</v>
      </c>
      <c r="AU2" s="1">
        <f>AS2/AT2</f>
        <v>4.23092653980779</v>
      </c>
      <c r="AV2" s="1">
        <f>LOG10(AU2)</f>
        <v>0.626435484883864</v>
      </c>
      <c r="AX2" s="11">
        <v>6.9421</v>
      </c>
      <c r="AY2" s="11">
        <v>7.09547</v>
      </c>
      <c r="AZ2" s="1">
        <f>AX2/AY2</f>
        <v>0.9783848004431</v>
      </c>
      <c r="BA2" s="1">
        <f>LOG10(AZ2)</f>
        <v>-0.00949030283906862</v>
      </c>
    </row>
    <row r="3" spans="1:53">
      <c r="A3" s="1">
        <v>2</v>
      </c>
      <c r="B3" s="1" t="s">
        <v>47</v>
      </c>
      <c r="C3" s="1">
        <v>217918</v>
      </c>
      <c r="D3" s="1">
        <v>11634424</v>
      </c>
      <c r="E3" s="1">
        <v>0.131649</v>
      </c>
      <c r="F3" s="1">
        <v>6.571827</v>
      </c>
      <c r="G3" s="1">
        <v>0.017074</v>
      </c>
      <c r="H3" s="1">
        <v>1252108804</v>
      </c>
      <c r="I3" s="1">
        <v>32772236</v>
      </c>
      <c r="J3" s="1">
        <v>19.1031946065566</v>
      </c>
      <c r="K3" s="1">
        <v>96</v>
      </c>
      <c r="L3" s="1">
        <v>32</v>
      </c>
      <c r="N3" s="5">
        <v>0.403</v>
      </c>
      <c r="O3" s="6">
        <v>77.2926</v>
      </c>
      <c r="P3" s="6">
        <f t="shared" si="0"/>
        <v>5.2139532115623</v>
      </c>
      <c r="Q3" s="6">
        <f t="shared" ref="Q3:Q21" si="4">N3/AO3*1000</f>
        <v>8.62056057173782</v>
      </c>
      <c r="R3" s="6">
        <f t="shared" ref="R3:R21" si="5">LOG10(P3)</f>
        <v>0.717167129622589</v>
      </c>
      <c r="T3" s="7">
        <v>43.41</v>
      </c>
      <c r="U3" s="7">
        <v>72.0389</v>
      </c>
      <c r="V3" s="7">
        <f t="shared" si="1"/>
        <v>602.591100086203</v>
      </c>
      <c r="W3" s="7">
        <f t="shared" ref="W3:W21" si="6">T3*1000/AO3</f>
        <v>928.581971263372</v>
      </c>
      <c r="X3" s="7">
        <f t="shared" ref="X3:X21" si="7">LOG10(V3)</f>
        <v>2.78002271311232</v>
      </c>
      <c r="Z3" s="8">
        <v>9778.98</v>
      </c>
      <c r="AA3" s="8">
        <v>69.3168</v>
      </c>
      <c r="AB3" s="8">
        <f t="shared" si="2"/>
        <v>141.076622117582</v>
      </c>
      <c r="AC3" s="8">
        <f t="shared" ref="AC3:AC21" si="8">Z3/AO3</f>
        <v>209.181859602513</v>
      </c>
      <c r="AD3" s="8">
        <f t="shared" ref="AD3:AD21" si="9">LOG10(AB3)</f>
        <v>2.14945505254594</v>
      </c>
      <c r="AF3" s="1">
        <v>0.633298</v>
      </c>
      <c r="AG3" s="9">
        <v>6.832093</v>
      </c>
      <c r="AH3" s="9">
        <v>59.73258</v>
      </c>
      <c r="AI3" s="9">
        <f t="shared" si="3"/>
        <v>114.377999410037</v>
      </c>
      <c r="AJ3" s="9">
        <f t="shared" ref="AJ3:AJ21" si="10">AG3/AO3*1000</f>
        <v>146.145090665623</v>
      </c>
      <c r="AK3" s="9">
        <f t="shared" ref="AK3:AK21" si="11">LOG10(AI3)</f>
        <v>2.05834249601569</v>
      </c>
      <c r="AM3" s="1">
        <v>0.337712049484253</v>
      </c>
      <c r="AN3" s="10">
        <v>4456.69</v>
      </c>
      <c r="AO3" s="10">
        <v>46.7487</v>
      </c>
      <c r="AP3" s="10">
        <f t="shared" ref="AP2:AP21" si="12">AN3/AO3</f>
        <v>95.3329183485316</v>
      </c>
      <c r="AQ3" s="10">
        <f t="shared" ref="AQ3:AQ21" si="13">LOG10(AP3)</f>
        <v>1.97924288792684</v>
      </c>
      <c r="AS3" s="1">
        <v>109.197</v>
      </c>
      <c r="AT3" s="11">
        <v>31.5016</v>
      </c>
      <c r="AU3" s="1">
        <f t="shared" ref="AU3:AU21" si="14">AS3/AT3</f>
        <v>3.46639535769612</v>
      </c>
      <c r="AV3" s="1">
        <f t="shared" ref="AV3:AV21" si="15">LOG10(AU3)</f>
        <v>0.539878094406104</v>
      </c>
      <c r="AX3" s="11">
        <v>17.1789</v>
      </c>
      <c r="AY3" s="11">
        <v>12.3491</v>
      </c>
      <c r="AZ3" s="1">
        <f t="shared" ref="AZ3:AZ21" si="16">AX3/AY3</f>
        <v>1.39110542468682</v>
      </c>
      <c r="BA3" s="1">
        <f t="shared" ref="BA3:BA21" si="17">LOG10(AZ3)</f>
        <v>0.143360044172334</v>
      </c>
    </row>
    <row r="4" spans="1:53">
      <c r="A4" s="1">
        <v>3</v>
      </c>
      <c r="B4" s="1" t="s">
        <v>48</v>
      </c>
      <c r="C4" s="1">
        <v>259789</v>
      </c>
      <c r="D4" s="1">
        <v>4242673</v>
      </c>
      <c r="E4" s="1">
        <v>0.0493512</v>
      </c>
      <c r="F4" s="1">
        <v>2.506963</v>
      </c>
      <c r="G4" s="1">
        <v>0.00631</v>
      </c>
      <c r="H4" s="1">
        <v>142685030</v>
      </c>
      <c r="I4" s="1">
        <v>23356245</v>
      </c>
      <c r="J4" s="1">
        <v>3.05453701997046</v>
      </c>
      <c r="K4" s="1">
        <v>224</v>
      </c>
      <c r="L4" s="1">
        <v>56</v>
      </c>
      <c r="N4" s="5">
        <v>0.403</v>
      </c>
      <c r="O4" s="6">
        <v>102.684</v>
      </c>
      <c r="P4" s="6">
        <f t="shared" si="0"/>
        <v>3.92466207004012</v>
      </c>
      <c r="Q4" s="6">
        <f t="shared" si="4"/>
        <v>6.17968310339699</v>
      </c>
      <c r="R4" s="6">
        <f t="shared" si="5"/>
        <v>0.593802268104191</v>
      </c>
      <c r="T4" s="7">
        <v>86.59</v>
      </c>
      <c r="U4" s="7">
        <v>105.383</v>
      </c>
      <c r="V4" s="7">
        <f t="shared" si="1"/>
        <v>821.669529240959</v>
      </c>
      <c r="W4" s="7">
        <f t="shared" si="6"/>
        <v>1327.78848616165</v>
      </c>
      <c r="X4" s="7">
        <f t="shared" si="7"/>
        <v>2.91469718191353</v>
      </c>
      <c r="Z4" s="8">
        <v>4028.23</v>
      </c>
      <c r="AA4" s="8">
        <v>84.8181</v>
      </c>
      <c r="AB4" s="8">
        <f t="shared" si="2"/>
        <v>47.492575287586</v>
      </c>
      <c r="AC4" s="8">
        <f t="shared" si="8"/>
        <v>61.7696894977589</v>
      </c>
      <c r="AD4" s="8">
        <f t="shared" si="9"/>
        <v>1.67662571986342</v>
      </c>
      <c r="AF4" s="1">
        <v>0.3587024</v>
      </c>
      <c r="AG4" s="9">
        <v>2.681347</v>
      </c>
      <c r="AH4" s="9">
        <v>92.114878</v>
      </c>
      <c r="AI4" s="9">
        <f t="shared" si="3"/>
        <v>29.1087287766912</v>
      </c>
      <c r="AJ4" s="9">
        <f t="shared" si="10"/>
        <v>41.116314516735</v>
      </c>
      <c r="AK4" s="9">
        <f t="shared" si="11"/>
        <v>1.46402323953969</v>
      </c>
      <c r="AM4" s="1">
        <v>0.650354504585266</v>
      </c>
      <c r="AN4" s="10">
        <v>1240.09</v>
      </c>
      <c r="AO4" s="10">
        <v>65.2137</v>
      </c>
      <c r="AP4" s="10">
        <f t="shared" si="12"/>
        <v>19.0157896270262</v>
      </c>
      <c r="AQ4" s="10">
        <f t="shared" si="13"/>
        <v>1.27911436411731</v>
      </c>
      <c r="AS4" s="1">
        <v>114.981</v>
      </c>
      <c r="AT4" s="11">
        <v>62.9308</v>
      </c>
      <c r="AU4" s="1">
        <f t="shared" si="14"/>
        <v>1.82710215029842</v>
      </c>
      <c r="AV4" s="1">
        <f t="shared" si="15"/>
        <v>0.261762828726794</v>
      </c>
      <c r="AX4" s="11">
        <v>95.8068</v>
      </c>
      <c r="AY4" s="11">
        <v>58.6854</v>
      </c>
      <c r="AZ4" s="1">
        <f t="shared" si="16"/>
        <v>1.63254915191853</v>
      </c>
      <c r="BA4" s="1">
        <f t="shared" si="17"/>
        <v>0.212866265650418</v>
      </c>
    </row>
    <row r="5" spans="1:53">
      <c r="A5" s="1">
        <v>4</v>
      </c>
      <c r="B5" s="1" t="s">
        <v>49</v>
      </c>
      <c r="C5" s="1">
        <v>130228</v>
      </c>
      <c r="D5" s="1">
        <v>2032536</v>
      </c>
      <c r="E5" s="1">
        <v>0.0236857</v>
      </c>
      <c r="F5" s="1">
        <v>1.908183</v>
      </c>
      <c r="G5" s="1">
        <v>0.004029</v>
      </c>
      <c r="H5" s="1">
        <v>69221652</v>
      </c>
      <c r="I5" s="1">
        <v>15231874</v>
      </c>
      <c r="J5" s="1">
        <v>2.27226315028604</v>
      </c>
      <c r="K5" s="1">
        <v>64</v>
      </c>
      <c r="L5" s="1">
        <v>16</v>
      </c>
      <c r="N5" s="5">
        <v>0.461</v>
      </c>
      <c r="O5" s="6">
        <v>71.6525</v>
      </c>
      <c r="P5" s="6">
        <f t="shared" si="0"/>
        <v>6.43382994312829</v>
      </c>
      <c r="Q5" s="6">
        <f t="shared" si="4"/>
        <v>7.058394819965</v>
      </c>
      <c r="R5" s="6">
        <f t="shared" si="5"/>
        <v>0.808469577589104</v>
      </c>
      <c r="T5" s="7">
        <v>53.87</v>
      </c>
      <c r="U5" s="7">
        <v>89.6362</v>
      </c>
      <c r="V5" s="7">
        <f t="shared" si="1"/>
        <v>600.984869952095</v>
      </c>
      <c r="W5" s="7">
        <f t="shared" si="6"/>
        <v>824.806353474001</v>
      </c>
      <c r="X5" s="7">
        <f t="shared" si="7"/>
        <v>2.77886353859338</v>
      </c>
      <c r="Z5" s="8">
        <v>938.967</v>
      </c>
      <c r="AA5" s="8">
        <v>81.2797</v>
      </c>
      <c r="AB5" s="8">
        <f t="shared" si="2"/>
        <v>11.5522941152588</v>
      </c>
      <c r="AC5" s="8">
        <f t="shared" si="8"/>
        <v>14.3765722536184</v>
      </c>
      <c r="AD5" s="8">
        <f t="shared" si="9"/>
        <v>1.06266823727265</v>
      </c>
      <c r="AF5" s="1">
        <v>0.2173714</v>
      </c>
      <c r="AG5" s="9">
        <v>1.954528</v>
      </c>
      <c r="AH5" s="9">
        <v>73.245668</v>
      </c>
      <c r="AI5" s="9">
        <f t="shared" si="3"/>
        <v>26.6845542319308</v>
      </c>
      <c r="AJ5" s="9">
        <f t="shared" si="10"/>
        <v>29.9258791988645</v>
      </c>
      <c r="AK5" s="9">
        <f t="shared" si="11"/>
        <v>1.42625995226872</v>
      </c>
      <c r="AM5" s="1">
        <v>0.170768260955811</v>
      </c>
      <c r="AN5" s="10">
        <v>736.276</v>
      </c>
      <c r="AO5" s="10">
        <v>65.3123</v>
      </c>
      <c r="AP5" s="10">
        <f t="shared" si="12"/>
        <v>11.2731598795326</v>
      </c>
      <c r="AQ5" s="10">
        <f t="shared" si="13"/>
        <v>1.05204566634738</v>
      </c>
      <c r="AS5" s="1">
        <v>62.33</v>
      </c>
      <c r="AT5" s="11">
        <v>34.0576</v>
      </c>
      <c r="AU5" s="1">
        <f t="shared" si="14"/>
        <v>1.83013483040496</v>
      </c>
      <c r="AV5" s="1">
        <f t="shared" si="15"/>
        <v>0.262483086421047</v>
      </c>
      <c r="AX5" s="11">
        <v>34.3648</v>
      </c>
      <c r="AY5" s="11">
        <v>23.7613</v>
      </c>
      <c r="AZ5" s="1">
        <f t="shared" si="16"/>
        <v>1.44625083644413</v>
      </c>
      <c r="BA5" s="1">
        <f t="shared" si="17"/>
        <v>0.160243623135583</v>
      </c>
    </row>
    <row r="6" spans="1:53">
      <c r="A6" s="1">
        <v>5</v>
      </c>
      <c r="B6" s="1" t="s">
        <v>50</v>
      </c>
      <c r="C6" s="1">
        <v>170998</v>
      </c>
      <c r="D6" s="1">
        <v>958936</v>
      </c>
      <c r="E6" s="1">
        <v>0.0119911</v>
      </c>
      <c r="F6" s="1">
        <v>0.961475</v>
      </c>
      <c r="G6" s="1">
        <v>0.002137</v>
      </c>
      <c r="H6" s="1">
        <v>17352752</v>
      </c>
      <c r="I6" s="1">
        <v>5222546</v>
      </c>
      <c r="J6" s="1">
        <v>1.66133069962428</v>
      </c>
      <c r="K6" s="1">
        <v>224</v>
      </c>
      <c r="L6" s="1">
        <v>56</v>
      </c>
      <c r="N6" s="5">
        <v>0.125</v>
      </c>
      <c r="O6" s="6">
        <v>15.7811</v>
      </c>
      <c r="P6" s="6">
        <f t="shared" si="0"/>
        <v>7.92086736666012</v>
      </c>
      <c r="Q6" s="6">
        <f t="shared" si="4"/>
        <v>9.7502379058049</v>
      </c>
      <c r="R6" s="6">
        <f t="shared" si="5"/>
        <v>0.89877274117647</v>
      </c>
      <c r="T6" s="7">
        <v>15.71</v>
      </c>
      <c r="U6" s="7">
        <v>16.2063</v>
      </c>
      <c r="V6" s="7">
        <f t="shared" si="1"/>
        <v>969.376106822655</v>
      </c>
      <c r="W6" s="7">
        <f t="shared" si="6"/>
        <v>1225.40990000156</v>
      </c>
      <c r="X6" s="7">
        <f t="shared" si="7"/>
        <v>2.98649231103048</v>
      </c>
      <c r="Z6" s="8">
        <v>1443.502</v>
      </c>
      <c r="AA6" s="8">
        <v>18.7119</v>
      </c>
      <c r="AB6" s="8">
        <f t="shared" si="2"/>
        <v>77.1435289842293</v>
      </c>
      <c r="AC6" s="8">
        <f t="shared" si="8"/>
        <v>112.595903340041</v>
      </c>
      <c r="AD6" s="8">
        <f t="shared" si="9"/>
        <v>1.88729950208669</v>
      </c>
      <c r="AF6" s="1">
        <v>0.0839822</v>
      </c>
      <c r="AG6" s="9">
        <v>0.995349</v>
      </c>
      <c r="AH6" s="9">
        <v>18.591571</v>
      </c>
      <c r="AI6" s="9">
        <f t="shared" si="3"/>
        <v>53.5376488624872</v>
      </c>
      <c r="AJ6" s="9">
        <f t="shared" si="10"/>
        <v>77.63911639444</v>
      </c>
      <c r="AK6" s="9">
        <f t="shared" si="11"/>
        <v>1.72865929497067</v>
      </c>
      <c r="AM6" s="1">
        <v>0.428075551986694</v>
      </c>
      <c r="AN6" s="10">
        <v>1358.23</v>
      </c>
      <c r="AO6" s="10">
        <v>12.8202</v>
      </c>
      <c r="AP6" s="10">
        <f t="shared" si="12"/>
        <v>105.944525046411</v>
      </c>
      <c r="AQ6" s="10">
        <f t="shared" si="13"/>
        <v>2.02507851835149</v>
      </c>
      <c r="AS6" s="1">
        <v>42.922</v>
      </c>
      <c r="AT6" s="11">
        <v>5.66482</v>
      </c>
      <c r="AU6" s="1">
        <f t="shared" si="14"/>
        <v>7.57693977919863</v>
      </c>
      <c r="AV6" s="1">
        <f t="shared" si="15"/>
        <v>0.879493835531643</v>
      </c>
      <c r="AX6" s="11">
        <v>10.692</v>
      </c>
      <c r="AY6" s="11">
        <v>5.1217</v>
      </c>
      <c r="AZ6" s="1">
        <f t="shared" si="16"/>
        <v>2.08758810551184</v>
      </c>
      <c r="BA6" s="1">
        <f t="shared" si="17"/>
        <v>0.31964481370302</v>
      </c>
    </row>
    <row r="7" spans="1:53">
      <c r="A7" s="1">
        <v>6</v>
      </c>
      <c r="B7" s="1" t="s">
        <v>51</v>
      </c>
      <c r="C7" s="1">
        <v>8297</v>
      </c>
      <c r="D7" s="1">
        <v>103689</v>
      </c>
      <c r="E7" s="1">
        <v>0.00122074</v>
      </c>
      <c r="F7" s="1">
        <v>0.0818</v>
      </c>
      <c r="G7" s="1">
        <v>0.000241</v>
      </c>
      <c r="H7" s="1">
        <v>17347694</v>
      </c>
      <c r="I7" s="1">
        <v>2801584</v>
      </c>
      <c r="J7" s="1">
        <v>3.09605101970885</v>
      </c>
      <c r="K7" s="1">
        <v>192</v>
      </c>
      <c r="L7" s="1">
        <v>64</v>
      </c>
      <c r="N7" s="5">
        <v>0.19</v>
      </c>
      <c r="O7" s="6">
        <v>7.34282</v>
      </c>
      <c r="P7" s="6">
        <f t="shared" si="0"/>
        <v>25.8756172696593</v>
      </c>
      <c r="Q7" s="6">
        <f t="shared" si="4"/>
        <v>47.3204190098576</v>
      </c>
      <c r="R7" s="6">
        <f t="shared" si="5"/>
        <v>1.4128907187977</v>
      </c>
      <c r="T7" s="7">
        <v>1.62</v>
      </c>
      <c r="U7" s="7">
        <v>11.2638</v>
      </c>
      <c r="V7" s="7">
        <f t="shared" si="1"/>
        <v>143.823576412933</v>
      </c>
      <c r="W7" s="7">
        <f t="shared" si="6"/>
        <v>403.468835768259</v>
      </c>
      <c r="X7" s="7">
        <f t="shared" si="7"/>
        <v>2.15783008400769</v>
      </c>
      <c r="Z7" s="8">
        <v>425.897</v>
      </c>
      <c r="AA7" s="8">
        <v>4.43096</v>
      </c>
      <c r="AB7" s="8">
        <f t="shared" si="2"/>
        <v>96.1184483723618</v>
      </c>
      <c r="AC7" s="8">
        <f t="shared" si="8"/>
        <v>106.071707868639</v>
      </c>
      <c r="AD7" s="8">
        <f t="shared" si="9"/>
        <v>1.98280675142899</v>
      </c>
      <c r="AF7" s="1">
        <v>0.03244148</v>
      </c>
      <c r="AG7" s="9">
        <v>0.10067</v>
      </c>
      <c r="AH7" s="9">
        <v>6.072354</v>
      </c>
      <c r="AI7" s="9">
        <f t="shared" si="3"/>
        <v>16.5784142360607</v>
      </c>
      <c r="AJ7" s="9">
        <f t="shared" si="10"/>
        <v>25.0723504301177</v>
      </c>
      <c r="AK7" s="9">
        <f t="shared" si="11"/>
        <v>1.21954298692205</v>
      </c>
      <c r="AM7" s="1">
        <v>0.0187925100326538</v>
      </c>
      <c r="AN7" s="10">
        <v>369.623</v>
      </c>
      <c r="AO7" s="10">
        <v>4.01518</v>
      </c>
      <c r="AP7" s="10">
        <f t="shared" si="12"/>
        <v>92.0563959772663</v>
      </c>
      <c r="AQ7" s="10">
        <f t="shared" si="13"/>
        <v>1.96405396819184</v>
      </c>
      <c r="AS7" s="1">
        <v>2.742</v>
      </c>
      <c r="AT7" s="11">
        <v>6.05423</v>
      </c>
      <c r="AU7" s="1">
        <f t="shared" si="14"/>
        <v>0.45290648026256</v>
      </c>
      <c r="AV7" s="1">
        <f t="shared" si="15"/>
        <v>-0.343991465313649</v>
      </c>
      <c r="AX7" s="11">
        <v>2.15506</v>
      </c>
      <c r="AY7" s="11">
        <v>6.26268</v>
      </c>
      <c r="AZ7" s="1">
        <f t="shared" si="16"/>
        <v>0.344111466656447</v>
      </c>
      <c r="BA7" s="1">
        <f t="shared" si="17"/>
        <v>-0.463300855357423</v>
      </c>
    </row>
    <row r="8" spans="1:53">
      <c r="A8" s="1">
        <v>8</v>
      </c>
      <c r="B8" s="1" t="s">
        <v>52</v>
      </c>
      <c r="C8" s="1">
        <v>13514</v>
      </c>
      <c r="D8" s="1">
        <v>352762</v>
      </c>
      <c r="E8" s="1">
        <v>0.00404321</v>
      </c>
      <c r="F8" s="1">
        <v>0.356394</v>
      </c>
      <c r="G8" s="1">
        <v>0.000567</v>
      </c>
      <c r="H8" s="1">
        <v>23537356</v>
      </c>
      <c r="I8" s="1">
        <v>2957530</v>
      </c>
      <c r="J8" s="1">
        <v>3.97922523186578</v>
      </c>
      <c r="K8" s="1">
        <v>256</v>
      </c>
      <c r="L8" s="1">
        <v>64</v>
      </c>
      <c r="N8" s="5">
        <v>0.109</v>
      </c>
      <c r="O8" s="6">
        <v>12.1685</v>
      </c>
      <c r="P8" s="6">
        <f t="shared" si="0"/>
        <v>8.95755434112668</v>
      </c>
      <c r="Q8" s="6">
        <f t="shared" si="4"/>
        <v>17.2061342236324</v>
      </c>
      <c r="R8" s="6">
        <f t="shared" si="5"/>
        <v>0.952189451499591</v>
      </c>
      <c r="T8" s="7">
        <v>5.26</v>
      </c>
      <c r="U8" s="7">
        <v>13.9774</v>
      </c>
      <c r="V8" s="7">
        <f t="shared" si="1"/>
        <v>376.321776582197</v>
      </c>
      <c r="W8" s="7">
        <f t="shared" si="6"/>
        <v>830.314367122077</v>
      </c>
      <c r="X8" s="7">
        <f t="shared" si="7"/>
        <v>2.57555935033113</v>
      </c>
      <c r="Z8" s="8">
        <v>289.307</v>
      </c>
      <c r="AA8" s="8">
        <v>7.9865</v>
      </c>
      <c r="AB8" s="8">
        <f t="shared" si="2"/>
        <v>36.2245038502473</v>
      </c>
      <c r="AC8" s="8">
        <f t="shared" si="8"/>
        <v>45.6683951728112</v>
      </c>
      <c r="AD8" s="8">
        <f t="shared" si="9"/>
        <v>1.55900244585956</v>
      </c>
      <c r="AF8" s="1">
        <v>0.03808642</v>
      </c>
      <c r="AG8" s="9">
        <v>0.371002</v>
      </c>
      <c r="AH8" s="9">
        <v>12.16836</v>
      </c>
      <c r="AI8" s="9">
        <f t="shared" si="3"/>
        <v>30.489071657972</v>
      </c>
      <c r="AJ8" s="9">
        <f t="shared" si="10"/>
        <v>58.5643138462024</v>
      </c>
      <c r="AK8" s="9">
        <f t="shared" si="11"/>
        <v>1.48414420101484</v>
      </c>
      <c r="AM8" s="1">
        <v>0.0370528697967529</v>
      </c>
      <c r="AN8" s="10">
        <v>165.034</v>
      </c>
      <c r="AO8" s="10">
        <v>6.33495</v>
      </c>
      <c r="AP8" s="10">
        <f t="shared" si="12"/>
        <v>26.0513500501188</v>
      </c>
      <c r="AQ8" s="10">
        <f t="shared" si="13"/>
        <v>1.41583023451172</v>
      </c>
      <c r="AS8" s="1">
        <v>8.933</v>
      </c>
      <c r="AT8" s="11">
        <v>6.12659</v>
      </c>
      <c r="AU8" s="1">
        <f t="shared" si="14"/>
        <v>1.45807047639878</v>
      </c>
      <c r="AV8" s="1">
        <f t="shared" si="15"/>
        <v>0.163778516280563</v>
      </c>
      <c r="AX8" s="11">
        <v>7.74237</v>
      </c>
      <c r="AY8" s="11">
        <v>5.03107</v>
      </c>
      <c r="AZ8" s="1">
        <f t="shared" si="16"/>
        <v>1.53891120576736</v>
      </c>
      <c r="BA8" s="1">
        <f t="shared" si="17"/>
        <v>0.187213562029163</v>
      </c>
    </row>
    <row r="9" spans="1:53">
      <c r="A9" s="1">
        <v>9</v>
      </c>
      <c r="B9" s="1" t="s">
        <v>53</v>
      </c>
      <c r="C9" s="1">
        <v>36417</v>
      </c>
      <c r="D9" s="1">
        <v>4344765</v>
      </c>
      <c r="E9" s="1">
        <v>0.048828</v>
      </c>
      <c r="F9" s="1">
        <v>2.489916</v>
      </c>
      <c r="G9" s="1">
        <v>0.006999</v>
      </c>
      <c r="H9" s="1">
        <v>1110645318</v>
      </c>
      <c r="I9" s="1">
        <v>19594581</v>
      </c>
      <c r="J9" s="1">
        <v>28.3406243287366</v>
      </c>
      <c r="K9" s="1">
        <v>224</v>
      </c>
      <c r="L9" s="1">
        <v>56</v>
      </c>
      <c r="N9" s="5">
        <v>0.29</v>
      </c>
      <c r="O9" s="6">
        <v>66.5257</v>
      </c>
      <c r="P9" s="6">
        <f t="shared" si="0"/>
        <v>4.35921756554234</v>
      </c>
      <c r="Q9" s="6">
        <f t="shared" si="4"/>
        <v>5.72704885172671</v>
      </c>
      <c r="R9" s="6">
        <f t="shared" si="5"/>
        <v>0.639408544896681</v>
      </c>
      <c r="T9" s="7">
        <v>35.87</v>
      </c>
      <c r="U9" s="7">
        <v>64.1913</v>
      </c>
      <c r="V9" s="7">
        <f t="shared" si="1"/>
        <v>558.79846645885</v>
      </c>
      <c r="W9" s="7">
        <f t="shared" si="6"/>
        <v>708.376697625645</v>
      </c>
      <c r="X9" s="7">
        <f t="shared" si="7"/>
        <v>2.74725520558571</v>
      </c>
      <c r="Z9" s="8">
        <v>2325.726</v>
      </c>
      <c r="AA9" s="8">
        <v>73.2928</v>
      </c>
      <c r="AB9" s="8">
        <f t="shared" si="2"/>
        <v>31.7319845878449</v>
      </c>
      <c r="AC9" s="8">
        <f t="shared" si="8"/>
        <v>45.9294704059688</v>
      </c>
      <c r="AD9" s="8">
        <f t="shared" si="9"/>
        <v>1.50149723467832</v>
      </c>
      <c r="AF9" s="1">
        <v>0.317656</v>
      </c>
      <c r="AG9" s="9">
        <v>5.610404</v>
      </c>
      <c r="AH9" s="9">
        <v>105.929232</v>
      </c>
      <c r="AI9" s="9">
        <f t="shared" si="3"/>
        <v>52.9636993875307</v>
      </c>
      <c r="AJ9" s="9">
        <f t="shared" si="10"/>
        <v>110.796750985941</v>
      </c>
      <c r="AK9" s="9">
        <f t="shared" si="11"/>
        <v>1.72397831192032</v>
      </c>
      <c r="AM9" s="1">
        <v>0.0911661386489868</v>
      </c>
      <c r="AN9" s="10">
        <v>1947.68</v>
      </c>
      <c r="AO9" s="10">
        <v>50.6369</v>
      </c>
      <c r="AP9" s="10">
        <f t="shared" si="12"/>
        <v>38.4636500259692</v>
      </c>
      <c r="AQ9" s="10">
        <f t="shared" si="13"/>
        <v>1.585050494435</v>
      </c>
      <c r="AS9" s="1">
        <v>41.927</v>
      </c>
      <c r="AT9" s="11">
        <v>36.7363</v>
      </c>
      <c r="AU9" s="1">
        <f t="shared" si="14"/>
        <v>1.14129621110455</v>
      </c>
      <c r="AV9" s="1">
        <f t="shared" si="15"/>
        <v>0.0573983754899133</v>
      </c>
      <c r="AX9" s="11">
        <v>6.93372</v>
      </c>
      <c r="AY9" s="11">
        <v>12.0854</v>
      </c>
      <c r="AZ9" s="1">
        <f t="shared" si="16"/>
        <v>0.573726976351631</v>
      </c>
      <c r="BA9" s="1">
        <f t="shared" si="17"/>
        <v>-0.241294729331054</v>
      </c>
    </row>
    <row r="10" spans="1:53">
      <c r="A10" s="1">
        <v>10</v>
      </c>
      <c r="B10" s="1" t="s">
        <v>54</v>
      </c>
      <c r="C10" s="1">
        <v>46835</v>
      </c>
      <c r="D10" s="1">
        <v>2374001</v>
      </c>
      <c r="E10" s="1">
        <v>0.0268806</v>
      </c>
      <c r="F10" s="1">
        <v>2.242504</v>
      </c>
      <c r="G10" s="1">
        <v>0.004532</v>
      </c>
      <c r="H10" s="1">
        <v>312960518</v>
      </c>
      <c r="I10" s="1">
        <v>7900917</v>
      </c>
      <c r="J10" s="1">
        <v>19.8053287991761</v>
      </c>
      <c r="K10" s="1">
        <v>224</v>
      </c>
      <c r="L10" s="1">
        <v>56</v>
      </c>
      <c r="N10" s="5">
        <v>0.108</v>
      </c>
      <c r="O10" s="6">
        <v>23.0314</v>
      </c>
      <c r="P10" s="6">
        <f t="shared" si="0"/>
        <v>4.68925032781333</v>
      </c>
      <c r="Q10" s="6">
        <f t="shared" si="4"/>
        <v>5.72461425110914</v>
      </c>
      <c r="R10" s="6">
        <f t="shared" si="5"/>
        <v>0.671103417444786</v>
      </c>
      <c r="T10" s="7">
        <v>12.55</v>
      </c>
      <c r="U10" s="7">
        <v>22.9803</v>
      </c>
      <c r="V10" s="7">
        <f t="shared" si="1"/>
        <v>546.119937511695</v>
      </c>
      <c r="W10" s="7">
        <f t="shared" si="6"/>
        <v>665.221378253887</v>
      </c>
      <c r="X10" s="7">
        <f t="shared" si="7"/>
        <v>2.73728803186104</v>
      </c>
      <c r="Z10" s="8">
        <v>1731.032</v>
      </c>
      <c r="AA10" s="8">
        <v>20.8866</v>
      </c>
      <c r="AB10" s="8">
        <f t="shared" si="2"/>
        <v>82.8776344642019</v>
      </c>
      <c r="AC10" s="8">
        <f t="shared" si="8"/>
        <v>91.7545412622774</v>
      </c>
      <c r="AD10" s="8">
        <f t="shared" si="9"/>
        <v>1.91843734672301</v>
      </c>
      <c r="AF10" s="1">
        <v>0.1437612</v>
      </c>
      <c r="AG10" s="9">
        <v>2.29579</v>
      </c>
      <c r="AH10" s="9">
        <v>37.557197</v>
      </c>
      <c r="AI10" s="9">
        <f t="shared" si="3"/>
        <v>61.127831238311</v>
      </c>
      <c r="AJ10" s="9">
        <f t="shared" si="10"/>
        <v>121.689927329202</v>
      </c>
      <c r="AK10" s="9">
        <f t="shared" si="11"/>
        <v>1.78623898767687</v>
      </c>
      <c r="AM10" s="1">
        <v>0.117246508598328</v>
      </c>
      <c r="AN10" s="10">
        <v>624.355</v>
      </c>
      <c r="AO10" s="10">
        <v>18.8659</v>
      </c>
      <c r="AP10" s="10">
        <f t="shared" si="12"/>
        <v>33.0943660254745</v>
      </c>
      <c r="AQ10" s="10">
        <f t="shared" si="13"/>
        <v>1.51975406591145</v>
      </c>
      <c r="AS10" s="1">
        <v>44.881</v>
      </c>
      <c r="AT10" s="11">
        <v>9.32761</v>
      </c>
      <c r="AU10" s="1">
        <f t="shared" si="14"/>
        <v>4.81162913114935</v>
      </c>
      <c r="AV10" s="1">
        <f t="shared" si="15"/>
        <v>0.682292145579177</v>
      </c>
      <c r="AX10" s="11">
        <v>5.45527</v>
      </c>
      <c r="AY10" s="11">
        <v>5.48588</v>
      </c>
      <c r="AZ10" s="1">
        <f t="shared" si="16"/>
        <v>0.994420220639168</v>
      </c>
      <c r="BA10" s="1">
        <f t="shared" si="17"/>
        <v>-0.00243005328965525</v>
      </c>
    </row>
    <row r="11" spans="1:53">
      <c r="A11" s="1">
        <v>11</v>
      </c>
      <c r="B11" s="1" t="s">
        <v>55</v>
      </c>
      <c r="C11" s="1">
        <v>140874</v>
      </c>
      <c r="D11" s="1">
        <v>7813404</v>
      </c>
      <c r="E11" s="1">
        <v>0.0883713</v>
      </c>
      <c r="F11" s="1">
        <v>3.649785</v>
      </c>
      <c r="G11" s="1">
        <v>0.01045</v>
      </c>
      <c r="H11" s="1">
        <v>901278576</v>
      </c>
      <c r="I11" s="1">
        <v>24086412</v>
      </c>
      <c r="J11" s="1">
        <v>18.709274258034</v>
      </c>
      <c r="K11" s="1">
        <v>96</v>
      </c>
      <c r="L11" s="1">
        <v>32</v>
      </c>
      <c r="N11" s="5">
        <v>0.33</v>
      </c>
      <c r="O11" s="6">
        <v>75.5597</v>
      </c>
      <c r="P11" s="6">
        <f t="shared" si="0"/>
        <v>4.36740749367718</v>
      </c>
      <c r="Q11" s="6">
        <f t="shared" si="4"/>
        <v>8.76438155336712</v>
      </c>
      <c r="R11" s="6">
        <f t="shared" si="5"/>
        <v>0.640223714934645</v>
      </c>
      <c r="T11" s="7">
        <v>39.68</v>
      </c>
      <c r="U11" s="7">
        <v>81.365</v>
      </c>
      <c r="V11" s="7">
        <f t="shared" si="1"/>
        <v>487.678977447305</v>
      </c>
      <c r="W11" s="7">
        <f t="shared" si="6"/>
        <v>1053.85048496245</v>
      </c>
      <c r="X11" s="7">
        <f t="shared" si="7"/>
        <v>2.68813403470698</v>
      </c>
      <c r="Z11" s="8">
        <v>6822.94</v>
      </c>
      <c r="AA11" s="8">
        <v>57.046</v>
      </c>
      <c r="AB11" s="8">
        <f t="shared" si="2"/>
        <v>119.604179083547</v>
      </c>
      <c r="AC11" s="8">
        <f t="shared" si="8"/>
        <v>181.208634774941</v>
      </c>
      <c r="AD11" s="8">
        <f t="shared" si="9"/>
        <v>2.07774635457894</v>
      </c>
      <c r="AF11" s="1">
        <v>0.4467426</v>
      </c>
      <c r="AG11" s="9">
        <v>3.908962</v>
      </c>
      <c r="AH11" s="9">
        <v>56.834483</v>
      </c>
      <c r="AI11" s="9">
        <f t="shared" si="3"/>
        <v>68.7779987371399</v>
      </c>
      <c r="AJ11" s="9">
        <f t="shared" si="10"/>
        <v>103.817074077615</v>
      </c>
      <c r="AK11" s="9">
        <f t="shared" si="11"/>
        <v>1.83744953481746</v>
      </c>
      <c r="AM11" s="1">
        <v>0.218315362930298</v>
      </c>
      <c r="AN11" s="10">
        <v>3777.66</v>
      </c>
      <c r="AO11" s="10">
        <v>37.6524</v>
      </c>
      <c r="AP11" s="10">
        <f t="shared" si="12"/>
        <v>100.32985945119</v>
      </c>
      <c r="AQ11" s="10">
        <f t="shared" si="13"/>
        <v>2.00143020385793</v>
      </c>
      <c r="AS11" s="1">
        <v>78.287</v>
      </c>
      <c r="AT11" s="11">
        <v>111.601</v>
      </c>
      <c r="AU11" s="1">
        <f t="shared" si="14"/>
        <v>0.701490130016756</v>
      </c>
      <c r="AV11" s="1">
        <f t="shared" si="15"/>
        <v>-0.15397843512659</v>
      </c>
      <c r="AX11" s="11">
        <v>11.8897</v>
      </c>
      <c r="AY11" s="11">
        <v>11.9107</v>
      </c>
      <c r="AZ11" s="1">
        <f t="shared" si="16"/>
        <v>0.998236879444533</v>
      </c>
      <c r="BA11" s="1">
        <f t="shared" si="17"/>
        <v>-0.000766389345281595</v>
      </c>
    </row>
    <row r="12" spans="1:53">
      <c r="A12" s="1">
        <v>12</v>
      </c>
      <c r="B12" s="1" t="s">
        <v>56</v>
      </c>
      <c r="C12" s="1">
        <v>83334</v>
      </c>
      <c r="D12" s="1">
        <v>6010480</v>
      </c>
      <c r="E12" s="1">
        <v>0.0677933</v>
      </c>
      <c r="F12" s="1">
        <v>3.20955</v>
      </c>
      <c r="G12" s="1">
        <v>0.008222</v>
      </c>
      <c r="H12" s="1">
        <v>927690060</v>
      </c>
      <c r="I12" s="1">
        <v>26539736</v>
      </c>
      <c r="J12" s="1">
        <v>17.4773792022649</v>
      </c>
      <c r="K12" s="1">
        <v>160</v>
      </c>
      <c r="L12" s="1">
        <v>40</v>
      </c>
      <c r="N12" s="5">
        <v>0.41</v>
      </c>
      <c r="O12" s="6">
        <v>86.5266</v>
      </c>
      <c r="P12" s="6">
        <f t="shared" si="0"/>
        <v>4.7384272582073</v>
      </c>
      <c r="Q12" s="6">
        <f t="shared" si="4"/>
        <v>6.43935229539351</v>
      </c>
      <c r="R12" s="6">
        <f t="shared" si="5"/>
        <v>0.675634217956154</v>
      </c>
      <c r="T12" s="7">
        <v>40.97</v>
      </c>
      <c r="U12" s="7">
        <v>87.1836</v>
      </c>
      <c r="V12" s="7">
        <f t="shared" si="1"/>
        <v>469.927830463528</v>
      </c>
      <c r="W12" s="7">
        <f t="shared" si="6"/>
        <v>643.464057420176</v>
      </c>
      <c r="X12" s="7">
        <f t="shared" si="7"/>
        <v>2.67203116593981</v>
      </c>
      <c r="Z12" s="8">
        <v>1741.975</v>
      </c>
      <c r="AA12" s="8">
        <v>81.4991</v>
      </c>
      <c r="AB12" s="8">
        <f t="shared" si="2"/>
        <v>21.3741624140635</v>
      </c>
      <c r="AC12" s="8">
        <f t="shared" si="8"/>
        <v>27.3590017433368</v>
      </c>
      <c r="AD12" s="8">
        <f t="shared" si="9"/>
        <v>1.32988910510418</v>
      </c>
      <c r="AF12" s="1">
        <v>0.4355866</v>
      </c>
      <c r="AG12" s="9">
        <v>3.330453</v>
      </c>
      <c r="AH12" s="9">
        <v>111.888552</v>
      </c>
      <c r="AI12" s="9">
        <f t="shared" si="3"/>
        <v>29.7658066036997</v>
      </c>
      <c r="AJ12" s="9">
        <f t="shared" si="10"/>
        <v>52.3072199274395</v>
      </c>
      <c r="AK12" s="9">
        <f t="shared" si="11"/>
        <v>1.47371765570314</v>
      </c>
      <c r="AM12" s="1">
        <v>0.168881177902222</v>
      </c>
      <c r="AN12" s="10">
        <v>1142.89</v>
      </c>
      <c r="AO12" s="10">
        <v>63.671</v>
      </c>
      <c r="AP12" s="10">
        <f t="shared" si="12"/>
        <v>17.949930109469</v>
      </c>
      <c r="AQ12" s="10">
        <f t="shared" si="13"/>
        <v>1.25406276193211</v>
      </c>
      <c r="AS12" s="1">
        <v>52.404</v>
      </c>
      <c r="AT12" s="11">
        <v>116.663</v>
      </c>
      <c r="AU12" s="1">
        <f t="shared" si="14"/>
        <v>0.449191260296752</v>
      </c>
      <c r="AV12" s="1">
        <f t="shared" si="15"/>
        <v>-0.34756870219201</v>
      </c>
      <c r="AX12" s="11">
        <v>9.5935</v>
      </c>
      <c r="AY12" s="11">
        <v>14.1423</v>
      </c>
      <c r="AZ12" s="1">
        <f t="shared" si="16"/>
        <v>0.678355005904273</v>
      </c>
      <c r="BA12" s="1">
        <f t="shared" si="17"/>
        <v>-0.168542965786024</v>
      </c>
    </row>
    <row r="13" spans="1:53">
      <c r="A13" s="1">
        <v>13</v>
      </c>
      <c r="B13" s="1" t="s">
        <v>57</v>
      </c>
      <c r="C13" s="1">
        <v>106437</v>
      </c>
      <c r="D13" s="1">
        <v>2707179</v>
      </c>
      <c r="E13" s="1">
        <v>0.0310482</v>
      </c>
      <c r="F13" s="1">
        <v>1.634267</v>
      </c>
      <c r="G13" s="1">
        <v>0.005053</v>
      </c>
      <c r="H13" s="1">
        <v>171914370</v>
      </c>
      <c r="I13" s="1">
        <v>20161619</v>
      </c>
      <c r="J13" s="1">
        <v>4.26340687223581</v>
      </c>
      <c r="K13" s="1">
        <v>192</v>
      </c>
      <c r="L13" s="1">
        <v>64</v>
      </c>
      <c r="N13" s="5">
        <v>0.192</v>
      </c>
      <c r="O13" s="6">
        <v>76.6123</v>
      </c>
      <c r="P13" s="6">
        <f t="shared" si="0"/>
        <v>2.5061249955947</v>
      </c>
      <c r="Q13" s="6">
        <f t="shared" si="4"/>
        <v>5.45496387506996</v>
      </c>
      <c r="R13" s="6">
        <f t="shared" si="5"/>
        <v>0.399002728088004</v>
      </c>
      <c r="T13" s="7">
        <v>32.43</v>
      </c>
      <c r="U13" s="7">
        <v>87.4557</v>
      </c>
      <c r="V13" s="7">
        <f t="shared" si="1"/>
        <v>370.816310429166</v>
      </c>
      <c r="W13" s="7">
        <f t="shared" si="6"/>
        <v>921.377492023536</v>
      </c>
      <c r="X13" s="7">
        <f t="shared" si="7"/>
        <v>2.56915882842175</v>
      </c>
      <c r="Z13" s="8">
        <v>2958.37</v>
      </c>
      <c r="AA13" s="8">
        <v>51.7767</v>
      </c>
      <c r="AB13" s="8">
        <f t="shared" si="2"/>
        <v>57.1370906218434</v>
      </c>
      <c r="AC13" s="8">
        <f t="shared" si="8"/>
        <v>84.0510493702642</v>
      </c>
      <c r="AD13" s="8">
        <f t="shared" si="9"/>
        <v>1.75691812265772</v>
      </c>
      <c r="AF13" s="1">
        <v>0.2920964</v>
      </c>
      <c r="AG13" s="9">
        <v>1.695493</v>
      </c>
      <c r="AH13" s="9">
        <v>62.616706</v>
      </c>
      <c r="AI13" s="9">
        <f t="shared" si="3"/>
        <v>27.0773266163187</v>
      </c>
      <c r="AJ13" s="9">
        <f t="shared" si="10"/>
        <v>48.1711097158021</v>
      </c>
      <c r="AK13" s="9">
        <f t="shared" si="11"/>
        <v>1.43260578360637</v>
      </c>
      <c r="AM13" s="1">
        <v>0.241077303886414</v>
      </c>
      <c r="AN13" s="10">
        <v>1297.43</v>
      </c>
      <c r="AO13" s="10">
        <v>35.1973</v>
      </c>
      <c r="AP13" s="10">
        <f t="shared" si="12"/>
        <v>36.8616342730835</v>
      </c>
      <c r="AQ13" s="10">
        <f t="shared" si="13"/>
        <v>1.56657458590335</v>
      </c>
      <c r="AS13" s="1">
        <v>54.626</v>
      </c>
      <c r="AT13" s="11">
        <v>44.1723</v>
      </c>
      <c r="AU13" s="1">
        <f t="shared" si="14"/>
        <v>1.23665736219305</v>
      </c>
      <c r="AV13" s="1">
        <f t="shared" si="15"/>
        <v>0.0922493873238868</v>
      </c>
      <c r="AX13" s="11">
        <v>31.6133</v>
      </c>
      <c r="AY13" s="11">
        <v>25.0879</v>
      </c>
      <c r="AZ13" s="1">
        <f t="shared" si="16"/>
        <v>1.26010148318512</v>
      </c>
      <c r="BA13" s="1">
        <f t="shared" si="17"/>
        <v>0.100405522746537</v>
      </c>
    </row>
    <row r="14" spans="1:53">
      <c r="A14" s="1">
        <v>14</v>
      </c>
      <c r="B14" s="1" t="s">
        <v>58</v>
      </c>
      <c r="C14" s="1">
        <v>206500</v>
      </c>
      <c r="D14" s="1">
        <v>1273389</v>
      </c>
      <c r="E14" s="1">
        <v>0.0157699</v>
      </c>
      <c r="F14" s="1">
        <v>1.181649</v>
      </c>
      <c r="G14" s="1">
        <v>0.002574</v>
      </c>
      <c r="H14" s="1">
        <v>31104754</v>
      </c>
      <c r="I14" s="1">
        <v>9311996</v>
      </c>
      <c r="J14" s="1">
        <v>1.67014429559463</v>
      </c>
      <c r="K14" s="1">
        <v>192</v>
      </c>
      <c r="L14" s="1">
        <v>32</v>
      </c>
      <c r="N14" s="5">
        <v>0.283</v>
      </c>
      <c r="O14" s="6">
        <v>22.8664</v>
      </c>
      <c r="P14" s="6">
        <f t="shared" si="0"/>
        <v>12.3762376237624</v>
      </c>
      <c r="Q14" s="6">
        <f t="shared" si="4"/>
        <v>24.0237691001698</v>
      </c>
      <c r="R14" s="6">
        <f t="shared" si="5"/>
        <v>1.09258863922541</v>
      </c>
      <c r="T14" s="7">
        <v>39.16</v>
      </c>
      <c r="U14" s="7">
        <v>25.3905</v>
      </c>
      <c r="V14" s="7">
        <f t="shared" si="1"/>
        <v>1542.30913136803</v>
      </c>
      <c r="W14" s="7">
        <f t="shared" si="6"/>
        <v>3324.27843803056</v>
      </c>
      <c r="X14" s="7">
        <f t="shared" si="7"/>
        <v>3.1881714298705</v>
      </c>
      <c r="Z14" s="8">
        <v>1061.28</v>
      </c>
      <c r="AA14" s="8">
        <v>16.1627</v>
      </c>
      <c r="AB14" s="8">
        <f t="shared" si="2"/>
        <v>65.6622965222395</v>
      </c>
      <c r="AC14" s="8">
        <f t="shared" si="8"/>
        <v>90.0916808149406</v>
      </c>
      <c r="AD14" s="8">
        <f t="shared" si="9"/>
        <v>1.81731606799878</v>
      </c>
      <c r="AF14" s="1">
        <v>0.1415398</v>
      </c>
      <c r="AG14" s="9">
        <v>1.231792</v>
      </c>
      <c r="AH14" s="9">
        <v>14.431906</v>
      </c>
      <c r="AI14" s="9">
        <f t="shared" si="3"/>
        <v>85.35199716517</v>
      </c>
      <c r="AJ14" s="9">
        <f t="shared" si="10"/>
        <v>104.566383701188</v>
      </c>
      <c r="AK14" s="9">
        <f t="shared" si="11"/>
        <v>1.93121368769639</v>
      </c>
      <c r="AM14" s="1">
        <v>0.46771764755249</v>
      </c>
      <c r="AN14" s="10">
        <v>920.558</v>
      </c>
      <c r="AO14" s="10">
        <v>11.78</v>
      </c>
      <c r="AP14" s="10">
        <f t="shared" si="12"/>
        <v>78.1458404074703</v>
      </c>
      <c r="AQ14" s="10">
        <f t="shared" si="13"/>
        <v>1.89290586608956</v>
      </c>
      <c r="AS14" s="1">
        <v>37.841</v>
      </c>
      <c r="AT14" s="11">
        <v>5.56603</v>
      </c>
      <c r="AU14" s="1">
        <f t="shared" si="14"/>
        <v>6.79856199122175</v>
      </c>
      <c r="AV14" s="1">
        <f t="shared" si="15"/>
        <v>0.832417061923771</v>
      </c>
      <c r="AX14" s="11">
        <v>14.0945</v>
      </c>
      <c r="AY14" s="11">
        <v>8.04715</v>
      </c>
      <c r="AZ14" s="1">
        <f t="shared" si="16"/>
        <v>1.75148965782917</v>
      </c>
      <c r="BA14" s="1">
        <f t="shared" si="17"/>
        <v>0.243407577245499</v>
      </c>
    </row>
    <row r="15" spans="1:53">
      <c r="A15" s="1">
        <v>16</v>
      </c>
      <c r="B15" s="1" t="s">
        <v>59</v>
      </c>
      <c r="C15" s="1">
        <v>1508065</v>
      </c>
      <c r="D15" s="1">
        <v>52672325</v>
      </c>
      <c r="E15" s="1">
        <v>0.599895</v>
      </c>
      <c r="F15" s="1">
        <v>34.292275</v>
      </c>
      <c r="G15" s="1">
        <v>0.113373</v>
      </c>
      <c r="H15" s="1">
        <v>3681833750</v>
      </c>
      <c r="I15" s="1">
        <v>142742975</v>
      </c>
      <c r="J15" s="1">
        <v>12.8967248650941</v>
      </c>
      <c r="K15" s="1">
        <v>192</v>
      </c>
      <c r="L15" s="1">
        <v>64</v>
      </c>
      <c r="N15" s="5">
        <v>1.838</v>
      </c>
      <c r="O15" s="6">
        <v>342.579</v>
      </c>
      <c r="P15" s="6">
        <f t="shared" si="0"/>
        <v>5.36518584034631</v>
      </c>
      <c r="Q15" s="6">
        <f t="shared" si="4"/>
        <v>9.20730974231555</v>
      </c>
      <c r="R15" s="6">
        <f t="shared" si="5"/>
        <v>0.729584769738892</v>
      </c>
      <c r="T15" s="7">
        <v>138.15</v>
      </c>
      <c r="U15" s="7">
        <v>364.157</v>
      </c>
      <c r="V15" s="7">
        <f t="shared" si="1"/>
        <v>379.36933795039</v>
      </c>
      <c r="W15" s="7">
        <f t="shared" si="6"/>
        <v>692.051055985252</v>
      </c>
      <c r="X15" s="7">
        <f t="shared" si="7"/>
        <v>2.57906222666579</v>
      </c>
      <c r="Z15" s="8">
        <v>90740.5</v>
      </c>
      <c r="AA15" s="8">
        <v>312.901</v>
      </c>
      <c r="AB15" s="8">
        <f t="shared" si="2"/>
        <v>289.997475239772</v>
      </c>
      <c r="AC15" s="8">
        <f t="shared" si="8"/>
        <v>454.557067286499</v>
      </c>
      <c r="AD15" s="8">
        <f t="shared" si="9"/>
        <v>2.46239421688445</v>
      </c>
      <c r="AF15" s="1">
        <v>2.81979</v>
      </c>
      <c r="AG15" s="9">
        <v>35.116968</v>
      </c>
      <c r="AH15" s="9">
        <v>372.176719</v>
      </c>
      <c r="AI15" s="9">
        <f t="shared" si="3"/>
        <v>94.3556278704257</v>
      </c>
      <c r="AJ15" s="9">
        <f t="shared" si="10"/>
        <v>175.91556125516</v>
      </c>
      <c r="AK15" s="9">
        <f t="shared" si="11"/>
        <v>1.97476780890135</v>
      </c>
      <c r="AM15" s="1">
        <v>3.41573178768158</v>
      </c>
      <c r="AN15" s="10">
        <v>33445</v>
      </c>
      <c r="AO15" s="10">
        <v>199.624</v>
      </c>
      <c r="AP15" s="10">
        <f t="shared" si="12"/>
        <v>167.539975153288</v>
      </c>
      <c r="AQ15" s="10">
        <f t="shared" si="13"/>
        <v>2.22411844669913</v>
      </c>
      <c r="AS15" s="1">
        <v>534.204</v>
      </c>
      <c r="AT15" s="11">
        <v>357.01</v>
      </c>
      <c r="AU15" s="1">
        <f t="shared" si="14"/>
        <v>1.49632783395423</v>
      </c>
      <c r="AV15" s="1">
        <f t="shared" si="15"/>
        <v>0.175026754544062</v>
      </c>
      <c r="AX15" s="11">
        <v>65.6553</v>
      </c>
      <c r="AY15" s="11">
        <v>144.69</v>
      </c>
      <c r="AZ15" s="1">
        <f t="shared" si="16"/>
        <v>0.453765291312461</v>
      </c>
      <c r="BA15" s="1">
        <f t="shared" si="17"/>
        <v>-0.343168726538253</v>
      </c>
    </row>
    <row r="16" spans="1:53">
      <c r="A16" s="1">
        <v>17</v>
      </c>
      <c r="B16" s="1" t="s">
        <v>60</v>
      </c>
      <c r="C16" s="1">
        <v>220542</v>
      </c>
      <c r="D16" s="1">
        <v>10768436</v>
      </c>
      <c r="E16" s="1">
        <v>0.12199</v>
      </c>
      <c r="F16" s="1">
        <v>5.651248</v>
      </c>
      <c r="G16" s="1">
        <v>0.014728</v>
      </c>
      <c r="H16" s="1">
        <v>1124056276</v>
      </c>
      <c r="I16" s="1">
        <v>34242180</v>
      </c>
      <c r="J16" s="1">
        <v>16.4133281817922</v>
      </c>
      <c r="K16" s="1">
        <v>192</v>
      </c>
      <c r="L16" s="1">
        <v>64</v>
      </c>
      <c r="N16" s="5">
        <v>0.384</v>
      </c>
      <c r="O16" s="6">
        <v>101.232</v>
      </c>
      <c r="P16" s="6">
        <f t="shared" si="0"/>
        <v>3.79326695116169</v>
      </c>
      <c r="Q16" s="6">
        <f t="shared" si="4"/>
        <v>7.13694951165795</v>
      </c>
      <c r="R16" s="6">
        <f t="shared" si="5"/>
        <v>0.579013407252457</v>
      </c>
      <c r="T16" s="7">
        <v>43.48</v>
      </c>
      <c r="U16" s="7">
        <v>123.243</v>
      </c>
      <c r="V16" s="7">
        <f t="shared" si="1"/>
        <v>352.798941927736</v>
      </c>
      <c r="W16" s="7">
        <f t="shared" si="6"/>
        <v>808.110845747103</v>
      </c>
      <c r="X16" s="7">
        <f t="shared" si="7"/>
        <v>2.54752727397782</v>
      </c>
      <c r="Z16" s="8">
        <v>16230.11</v>
      </c>
      <c r="AA16" s="8">
        <v>74.4465</v>
      </c>
      <c r="AB16" s="8">
        <f t="shared" si="2"/>
        <v>218.010383295387</v>
      </c>
      <c r="AC16" s="8">
        <f t="shared" si="8"/>
        <v>301.64967614233</v>
      </c>
      <c r="AD16" s="8">
        <f t="shared" si="9"/>
        <v>2.3384771784693</v>
      </c>
      <c r="AF16" s="1">
        <v>0.62398</v>
      </c>
      <c r="AG16" s="9">
        <v>7.875182</v>
      </c>
      <c r="AH16" s="9">
        <v>60.190296</v>
      </c>
      <c r="AI16" s="9">
        <f t="shared" si="3"/>
        <v>130.838067319024</v>
      </c>
      <c r="AJ16" s="9">
        <f t="shared" si="10"/>
        <v>146.366605023743</v>
      </c>
      <c r="AK16" s="9">
        <f t="shared" si="11"/>
        <v>2.11673412029793</v>
      </c>
      <c r="AM16" s="1">
        <v>0.49952244758606</v>
      </c>
      <c r="AN16" s="10">
        <v>5723.76</v>
      </c>
      <c r="AO16" s="10">
        <v>53.8045</v>
      </c>
      <c r="AP16" s="10">
        <f t="shared" si="12"/>
        <v>106.380693064706</v>
      </c>
      <c r="AQ16" s="10">
        <f t="shared" si="13"/>
        <v>2.02686281539984</v>
      </c>
      <c r="AS16" s="1">
        <v>124.77</v>
      </c>
      <c r="AT16" s="11">
        <v>193.021</v>
      </c>
      <c r="AU16" s="1">
        <f t="shared" si="14"/>
        <v>0.646406349568182</v>
      </c>
      <c r="AV16" s="1">
        <f t="shared" si="15"/>
        <v>-0.189494386192505</v>
      </c>
      <c r="AX16" s="11">
        <v>15.2178</v>
      </c>
      <c r="AY16" s="11">
        <v>44.5435</v>
      </c>
      <c r="AZ16" s="1">
        <f t="shared" si="16"/>
        <v>0.341639071918462</v>
      </c>
      <c r="BA16" s="1">
        <f t="shared" si="17"/>
        <v>-0.46643246658893</v>
      </c>
    </row>
    <row r="17" spans="1:53">
      <c r="A17" s="1">
        <v>18</v>
      </c>
      <c r="B17" s="1" t="s">
        <v>61</v>
      </c>
      <c r="C17" s="1">
        <v>40216</v>
      </c>
      <c r="D17" s="1">
        <v>1042160</v>
      </c>
      <c r="E17" s="1">
        <v>0.0119467</v>
      </c>
      <c r="F17" s="1">
        <v>0.598348</v>
      </c>
      <c r="G17" s="1">
        <v>0.002259</v>
      </c>
      <c r="H17" s="1">
        <v>8097139548</v>
      </c>
      <c r="I17" s="1">
        <v>404705284</v>
      </c>
      <c r="J17" s="1">
        <v>10.0037482436231</v>
      </c>
      <c r="K17" s="1">
        <v>96</v>
      </c>
      <c r="L17" s="1">
        <v>32</v>
      </c>
      <c r="N17" s="5">
        <v>0.167</v>
      </c>
      <c r="O17" s="6">
        <v>303.708</v>
      </c>
      <c r="P17" s="6">
        <f t="shared" si="0"/>
        <v>0.549870270127886</v>
      </c>
      <c r="Q17" s="6">
        <f t="shared" si="4"/>
        <v>0.548166432519728</v>
      </c>
      <c r="R17" s="6">
        <f t="shared" si="5"/>
        <v>-0.259739760711728</v>
      </c>
      <c r="T17" s="7">
        <v>11.6</v>
      </c>
      <c r="U17" s="7">
        <v>320.315</v>
      </c>
      <c r="V17" s="7">
        <f t="shared" si="1"/>
        <v>36.2143514977444</v>
      </c>
      <c r="W17" s="7">
        <f t="shared" si="6"/>
        <v>38.0762312408912</v>
      </c>
      <c r="X17" s="7">
        <f t="shared" si="7"/>
        <v>1.55888071255281</v>
      </c>
      <c r="Z17" s="8">
        <v>970.101</v>
      </c>
      <c r="AA17" s="8">
        <v>431.436</v>
      </c>
      <c r="AB17" s="8">
        <f t="shared" si="2"/>
        <v>2.24853976024254</v>
      </c>
      <c r="AC17" s="8">
        <f t="shared" si="8"/>
        <v>3.18429224163964</v>
      </c>
      <c r="AD17" s="8">
        <f t="shared" si="9"/>
        <v>0.351900571468677</v>
      </c>
      <c r="AF17" s="1">
        <v>4.5438934</v>
      </c>
      <c r="AG17" s="9">
        <v>2.763849</v>
      </c>
      <c r="AH17" s="9">
        <v>1268.22381</v>
      </c>
      <c r="AI17" s="9">
        <f t="shared" si="3"/>
        <v>2.17930697894719</v>
      </c>
      <c r="AJ17" s="9">
        <f t="shared" si="10"/>
        <v>9.07215117576776</v>
      </c>
      <c r="AK17" s="9">
        <f t="shared" si="11"/>
        <v>0.338318409627924</v>
      </c>
      <c r="AM17" s="1">
        <v>0.0623235702514648</v>
      </c>
      <c r="AN17" s="10">
        <v>464.907</v>
      </c>
      <c r="AO17" s="10">
        <v>304.652</v>
      </c>
      <c r="AP17" s="10">
        <f t="shared" si="12"/>
        <v>1.52602641702664</v>
      </c>
      <c r="AQ17" s="10">
        <f t="shared" si="13"/>
        <v>0.183562051750969</v>
      </c>
      <c r="AS17" s="1">
        <v>9.707</v>
      </c>
      <c r="AT17" s="11">
        <v>88.9397</v>
      </c>
      <c r="AU17" s="1">
        <f t="shared" si="14"/>
        <v>0.109141362068907</v>
      </c>
      <c r="AV17" s="1">
        <f t="shared" si="15"/>
        <v>-0.962010630584765</v>
      </c>
      <c r="AX17" s="11">
        <v>9.75759</v>
      </c>
      <c r="AY17" s="11">
        <v>85.6245</v>
      </c>
      <c r="AZ17" s="1">
        <f t="shared" si="16"/>
        <v>0.113957920922166</v>
      </c>
      <c r="BA17" s="1">
        <f t="shared" si="17"/>
        <v>-0.94325548274133</v>
      </c>
    </row>
    <row r="18" spans="1:53">
      <c r="A18" s="1">
        <v>19</v>
      </c>
      <c r="B18" s="1" t="s">
        <v>62</v>
      </c>
      <c r="C18" s="1">
        <v>16783</v>
      </c>
      <c r="D18" s="1">
        <v>9323427</v>
      </c>
      <c r="E18" s="1">
        <v>0.104323</v>
      </c>
      <c r="F18" s="1">
        <v>2.545213</v>
      </c>
      <c r="G18" s="1">
        <v>0.012501</v>
      </c>
      <c r="H18" s="1">
        <v>61431943634</v>
      </c>
      <c r="I18" s="1">
        <v>270864545</v>
      </c>
      <c r="J18" s="1">
        <v>113.399750480448</v>
      </c>
      <c r="K18" s="1">
        <v>64</v>
      </c>
      <c r="L18" s="1">
        <v>16</v>
      </c>
      <c r="N18" s="5">
        <v>1.76</v>
      </c>
      <c r="O18" s="6">
        <v>2111.38</v>
      </c>
      <c r="P18" s="6">
        <f t="shared" si="0"/>
        <v>0.833578039007663</v>
      </c>
      <c r="Q18" s="6">
        <f t="shared" si="4"/>
        <v>0.956594523496353</v>
      </c>
      <c r="R18" s="6">
        <f t="shared" si="5"/>
        <v>-0.0790537355793676</v>
      </c>
      <c r="T18" s="7">
        <v>77.07</v>
      </c>
      <c r="U18" s="7">
        <v>2660.17</v>
      </c>
      <c r="V18" s="7">
        <f t="shared" si="1"/>
        <v>28.9718326272381</v>
      </c>
      <c r="W18" s="7">
        <f t="shared" si="6"/>
        <v>41.889056776059</v>
      </c>
      <c r="X18" s="7">
        <f t="shared" si="7"/>
        <v>1.46197596757946</v>
      </c>
      <c r="Z18" s="8">
        <v>3427.87</v>
      </c>
      <c r="AA18" s="8">
        <v>2013.37</v>
      </c>
      <c r="AB18" s="8">
        <f t="shared" si="2"/>
        <v>1.70255343031832</v>
      </c>
      <c r="AC18" s="8">
        <f t="shared" si="8"/>
        <v>1.86311458480537</v>
      </c>
      <c r="AD18" s="8">
        <f t="shared" si="9"/>
        <v>0.23110075002876</v>
      </c>
      <c r="AF18" s="1">
        <v>3.238646</v>
      </c>
      <c r="AG18" s="9">
        <v>10.761795</v>
      </c>
      <c r="AH18" s="9">
        <v>6065.417528</v>
      </c>
      <c r="AI18" s="9">
        <f t="shared" si="3"/>
        <v>1.77428758206998</v>
      </c>
      <c r="AJ18" s="9">
        <f t="shared" si="10"/>
        <v>5.84924668181275</v>
      </c>
      <c r="AK18" s="9">
        <f t="shared" si="11"/>
        <v>0.249024013006322</v>
      </c>
      <c r="AM18" s="1">
        <v>0.0220075845718384</v>
      </c>
      <c r="AN18" s="10">
        <v>2915.03</v>
      </c>
      <c r="AO18" s="10">
        <v>1839.86</v>
      </c>
      <c r="AP18" s="10">
        <f t="shared" si="12"/>
        <v>1.5843759851293</v>
      </c>
      <c r="AQ18" s="10">
        <f t="shared" si="13"/>
        <v>0.199858251048041</v>
      </c>
      <c r="AS18" s="1">
        <v>151.352</v>
      </c>
      <c r="AT18" s="11">
        <v>3613.6</v>
      </c>
      <c r="AU18" s="1">
        <f t="shared" si="14"/>
        <v>0.0418839938011955</v>
      </c>
      <c r="AV18" s="1">
        <f t="shared" si="15"/>
        <v>-1.37795191335606</v>
      </c>
      <c r="AX18" s="11">
        <v>35.0532</v>
      </c>
      <c r="AY18" s="11">
        <v>2192.43</v>
      </c>
      <c r="AZ18" s="1">
        <f t="shared" si="16"/>
        <v>0.0159882869692533</v>
      </c>
      <c r="BA18" s="1">
        <f t="shared" si="17"/>
        <v>-1.79619806531281</v>
      </c>
    </row>
    <row r="19" spans="1:53">
      <c r="A19" s="1">
        <v>20</v>
      </c>
      <c r="B19" s="1" t="s">
        <v>63</v>
      </c>
      <c r="C19" s="1">
        <v>56814</v>
      </c>
      <c r="D19" s="1">
        <v>8767466</v>
      </c>
      <c r="E19" s="1">
        <v>0.0984074</v>
      </c>
      <c r="F19" s="1">
        <v>5.024497</v>
      </c>
      <c r="G19" s="1">
        <v>0.011893</v>
      </c>
      <c r="H19" s="12">
        <v>107894274940</v>
      </c>
      <c r="I19" s="12">
        <v>805683050</v>
      </c>
      <c r="J19" s="1">
        <v>66.9582628925854</v>
      </c>
      <c r="K19" s="1">
        <v>32</v>
      </c>
      <c r="L19" s="1">
        <v>8</v>
      </c>
      <c r="N19" s="5">
        <v>1.427</v>
      </c>
      <c r="O19" s="6">
        <v>3471.3</v>
      </c>
      <c r="P19" s="6">
        <f t="shared" si="0"/>
        <v>0.41108518422493</v>
      </c>
      <c r="Q19" s="6">
        <f t="shared" si="4"/>
        <v>0.419460374663065</v>
      </c>
      <c r="R19" s="6">
        <f t="shared" si="5"/>
        <v>-0.38606817519072</v>
      </c>
      <c r="T19" s="7">
        <v>38.39</v>
      </c>
      <c r="U19" s="7">
        <v>4692.74</v>
      </c>
      <c r="V19" s="7">
        <f t="shared" si="1"/>
        <v>8.18072171055716</v>
      </c>
      <c r="W19" s="7">
        <f t="shared" si="6"/>
        <v>11.2845716771654</v>
      </c>
      <c r="X19" s="7">
        <f t="shared" si="7"/>
        <v>0.912791619207551</v>
      </c>
      <c r="Z19" s="8">
        <v>2482.561</v>
      </c>
      <c r="AA19" s="8">
        <v>3804.59</v>
      </c>
      <c r="AB19" s="8">
        <f t="shared" si="2"/>
        <v>0.652517354038149</v>
      </c>
      <c r="AC19" s="8">
        <f t="shared" si="8"/>
        <v>0.729737888706316</v>
      </c>
      <c r="AD19" s="8">
        <f t="shared" si="9"/>
        <v>-0.185407933548634</v>
      </c>
      <c r="AF19" s="1">
        <v>9.1968148</v>
      </c>
      <c r="AG19" s="9">
        <v>15.766753</v>
      </c>
      <c r="AH19" s="9">
        <v>15718.430996</v>
      </c>
      <c r="AI19" s="9">
        <f t="shared" si="3"/>
        <v>1.00307422566618</v>
      </c>
      <c r="AJ19" s="9">
        <f t="shared" si="10"/>
        <v>4.63456770889979</v>
      </c>
      <c r="AK19" s="9">
        <f t="shared" si="11"/>
        <v>0.00133307121036176</v>
      </c>
      <c r="AM19" s="1">
        <v>0.0609548091888428</v>
      </c>
      <c r="AN19" s="10">
        <v>6461.24</v>
      </c>
      <c r="AO19" s="10">
        <v>3401.99</v>
      </c>
      <c r="AP19" s="10">
        <f t="shared" si="12"/>
        <v>1.89925308422423</v>
      </c>
      <c r="AQ19" s="10">
        <f t="shared" si="13"/>
        <v>0.278582840333913</v>
      </c>
      <c r="AS19" s="1">
        <v>85.52</v>
      </c>
      <c r="AT19" s="11">
        <v>2306.94</v>
      </c>
      <c r="AU19" s="1">
        <f t="shared" si="14"/>
        <v>0.0370707517317312</v>
      </c>
      <c r="AV19" s="1">
        <f t="shared" si="15"/>
        <v>-1.43096860712845</v>
      </c>
      <c r="AX19" s="11">
        <v>38.2066</v>
      </c>
      <c r="AY19" s="11">
        <v>1948.07</v>
      </c>
      <c r="AZ19" s="1">
        <f t="shared" si="16"/>
        <v>0.0196125395904665</v>
      </c>
      <c r="BA19" s="1">
        <f t="shared" si="17"/>
        <v>-1.70746616672413</v>
      </c>
    </row>
    <row r="20" spans="1:53">
      <c r="A20" s="1">
        <v>24</v>
      </c>
      <c r="B20" s="1" t="s">
        <v>64</v>
      </c>
      <c r="C20" s="1">
        <v>3997962</v>
      </c>
      <c r="D20" s="1">
        <v>69362378</v>
      </c>
      <c r="E20" s="1">
        <v>0.804972</v>
      </c>
      <c r="F20" s="1">
        <v>27.44654</v>
      </c>
      <c r="G20" s="1">
        <v>0.191223</v>
      </c>
      <c r="H20" s="12">
        <v>17161797536</v>
      </c>
      <c r="I20" s="12">
        <v>4859092804</v>
      </c>
      <c r="J20" s="1">
        <v>1.76594667237806</v>
      </c>
      <c r="K20" s="1">
        <v>96</v>
      </c>
      <c r="L20" s="1">
        <v>16</v>
      </c>
      <c r="N20" s="5">
        <v>62.703</v>
      </c>
      <c r="O20" s="6">
        <v>27586.3</v>
      </c>
      <c r="P20" s="6">
        <f t="shared" si="0"/>
        <v>2.27297607870573</v>
      </c>
      <c r="Q20" s="6">
        <f t="shared" si="4"/>
        <v>3.95964762716681</v>
      </c>
      <c r="R20" s="6">
        <f t="shared" si="5"/>
        <v>0.356594865139504</v>
      </c>
      <c r="T20" s="7">
        <v>3806.01</v>
      </c>
      <c r="U20" s="7">
        <v>13965.814805</v>
      </c>
      <c r="V20" s="7">
        <f t="shared" si="1"/>
        <v>272.523304450334</v>
      </c>
      <c r="W20" s="7">
        <f t="shared" si="6"/>
        <v>240.346689400398</v>
      </c>
      <c r="X20" s="7">
        <f t="shared" si="7"/>
        <v>2.43540364628763</v>
      </c>
      <c r="Z20" s="8">
        <v>26439.36</v>
      </c>
      <c r="AA20" s="8">
        <v>19929.1</v>
      </c>
      <c r="AB20" s="8">
        <f t="shared" si="2"/>
        <v>1.32667104886824</v>
      </c>
      <c r="AC20" s="8">
        <f t="shared" si="8"/>
        <v>1.66962584067443</v>
      </c>
      <c r="AD20" s="8">
        <f t="shared" si="9"/>
        <v>0.122763251898863</v>
      </c>
      <c r="AF20" s="1">
        <v>55.969944</v>
      </c>
      <c r="AG20" s="9">
        <v>41.414622</v>
      </c>
      <c r="AH20" s="9">
        <v>16016.182876</v>
      </c>
      <c r="AI20" s="9">
        <f t="shared" si="3"/>
        <v>2.5857985214479</v>
      </c>
      <c r="AJ20" s="9">
        <f t="shared" si="10"/>
        <v>2.61530245334849</v>
      </c>
      <c r="AK20" s="9">
        <f t="shared" si="11"/>
        <v>0.412594682790225</v>
      </c>
      <c r="AM20" s="1">
        <v>6.19572472572327</v>
      </c>
      <c r="AN20" s="10">
        <v>13175.1</v>
      </c>
      <c r="AO20" s="10">
        <v>15835.5</v>
      </c>
      <c r="AP20" s="10">
        <f t="shared" si="12"/>
        <v>0.831997726626883</v>
      </c>
      <c r="AQ20" s="10">
        <f t="shared" si="13"/>
        <v>-0.0798778603856571</v>
      </c>
      <c r="AS20" s="1">
        <v>3429.279</v>
      </c>
      <c r="AT20" s="11">
        <v>8708.53</v>
      </c>
      <c r="AU20" s="1">
        <f t="shared" si="14"/>
        <v>0.393783910717423</v>
      </c>
      <c r="AV20" s="1">
        <f t="shared" si="15"/>
        <v>-0.404742032305028</v>
      </c>
      <c r="AX20" s="11">
        <v>2098.13</v>
      </c>
      <c r="AY20" s="11">
        <v>11437.2</v>
      </c>
      <c r="AZ20" s="1">
        <f t="shared" si="16"/>
        <v>0.183447871856748</v>
      </c>
      <c r="BA20" s="1">
        <f t="shared" si="17"/>
        <v>-0.736487322045029</v>
      </c>
    </row>
    <row r="21" s="1" customFormat="1" spans="1:53">
      <c r="A21" s="1">
        <v>30</v>
      </c>
      <c r="B21" s="1" t="s">
        <v>65</v>
      </c>
      <c r="C21" s="1">
        <v>3566907</v>
      </c>
      <c r="D21" s="1">
        <v>45030389</v>
      </c>
      <c r="E21" s="1">
        <v>0.529829</v>
      </c>
      <c r="F21" s="1">
        <v>25.8382</v>
      </c>
      <c r="G21" s="1">
        <v>0.059098</v>
      </c>
      <c r="H21" s="12">
        <v>447425101530</v>
      </c>
      <c r="I21" s="12">
        <v>165704430144</v>
      </c>
      <c r="J21" s="1">
        <v>1.35006982354419</v>
      </c>
      <c r="K21" s="1">
        <v>192</v>
      </c>
      <c r="L21" s="1">
        <v>32</v>
      </c>
      <c r="N21" s="5">
        <v>89.46</v>
      </c>
      <c r="O21" s="5">
        <v>12841.978025</v>
      </c>
      <c r="P21" s="6">
        <f t="shared" si="0"/>
        <v>6.96621656148645</v>
      </c>
      <c r="Q21" s="6">
        <f t="shared" si="4"/>
        <v>7.31539782484259</v>
      </c>
      <c r="R21" s="6">
        <f t="shared" si="5"/>
        <v>0.842996971413724</v>
      </c>
      <c r="T21" s="7">
        <v>4825.17</v>
      </c>
      <c r="U21" s="7">
        <v>12131.756902</v>
      </c>
      <c r="V21" s="7">
        <f t="shared" si="1"/>
        <v>397.730521554099</v>
      </c>
      <c r="W21" s="7">
        <f t="shared" si="6"/>
        <v>394.567830566686</v>
      </c>
      <c r="X21" s="7">
        <f t="shared" si="7"/>
        <v>2.59958891971092</v>
      </c>
      <c r="Z21" s="8">
        <v>74606.8</v>
      </c>
      <c r="AA21" s="8">
        <v>15478.3</v>
      </c>
      <c r="AB21" s="8">
        <f t="shared" si="2"/>
        <v>4.82009006157007</v>
      </c>
      <c r="AC21" s="8">
        <f t="shared" si="8"/>
        <v>6.10080955106714</v>
      </c>
      <c r="AD21" s="8">
        <f t="shared" si="9"/>
        <v>0.683055152943726</v>
      </c>
      <c r="AF21" s="1">
        <v>1853.009658</v>
      </c>
      <c r="AG21" s="9" t="s">
        <v>66</v>
      </c>
      <c r="AH21" s="9" t="s">
        <v>66</v>
      </c>
      <c r="AI21" s="9" t="e">
        <f t="shared" si="3"/>
        <v>#VALUE!</v>
      </c>
      <c r="AJ21" s="9" t="e">
        <f t="shared" si="10"/>
        <v>#VALUE!</v>
      </c>
      <c r="AK21" s="9" t="e">
        <f t="shared" si="11"/>
        <v>#VALUE!</v>
      </c>
      <c r="AM21" s="1">
        <v>8.07896053791046</v>
      </c>
      <c r="AN21" s="10">
        <v>30186.3</v>
      </c>
      <c r="AO21" s="10">
        <v>12229</v>
      </c>
      <c r="AP21" s="10">
        <f t="shared" si="12"/>
        <v>2.46841933109821</v>
      </c>
      <c r="AQ21" s="10">
        <f t="shared" si="13"/>
        <v>0.392418938875232</v>
      </c>
      <c r="AS21" s="1">
        <v>26564.13</v>
      </c>
      <c r="AT21" s="11">
        <v>5690.12</v>
      </c>
      <c r="AU21" s="1">
        <f t="shared" si="14"/>
        <v>4.66846569140897</v>
      </c>
      <c r="AV21" s="1">
        <f t="shared" si="15"/>
        <v>0.669174171521043</v>
      </c>
      <c r="AX21" s="11">
        <v>1628.7</v>
      </c>
      <c r="AY21" s="11">
        <v>6080.7</v>
      </c>
      <c r="AZ21" s="1">
        <f t="shared" si="16"/>
        <v>0.267847451773644</v>
      </c>
      <c r="BA21" s="1">
        <f t="shared" si="17"/>
        <v>-0.572112481028696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3"/>
  <sheetViews>
    <sheetView workbookViewId="0">
      <selection activeCell="C2" sqref="C2:C21"/>
    </sheetView>
  </sheetViews>
  <sheetFormatPr defaultColWidth="9.23076923076923" defaultRowHeight="16.8"/>
  <cols>
    <col min="1" max="1" width="9.23076923076923" style="1"/>
    <col min="2" max="2" width="16.3461538461538" style="1" customWidth="1"/>
    <col min="3" max="5" width="15.0673076923077" style="1" customWidth="1"/>
    <col min="6" max="6" width="18.4230769230769" style="1" customWidth="1"/>
    <col min="7" max="11" width="9.23076923076923" style="1"/>
    <col min="12" max="12" width="9.69230769230769" style="1"/>
    <col min="13" max="16" width="9.23076923076923" style="1"/>
    <col min="17" max="17" width="15.5384615384615" style="2" customWidth="1"/>
    <col min="18" max="22" width="9" style="2"/>
    <col min="23" max="16384" width="9.23076923076923" style="1"/>
  </cols>
  <sheetData>
    <row r="1" spans="1:22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70</v>
      </c>
      <c r="I1" s="1" t="s">
        <v>67</v>
      </c>
      <c r="J1" s="1" t="s">
        <v>68</v>
      </c>
      <c r="K1" s="1" t="s">
        <v>70</v>
      </c>
      <c r="L1" s="1" t="s">
        <v>69</v>
      </c>
      <c r="N1" s="1" t="s">
        <v>23</v>
      </c>
      <c r="Q1" s="3" t="s">
        <v>71</v>
      </c>
      <c r="R1" s="3" t="s">
        <v>10</v>
      </c>
      <c r="S1" s="3" t="s">
        <v>11</v>
      </c>
      <c r="T1" s="3" t="s">
        <v>72</v>
      </c>
      <c r="U1" s="3" t="s">
        <v>67</v>
      </c>
      <c r="V1" s="3" t="s">
        <v>68</v>
      </c>
    </row>
    <row r="2" spans="1:22">
      <c r="A2" s="1">
        <v>1</v>
      </c>
      <c r="B2" s="1" t="s">
        <v>46</v>
      </c>
      <c r="C2" s="1">
        <v>999.589</v>
      </c>
      <c r="D2" s="1">
        <v>94.286</v>
      </c>
      <c r="E2" s="1">
        <f>C2+D2</f>
        <v>1093.875</v>
      </c>
      <c r="F2" s="1">
        <v>394.258</v>
      </c>
      <c r="I2" s="1">
        <v>1207.34</v>
      </c>
      <c r="J2" s="1">
        <v>835.837</v>
      </c>
      <c r="K2" s="1">
        <v>330.278</v>
      </c>
      <c r="L2" s="1">
        <f>I2+J2</f>
        <v>2043.177</v>
      </c>
      <c r="N2" s="1">
        <v>37.4018</v>
      </c>
      <c r="Q2" s="2" t="s">
        <v>46</v>
      </c>
      <c r="R2" s="2">
        <v>256</v>
      </c>
      <c r="S2" s="2">
        <v>64</v>
      </c>
      <c r="T2" s="2">
        <v>4</v>
      </c>
      <c r="U2" s="2">
        <v>999.589</v>
      </c>
      <c r="V2" s="2">
        <v>94.286</v>
      </c>
    </row>
    <row r="3" spans="1:22">
      <c r="A3" s="1">
        <v>2</v>
      </c>
      <c r="B3" s="1" t="s">
        <v>47</v>
      </c>
      <c r="C3" s="1">
        <v>4456.69</v>
      </c>
      <c r="D3" s="1">
        <v>379.102</v>
      </c>
      <c r="E3" s="1">
        <f t="shared" ref="E3:E21" si="0">C3+D3</f>
        <v>4835.792</v>
      </c>
      <c r="F3" s="1">
        <v>876.982</v>
      </c>
      <c r="I3" s="1">
        <v>6669.25</v>
      </c>
      <c r="J3" s="1">
        <v>3109.73</v>
      </c>
      <c r="K3" s="1">
        <v>957.77</v>
      </c>
      <c r="L3" s="1">
        <f t="shared" ref="L3:L21" si="1">I3+J3</f>
        <v>9778.98</v>
      </c>
      <c r="N3" s="1">
        <v>69.3168</v>
      </c>
      <c r="Q3" s="2" t="s">
        <v>47</v>
      </c>
      <c r="R3" s="2">
        <v>96</v>
      </c>
      <c r="S3" s="2">
        <v>32</v>
      </c>
      <c r="T3" s="2">
        <v>3</v>
      </c>
      <c r="U3" s="2">
        <v>4456.69</v>
      </c>
      <c r="V3" s="2">
        <v>379.102</v>
      </c>
    </row>
    <row r="4" spans="1:22">
      <c r="A4" s="1">
        <v>3</v>
      </c>
      <c r="B4" s="1" t="s">
        <v>48</v>
      </c>
      <c r="C4" s="1">
        <v>1240.09</v>
      </c>
      <c r="D4" s="1">
        <v>97.246</v>
      </c>
      <c r="E4" s="1">
        <f t="shared" si="0"/>
        <v>1337.336</v>
      </c>
      <c r="F4" s="1">
        <v>1084.83</v>
      </c>
      <c r="I4" s="1">
        <v>2272.61</v>
      </c>
      <c r="J4" s="1">
        <v>1755.62</v>
      </c>
      <c r="K4" s="1">
        <v>1099.78</v>
      </c>
      <c r="L4" s="1">
        <f t="shared" si="1"/>
        <v>4028.23</v>
      </c>
      <c r="N4" s="1">
        <v>84.8181</v>
      </c>
      <c r="Q4" s="2" t="s">
        <v>48</v>
      </c>
      <c r="R4" s="2">
        <v>160</v>
      </c>
      <c r="S4" s="2">
        <v>40</v>
      </c>
      <c r="T4" s="2">
        <v>4</v>
      </c>
      <c r="U4" s="2">
        <v>1240.09</v>
      </c>
      <c r="V4" s="2">
        <v>97.246</v>
      </c>
    </row>
    <row r="5" spans="1:22">
      <c r="A5" s="1">
        <v>4</v>
      </c>
      <c r="B5" s="1" t="s">
        <v>49</v>
      </c>
      <c r="C5" s="1">
        <v>736.276</v>
      </c>
      <c r="D5" s="1">
        <v>28.194</v>
      </c>
      <c r="E5" s="1">
        <f t="shared" si="0"/>
        <v>764.47</v>
      </c>
      <c r="F5" s="1">
        <v>1110.48</v>
      </c>
      <c r="I5" s="1">
        <v>276.548</v>
      </c>
      <c r="J5" s="1">
        <v>62.419</v>
      </c>
      <c r="K5" s="1">
        <v>982.305</v>
      </c>
      <c r="L5" s="1">
        <f t="shared" si="1"/>
        <v>338.967</v>
      </c>
      <c r="N5" s="1">
        <v>81.2797</v>
      </c>
      <c r="Q5" s="2" t="s">
        <v>49</v>
      </c>
      <c r="R5" s="2">
        <v>192</v>
      </c>
      <c r="S5" s="2">
        <v>64</v>
      </c>
      <c r="T5" s="2">
        <v>3</v>
      </c>
      <c r="U5" s="2">
        <v>736.276</v>
      </c>
      <c r="V5" s="2">
        <v>28.194</v>
      </c>
    </row>
    <row r="6" spans="1:22">
      <c r="A6" s="1">
        <v>5</v>
      </c>
      <c r="B6" s="1" t="s">
        <v>50</v>
      </c>
      <c r="C6" s="1">
        <v>1358.23</v>
      </c>
      <c r="D6" s="1">
        <v>64.956</v>
      </c>
      <c r="E6" s="1">
        <f t="shared" si="0"/>
        <v>1423.186</v>
      </c>
      <c r="F6" s="1">
        <v>277.476</v>
      </c>
      <c r="I6" s="1">
        <v>1175.34</v>
      </c>
      <c r="J6" s="1">
        <v>268.162</v>
      </c>
      <c r="K6" s="1">
        <v>287</v>
      </c>
      <c r="L6" s="1">
        <f t="shared" si="1"/>
        <v>1443.502</v>
      </c>
      <c r="N6" s="1">
        <v>18.7119</v>
      </c>
      <c r="Q6" s="2" t="s">
        <v>50</v>
      </c>
      <c r="R6" s="2">
        <v>192</v>
      </c>
      <c r="S6" s="2">
        <v>64</v>
      </c>
      <c r="T6" s="2">
        <v>3</v>
      </c>
      <c r="U6" s="2">
        <v>1358.23</v>
      </c>
      <c r="V6" s="2">
        <v>64.956</v>
      </c>
    </row>
    <row r="7" spans="1:22">
      <c r="A7" s="1">
        <v>6</v>
      </c>
      <c r="B7" s="1" t="s">
        <v>51</v>
      </c>
      <c r="C7" s="1">
        <v>369.623</v>
      </c>
      <c r="D7" s="1">
        <v>6.67</v>
      </c>
      <c r="E7" s="1">
        <f t="shared" si="0"/>
        <v>376.293</v>
      </c>
      <c r="F7" s="1">
        <v>29.984</v>
      </c>
      <c r="I7" s="1">
        <v>379.501</v>
      </c>
      <c r="J7" s="1">
        <v>46.396</v>
      </c>
      <c r="K7" s="1">
        <v>27.858</v>
      </c>
      <c r="L7" s="1">
        <f t="shared" si="1"/>
        <v>425.897</v>
      </c>
      <c r="N7" s="1">
        <v>4.43096</v>
      </c>
      <c r="Q7" s="2" t="s">
        <v>51</v>
      </c>
      <c r="R7" s="2">
        <v>192</v>
      </c>
      <c r="S7" s="2">
        <v>64</v>
      </c>
      <c r="T7" s="2">
        <v>3</v>
      </c>
      <c r="U7" s="2">
        <v>369.623</v>
      </c>
      <c r="V7" s="2">
        <v>6.67</v>
      </c>
    </row>
    <row r="8" spans="1:22">
      <c r="A8" s="1">
        <v>8</v>
      </c>
      <c r="B8" s="1" t="s">
        <v>52</v>
      </c>
      <c r="C8" s="1">
        <v>165.034</v>
      </c>
      <c r="D8" s="1">
        <v>19.575</v>
      </c>
      <c r="E8" s="1">
        <f t="shared" si="0"/>
        <v>184.609</v>
      </c>
      <c r="F8" s="1">
        <v>71.91</v>
      </c>
      <c r="I8" s="1">
        <v>159.004</v>
      </c>
      <c r="J8" s="1">
        <v>130.303</v>
      </c>
      <c r="K8" s="1">
        <v>73.478</v>
      </c>
      <c r="L8" s="1">
        <f t="shared" si="1"/>
        <v>289.307</v>
      </c>
      <c r="N8" s="1">
        <v>7.9865</v>
      </c>
      <c r="Q8" s="2" t="s">
        <v>52</v>
      </c>
      <c r="R8" s="2">
        <v>192</v>
      </c>
      <c r="S8" s="2">
        <v>64</v>
      </c>
      <c r="T8" s="2">
        <v>3</v>
      </c>
      <c r="U8" s="2">
        <v>165.034</v>
      </c>
      <c r="V8" s="2">
        <v>19.575</v>
      </c>
    </row>
    <row r="9" spans="1:22">
      <c r="A9" s="1">
        <v>9</v>
      </c>
      <c r="B9" s="1" t="s">
        <v>53</v>
      </c>
      <c r="C9" s="1">
        <v>1947.68</v>
      </c>
      <c r="D9" s="1">
        <v>225.489</v>
      </c>
      <c r="E9" s="1">
        <f t="shared" si="0"/>
        <v>2173.169</v>
      </c>
      <c r="F9" s="1">
        <v>422.101</v>
      </c>
      <c r="I9" s="1">
        <v>1604.68</v>
      </c>
      <c r="J9" s="1">
        <v>721.046</v>
      </c>
      <c r="K9" s="1">
        <v>355.117</v>
      </c>
      <c r="L9" s="1">
        <f t="shared" si="1"/>
        <v>2325.726</v>
      </c>
      <c r="N9" s="1">
        <v>73.2928</v>
      </c>
      <c r="Q9" s="2" t="s">
        <v>53</v>
      </c>
      <c r="R9" s="2">
        <v>192</v>
      </c>
      <c r="S9" s="2">
        <v>64</v>
      </c>
      <c r="T9" s="2">
        <v>3</v>
      </c>
      <c r="U9" s="2">
        <v>1947.68</v>
      </c>
      <c r="V9" s="2">
        <v>225.489</v>
      </c>
    </row>
    <row r="10" spans="1:22">
      <c r="A10" s="1">
        <v>10</v>
      </c>
      <c r="B10" s="1" t="s">
        <v>54</v>
      </c>
      <c r="C10" s="1">
        <v>624.355</v>
      </c>
      <c r="D10" s="1">
        <v>53.344</v>
      </c>
      <c r="E10" s="1">
        <f t="shared" si="0"/>
        <v>677.699</v>
      </c>
      <c r="F10" s="1">
        <v>197.942</v>
      </c>
      <c r="I10" s="1">
        <v>1268.36</v>
      </c>
      <c r="J10" s="1">
        <v>462.672</v>
      </c>
      <c r="K10" s="1">
        <v>193.474</v>
      </c>
      <c r="L10" s="1">
        <f t="shared" si="1"/>
        <v>1731.032</v>
      </c>
      <c r="N10" s="1">
        <v>20.8866</v>
      </c>
      <c r="Q10" s="2" t="s">
        <v>54</v>
      </c>
      <c r="R10" s="2">
        <v>128</v>
      </c>
      <c r="S10" s="2">
        <v>32</v>
      </c>
      <c r="T10" s="2">
        <v>4</v>
      </c>
      <c r="U10" s="2">
        <v>624.355</v>
      </c>
      <c r="V10" s="2">
        <v>53.344</v>
      </c>
    </row>
    <row r="11" spans="1:22">
      <c r="A11" s="1">
        <v>11</v>
      </c>
      <c r="B11" s="1" t="s">
        <v>55</v>
      </c>
      <c r="C11" s="1">
        <v>3777.66</v>
      </c>
      <c r="D11" s="1">
        <v>231.583</v>
      </c>
      <c r="E11" s="1">
        <f t="shared" si="0"/>
        <v>4009.243</v>
      </c>
      <c r="F11" s="1">
        <v>579.382</v>
      </c>
      <c r="I11" s="1">
        <v>4945.53</v>
      </c>
      <c r="J11" s="1">
        <v>1877.41</v>
      </c>
      <c r="K11" s="1">
        <v>637.027</v>
      </c>
      <c r="L11" s="1">
        <f t="shared" si="1"/>
        <v>6822.94</v>
      </c>
      <c r="N11" s="1">
        <v>57.046</v>
      </c>
      <c r="Q11" s="2" t="s">
        <v>55</v>
      </c>
      <c r="R11" s="2">
        <v>224</v>
      </c>
      <c r="S11" s="2">
        <v>56</v>
      </c>
      <c r="T11" s="2">
        <v>4</v>
      </c>
      <c r="U11" s="2">
        <v>3777.66</v>
      </c>
      <c r="V11" s="2">
        <v>231.583</v>
      </c>
    </row>
    <row r="12" spans="1:22">
      <c r="A12" s="1">
        <v>12</v>
      </c>
      <c r="B12" s="1" t="s">
        <v>56</v>
      </c>
      <c r="C12" s="1">
        <v>1142.89</v>
      </c>
      <c r="D12" s="1">
        <v>116.237</v>
      </c>
      <c r="E12" s="1">
        <f t="shared" si="0"/>
        <v>1259.127</v>
      </c>
      <c r="F12" s="1">
        <v>735.133</v>
      </c>
      <c r="I12" s="1">
        <v>1218.81</v>
      </c>
      <c r="J12" s="1">
        <v>523.165</v>
      </c>
      <c r="K12" s="1">
        <v>553.137</v>
      </c>
      <c r="L12" s="1">
        <f t="shared" si="1"/>
        <v>1741.975</v>
      </c>
      <c r="N12" s="1">
        <v>81.4991</v>
      </c>
      <c r="Q12" s="2" t="s">
        <v>56</v>
      </c>
      <c r="R12" s="2">
        <v>192</v>
      </c>
      <c r="S12" s="2">
        <v>48</v>
      </c>
      <c r="T12" s="2">
        <v>4</v>
      </c>
      <c r="U12" s="2">
        <v>1142.89</v>
      </c>
      <c r="V12" s="2">
        <v>116.237</v>
      </c>
    </row>
    <row r="13" spans="1:22">
      <c r="A13" s="1">
        <v>13</v>
      </c>
      <c r="B13" s="1" t="s">
        <v>57</v>
      </c>
      <c r="C13" s="1">
        <v>1297.43</v>
      </c>
      <c r="D13" s="1">
        <v>132.045</v>
      </c>
      <c r="E13" s="1">
        <f t="shared" si="0"/>
        <v>1429.475</v>
      </c>
      <c r="F13" s="1">
        <v>518.09</v>
      </c>
      <c r="I13" s="1">
        <v>1660.98</v>
      </c>
      <c r="J13" s="1">
        <v>1297.39</v>
      </c>
      <c r="K13" s="1">
        <v>526.09</v>
      </c>
      <c r="L13" s="1">
        <f t="shared" si="1"/>
        <v>2958.37</v>
      </c>
      <c r="N13" s="1">
        <v>51.7767</v>
      </c>
      <c r="Q13" s="2" t="s">
        <v>57</v>
      </c>
      <c r="R13" s="2">
        <v>192</v>
      </c>
      <c r="S13" s="2">
        <v>64</v>
      </c>
      <c r="T13" s="2">
        <v>3</v>
      </c>
      <c r="U13" s="2">
        <v>1297.43</v>
      </c>
      <c r="V13" s="2">
        <v>132.045</v>
      </c>
    </row>
    <row r="14" spans="1:22">
      <c r="A14" s="1">
        <v>14</v>
      </c>
      <c r="B14" s="1" t="s">
        <v>58</v>
      </c>
      <c r="C14" s="1">
        <v>920.558</v>
      </c>
      <c r="D14" s="1">
        <v>11.405</v>
      </c>
      <c r="E14" s="1">
        <f t="shared" si="0"/>
        <v>931.963</v>
      </c>
      <c r="F14" s="1">
        <v>506.701</v>
      </c>
      <c r="I14" s="1">
        <v>935.293</v>
      </c>
      <c r="J14" s="1">
        <v>125.987</v>
      </c>
      <c r="K14" s="1">
        <v>510.916</v>
      </c>
      <c r="L14" s="1">
        <f t="shared" si="1"/>
        <v>1061.28</v>
      </c>
      <c r="N14" s="1">
        <v>16.1627</v>
      </c>
      <c r="Q14" s="2" t="s">
        <v>58</v>
      </c>
      <c r="R14" s="2">
        <v>192</v>
      </c>
      <c r="S14" s="2">
        <v>32</v>
      </c>
      <c r="T14" s="2">
        <v>6</v>
      </c>
      <c r="U14" s="2">
        <v>920.558</v>
      </c>
      <c r="V14" s="2">
        <v>11.405</v>
      </c>
    </row>
    <row r="15" spans="1:22">
      <c r="A15" s="1">
        <v>16</v>
      </c>
      <c r="B15" s="1" t="s">
        <v>59</v>
      </c>
      <c r="C15" s="1">
        <v>33445</v>
      </c>
      <c r="D15" s="1">
        <v>1547.11</v>
      </c>
      <c r="E15" s="1">
        <f t="shared" si="0"/>
        <v>34992.11</v>
      </c>
      <c r="F15" s="1">
        <v>4299.92</v>
      </c>
      <c r="I15" s="1">
        <v>70200.3</v>
      </c>
      <c r="J15" s="1">
        <v>20540.2</v>
      </c>
      <c r="K15" s="1">
        <v>5081.34</v>
      </c>
      <c r="L15" s="1">
        <f t="shared" si="1"/>
        <v>90740.5</v>
      </c>
      <c r="N15" s="1">
        <v>312.901</v>
      </c>
      <c r="Q15" s="2" t="s">
        <v>59</v>
      </c>
      <c r="R15" s="2">
        <v>224</v>
      </c>
      <c r="S15" s="2">
        <v>56</v>
      </c>
      <c r="T15" s="2">
        <v>4</v>
      </c>
      <c r="U15" s="2">
        <v>33445</v>
      </c>
      <c r="V15" s="2">
        <v>1547.11</v>
      </c>
    </row>
    <row r="16" spans="1:22">
      <c r="A16" s="1">
        <v>17</v>
      </c>
      <c r="B16" s="1" t="s">
        <v>60</v>
      </c>
      <c r="C16" s="1">
        <v>5723.76</v>
      </c>
      <c r="D16" s="1">
        <v>300.546</v>
      </c>
      <c r="E16" s="1">
        <f t="shared" si="0"/>
        <v>6024.306</v>
      </c>
      <c r="F16" s="1">
        <v>881.233</v>
      </c>
      <c r="I16" s="1">
        <v>12392.9</v>
      </c>
      <c r="J16" s="1">
        <v>3837.21</v>
      </c>
      <c r="K16" s="1">
        <v>761.259</v>
      </c>
      <c r="L16" s="1">
        <f t="shared" si="1"/>
        <v>16230.11</v>
      </c>
      <c r="N16" s="1">
        <v>74.4465</v>
      </c>
      <c r="Q16" s="2" t="s">
        <v>60</v>
      </c>
      <c r="R16" s="2">
        <v>192</v>
      </c>
      <c r="S16" s="2">
        <v>48</v>
      </c>
      <c r="T16" s="2">
        <v>4</v>
      </c>
      <c r="U16" s="2">
        <v>5723.76</v>
      </c>
      <c r="V16" s="2">
        <v>300.546</v>
      </c>
    </row>
    <row r="17" spans="1:22">
      <c r="A17" s="1">
        <v>18</v>
      </c>
      <c r="B17" s="1" t="s">
        <v>61</v>
      </c>
      <c r="C17" s="1">
        <v>464.907</v>
      </c>
      <c r="D17" s="1">
        <v>55.058</v>
      </c>
      <c r="E17" s="1">
        <f t="shared" si="0"/>
        <v>519.965</v>
      </c>
      <c r="F17" s="1">
        <v>126.899</v>
      </c>
      <c r="I17" s="1">
        <v>663.954</v>
      </c>
      <c r="J17" s="1">
        <v>306.147</v>
      </c>
      <c r="K17" s="1">
        <v>117.257</v>
      </c>
      <c r="L17" s="1">
        <f t="shared" si="1"/>
        <v>970.101</v>
      </c>
      <c r="N17" s="1">
        <v>431.436</v>
      </c>
      <c r="Q17" s="2" t="s">
        <v>61</v>
      </c>
      <c r="R17" s="2">
        <v>96</v>
      </c>
      <c r="S17" s="2">
        <v>32</v>
      </c>
      <c r="T17" s="2">
        <v>3</v>
      </c>
      <c r="U17" s="2">
        <v>464.907</v>
      </c>
      <c r="V17" s="2">
        <v>55.058</v>
      </c>
    </row>
    <row r="18" spans="1:22">
      <c r="A18" s="1">
        <v>19</v>
      </c>
      <c r="B18" s="1" t="s">
        <v>62</v>
      </c>
      <c r="C18" s="1">
        <v>2915.03</v>
      </c>
      <c r="D18" s="1">
        <v>478.967</v>
      </c>
      <c r="E18" s="1">
        <f t="shared" si="0"/>
        <v>3393.997</v>
      </c>
      <c r="F18" s="1">
        <v>726.592</v>
      </c>
      <c r="I18" s="1">
        <v>1917.65</v>
      </c>
      <c r="J18" s="1">
        <v>1510.22</v>
      </c>
      <c r="K18" s="1">
        <v>738.317</v>
      </c>
      <c r="L18" s="1">
        <f t="shared" si="1"/>
        <v>3427.87</v>
      </c>
      <c r="N18" s="1">
        <v>2013.37</v>
      </c>
      <c r="Q18" s="2" t="s">
        <v>62</v>
      </c>
      <c r="R18" s="2">
        <v>192</v>
      </c>
      <c r="S18" s="2">
        <v>64</v>
      </c>
      <c r="T18" s="2">
        <v>3</v>
      </c>
      <c r="U18" s="2">
        <v>2915.03</v>
      </c>
      <c r="V18" s="2">
        <v>478.967</v>
      </c>
    </row>
    <row r="19" spans="1:22">
      <c r="A19" s="1">
        <v>20</v>
      </c>
      <c r="B19" s="1" t="s">
        <v>63</v>
      </c>
      <c r="C19" s="1">
        <v>6461.24</v>
      </c>
      <c r="D19" s="1">
        <v>315.793</v>
      </c>
      <c r="E19" s="1">
        <f t="shared" si="0"/>
        <v>6777.033</v>
      </c>
      <c r="F19" s="1">
        <v>726.66</v>
      </c>
      <c r="I19" s="1">
        <v>1708.52</v>
      </c>
      <c r="J19" s="1">
        <v>774.041</v>
      </c>
      <c r="K19" s="1">
        <v>754.313</v>
      </c>
      <c r="L19" s="1">
        <f t="shared" si="1"/>
        <v>2482.561</v>
      </c>
      <c r="N19" s="1">
        <v>3804.59</v>
      </c>
      <c r="Q19" s="2" t="s">
        <v>63</v>
      </c>
      <c r="R19" s="2">
        <v>224</v>
      </c>
      <c r="S19" s="2">
        <v>56</v>
      </c>
      <c r="T19" s="2">
        <v>4</v>
      </c>
      <c r="U19" s="2">
        <v>6461.24</v>
      </c>
      <c r="V19" s="2">
        <v>315.793</v>
      </c>
    </row>
    <row r="20" spans="1:22">
      <c r="A20" s="1">
        <v>24</v>
      </c>
      <c r="B20" s="1" t="s">
        <v>64</v>
      </c>
      <c r="C20" s="1">
        <v>13175.1</v>
      </c>
      <c r="D20" s="1">
        <v>723.841</v>
      </c>
      <c r="E20" s="1">
        <f t="shared" si="0"/>
        <v>13898.941</v>
      </c>
      <c r="F20" s="1">
        <v>31374.1</v>
      </c>
      <c r="I20" s="1">
        <v>21976.7</v>
      </c>
      <c r="J20" s="1">
        <v>4462.66</v>
      </c>
      <c r="K20" s="1">
        <v>33148.3</v>
      </c>
      <c r="L20" s="1">
        <f t="shared" si="1"/>
        <v>26439.36</v>
      </c>
      <c r="N20" s="1">
        <v>19929.1</v>
      </c>
      <c r="Q20" s="2" t="s">
        <v>64</v>
      </c>
      <c r="R20" s="2">
        <v>32</v>
      </c>
      <c r="S20" s="2">
        <v>8</v>
      </c>
      <c r="T20" s="2">
        <v>4</v>
      </c>
      <c r="U20" s="2">
        <v>13175.1</v>
      </c>
      <c r="V20" s="2">
        <v>723.841</v>
      </c>
    </row>
    <row r="21" spans="1:22">
      <c r="A21" s="1">
        <v>30</v>
      </c>
      <c r="B21" s="1" t="s">
        <v>65</v>
      </c>
      <c r="C21" s="1">
        <v>30186.3</v>
      </c>
      <c r="D21" s="1">
        <v>1416.98</v>
      </c>
      <c r="E21" s="1">
        <f t="shared" si="0"/>
        <v>31603.28</v>
      </c>
      <c r="F21" s="1">
        <v>22127.5</v>
      </c>
      <c r="I21" s="1">
        <v>61771.9</v>
      </c>
      <c r="J21" s="1">
        <v>12834.9</v>
      </c>
      <c r="K21" s="1">
        <v>21855.2</v>
      </c>
      <c r="L21" s="1">
        <f t="shared" si="1"/>
        <v>74606.8</v>
      </c>
      <c r="N21" s="1">
        <v>15478.3</v>
      </c>
      <c r="Q21" s="2" t="s">
        <v>65</v>
      </c>
      <c r="R21" s="2">
        <v>96</v>
      </c>
      <c r="S21" s="2">
        <v>16</v>
      </c>
      <c r="T21" s="2">
        <v>6</v>
      </c>
      <c r="U21" s="2">
        <v>30186.3</v>
      </c>
      <c r="V21" s="2">
        <v>1416.98</v>
      </c>
    </row>
    <row r="23" spans="1:22">
      <c r="A23" s="1" t="s">
        <v>73</v>
      </c>
      <c r="I23" s="4" t="s">
        <v>74</v>
      </c>
      <c r="J23" s="4"/>
      <c r="K23" s="4"/>
      <c r="L23" s="4"/>
      <c r="M23" s="4"/>
      <c r="N23" s="4"/>
    </row>
  </sheetData>
  <mergeCells count="2">
    <mergeCell ref="A23:F23"/>
    <mergeCell ref="I23:N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Xeon5120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036</cp:lastModifiedBy>
  <dcterms:created xsi:type="dcterms:W3CDTF">2026-03-28T07:10:00Z</dcterms:created>
  <dcterms:modified xsi:type="dcterms:W3CDTF">2026-07-05T19:18:15Z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8902E3688E8A05E3D5DBC4694B073763_43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