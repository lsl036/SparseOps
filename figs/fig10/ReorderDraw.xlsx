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<sst xmlns="http://schemas.openxmlformats.org/spreadsheetml/2006/main" count="63" uniqueCount="63">
  <si>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mtx_ID</t>
  </si>
  <si>
    <t>DATA_name</t>
  </si>
  <si>
    <t>mtx Rows</t>
  </si>
  <si>
    <t>mtx nnz</t>
  </si>
  <si>
    <t>Floating-pointOperations</t>
  </si>
  <si>
    <t>Dense part</t>
  </si>
  <si>
    <t>GP_Hash</t>
  </si>
  <si>
    <t>GP_HYB</t>
  </si>
  <si>
    <t>Cost_GP (ms)</t>
  </si>
  <si>
    <t>Ratio_GP</t>
  </si>
  <si>
    <t>Gain_GP</t>
  </si>
  <si>
    <t>HP_Hash</t>
  </si>
  <si>
    <t>HP_HYB</t>
  </si>
  <si>
    <t>Cost_HP (ms)</t>
  </si>
  <si>
    <t>Ratio_HP</t>
  </si>
  <si>
    <t>Gain_HP</t>
  </si>
  <si>
    <t>RCM_Hash</t>
  </si>
  <si>
    <t>RCM_HYB</t>
  </si>
  <si>
    <t>Cost_RCM (ms)</t>
  </si>
  <si>
    <t>Ratio_RCM</t>
  </si>
  <si>
    <t>Gain_RCM</t>
  </si>
  <si>
    <t>Gray_Hash</t>
  </si>
  <si>
    <t>Gray_HYB</t>
  </si>
  <si>
    <t>Cost_Gray (ms)</t>
  </si>
  <si>
    <t>Ratio_Gray</t>
  </si>
  <si>
    <t>Gain_Gray</t>
  </si>
  <si>
    <t>AAT_Hash</t>
  </si>
  <si>
    <t>AAT_HYB</t>
  </si>
  <si>
    <t>Cost_AAT (ms)</t>
  </si>
  <si>
    <t>Ratio_AAT</t>
  </si>
  <si>
    <t>origin</t>
  </si>
  <si>
    <t>Gain_AAT</t>
  </si>
  <si>
    <t>LSH_Hash</t>
  </si>
  <si>
    <t>LSH_HYB</t>
  </si>
  <si>
    <t>Cost_LSH (ms)</t>
  </si>
  <si>
    <t>Ratio_LSH</t>
  </si>
  <si>
    <t>Gain_LSH</t>
  </si>
  <si>
    <t>CLSH_Hash</t>
  </si>
  <si>
    <t>CLSH_HYB</t>
  </si>
  <si>
    <t>Cost_CLSH (ms)</t>
  </si>
  <si>
    <t>Ratio_CLSH</t>
  </si>
  <si>
    <t>Gain_CLSH</t>
  </si>
  <si>
    <t>numerical SpGEMM time</t>
  </si>
  <si>
    <t>cant</t>
  </si>
  <si>
    <t>pwtk</t>
  </si>
  <si>
    <t>offshore</t>
  </si>
  <si>
    <t>cage12</t>
  </si>
  <si>
    <t>scircuit</t>
  </si>
  <si>
    <t>wiki-Vote</t>
  </si>
  <si>
    <t>poisson3Da</t>
  </si>
  <si>
    <t>pdb1HYS</t>
  </si>
  <si>
    <t>rma10</t>
  </si>
  <si>
    <t>shipsec1</t>
  </si>
  <si>
    <t>consph</t>
  </si>
  <si>
    <t>filter3D</t>
  </si>
  <si>
    <t>mac_econ_fwd500</t>
  </si>
  <si>
    <t>af_shell10</t>
  </si>
  <si>
    <t>hood</t>
  </si>
  <si>
    <t>case39</t>
  </si>
  <si>
    <t>gupta3</t>
  </si>
  <si>
    <t>TSOPF_FS_b300_c2</t>
  </si>
  <si>
    <t>com-LiveJournal</t>
  </si>
  <si>
    <t>wikipedia-20070206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</si>
</sst>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0" fontId="1" fillId="0" borderId="0" xfId="0" applyNumberFormat="1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51"/>
  <sheetViews>
    <sheetView tabSelected="1" zoomScale="91" zoomScaleNormal="91" topLeftCell="AM1" workbookViewId="0">
      <selection activeCell="AE15" sqref="AE15"/>
    </sheetView>
  </sheetViews>
  <sheetFormatPr defaultColWidth="9.23076923076923" defaultRowHeight="16.8"/>
  <cols>
    <col min="1" max="1" width="9.23076923076923" style="2"/>
    <col min="2" max="2" width="22.5576923076923" style="2" customWidth="1"/>
    <col min="3" max="3" width="9.23076923076923" style="2"/>
    <col min="4" max="4" width="9.69230769230769" style="2"/>
    <col min="5" max="5" width="27" style="3" customWidth="1"/>
    <col min="6" max="6" width="12.1538461538462" style="3" customWidth="1"/>
    <col min="7" max="7" width="9.23076923076923" style="2"/>
    <col min="8" max="8" width="10.8942307692308" style="2" customWidth="1"/>
    <col min="9" max="9" width="11.7019230769231" style="2" customWidth="1"/>
    <col min="10" max="10" width="14.0961538461538" style="2" customWidth="1"/>
    <col min="11" max="13" width="12.9230769230769" style="2"/>
    <col min="14" max="14" width="9.23076923076923" style="2"/>
    <col min="15" max="15" width="12.4903846153846" style="2" customWidth="1"/>
    <col min="16" max="16" width="13.1346153846154" style="2" customWidth="1"/>
    <col min="17" max="19" width="12.9230769230769" style="2"/>
    <col min="20" max="20" width="12.3365384615385" style="2" customWidth="1"/>
    <col min="21" max="21" width="13.7788461538462" style="2" customWidth="1"/>
    <col min="22" max="22" width="14.9038461538462" style="2" customWidth="1"/>
    <col min="23" max="23" width="12.9230769230769" style="2"/>
    <col min="24" max="25" width="14.0769230769231" style="2"/>
    <col min="26" max="26" width="11.8557692307692" style="2" customWidth="1"/>
    <col min="27" max="27" width="13.1346153846154" style="2" customWidth="1"/>
    <col min="28" max="28" width="14.0961538461538" style="2" customWidth="1"/>
    <col min="29" max="29" width="12.9230769230769" style="2"/>
    <col min="30" max="30" width="14.0769230769231" style="2"/>
    <col min="31" max="31" width="9.23076923076923" style="2"/>
    <col min="32" max="32" width="12.8173076923077" style="2" customWidth="1"/>
    <col min="33" max="33" width="11.5288461538462" style="2" customWidth="1"/>
    <col min="34" max="34" width="15.0576923076923" style="2" customWidth="1"/>
    <col min="35" max="35" width="12.9230769230769" style="3"/>
    <col min="36" max="38" width="12.9230769230769" style="2"/>
    <col min="39" max="39" width="12.1730769230769" style="2" customWidth="1"/>
    <col min="40" max="40" width="11.0480769230769" style="2" customWidth="1"/>
    <col min="41" max="41" width="14.25" style="2" customWidth="1"/>
    <col min="42" max="43" width="12.9230769230769" style="2"/>
    <col min="44" max="44" width="10.7692307692308" style="2"/>
    <col min="45" max="45" width="11.3653846153846" style="2" customWidth="1"/>
    <col min="46" max="46" width="13.2980769230769" style="2" customWidth="1"/>
    <col min="47" max="47" width="18.5865384615385" style="2" customWidth="1"/>
    <col min="48" max="49" width="12.9230769230769" style="2"/>
    <col min="50" max="16384" width="9.23076923076923" style="2"/>
  </cols>
  <sheetData>
    <row r="1" spans="1:5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F1" s="2" t="s">
        <v>26</v>
      </c>
      <c r="AG1" s="2" t="s">
        <v>27</v>
      </c>
      <c r="AH1" s="2" t="s">
        <v>28</v>
      </c>
      <c r="AI1" s="3" t="s">
        <v>29</v>
      </c>
      <c r="AJ1" s="2" t="s">
        <v>30</v>
      </c>
      <c r="AK1" s="2" t="s">
        <v>31</v>
      </c>
      <c r="AM1" s="2" t="s">
        <v>32</v>
      </c>
      <c r="AN1" s="2" t="s">
        <v>33</v>
      </c>
      <c r="AO1" s="2" t="s">
        <v>34</v>
      </c>
      <c r="AP1" s="2" t="s">
        <v>35</v>
      </c>
      <c r="AQ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Y1" s="2" t="s">
        <v>42</v>
      </c>
    </row>
    <row r="2" spans="1:51">
      <c r="A2" s="3">
        <v>1</v>
      </c>
      <c r="B2" s="3" t="s">
        <v>43</v>
      </c>
      <c r="C2" s="3">
        <v>62451</v>
      </c>
      <c r="D2" s="3">
        <v>4007383</v>
      </c>
      <c r="E2" s="4">
        <v>538972946</v>
      </c>
      <c r="F2" s="5">
        <v>0.997636</v>
      </c>
      <c r="H2" s="2">
        <v>64.7882</v>
      </c>
      <c r="I2" s="2">
        <v>81.1241</v>
      </c>
      <c r="J2" s="2">
        <v>162</v>
      </c>
      <c r="K2" s="2">
        <f>J2/AY2</f>
        <v>30.0428945772575</v>
      </c>
      <c r="L2" s="2">
        <f>(I2-H2)/H2</f>
        <v>0.252143137176214</v>
      </c>
      <c r="N2" s="2">
        <v>62.8663</v>
      </c>
      <c r="O2" s="2">
        <v>81.9896</v>
      </c>
      <c r="P2" s="2">
        <v>18110</v>
      </c>
      <c r="Q2" s="2">
        <f>P2/AY2</f>
        <v>3358.49889379095</v>
      </c>
      <c r="R2" s="2">
        <f>(O2-N2)/N2</f>
        <v>0.304190003229075</v>
      </c>
      <c r="T2" s="2">
        <v>48.6676</v>
      </c>
      <c r="U2" s="2">
        <v>60.8955</v>
      </c>
      <c r="V2" s="2">
        <v>37.447</v>
      </c>
      <c r="W2" s="2">
        <f>V2/AY2</f>
        <v>6.94454489650965</v>
      </c>
      <c r="X2" s="2">
        <f>(U2-T2)/T2</f>
        <v>0.251253400619714</v>
      </c>
      <c r="Z2" s="2">
        <v>66.9305</v>
      </c>
      <c r="AA2" s="2">
        <v>75.9602</v>
      </c>
      <c r="AB2" s="2">
        <v>6.9421</v>
      </c>
      <c r="AC2" s="2">
        <f>AB2/AY2</f>
        <v>1.2874122126221</v>
      </c>
      <c r="AD2" s="2">
        <f>(AA2-Z2)/Z2</f>
        <v>0.134911587392893</v>
      </c>
      <c r="AF2">
        <v>79.5354</v>
      </c>
      <c r="AG2">
        <v>89.6021</v>
      </c>
      <c r="AH2" s="2">
        <v>157.464</v>
      </c>
      <c r="AI2">
        <f>AJ2/AY2</f>
        <v>24.3347446075786</v>
      </c>
      <c r="AJ2" s="2">
        <v>131.22</v>
      </c>
      <c r="AK2" s="2">
        <f>(AG2-AF2)/AF2</f>
        <v>0.126568798296105</v>
      </c>
      <c r="AM2" s="6">
        <v>84.5675925112344</v>
      </c>
      <c r="AN2" s="6">
        <v>101.904315930581</v>
      </c>
      <c r="AO2" s="2">
        <v>216.394</v>
      </c>
      <c r="AP2" s="2">
        <f>AO2/AY2</f>
        <v>40.1302600564881</v>
      </c>
      <c r="AQ2" s="2">
        <f>(AN2-AM2)/AM2</f>
        <v>0.205004339186356</v>
      </c>
      <c r="AS2" s="6">
        <v>73.2455447078457</v>
      </c>
      <c r="AT2" s="6">
        <v>99.9525147942711</v>
      </c>
      <c r="AU2" s="2">
        <v>135.93</v>
      </c>
      <c r="AV2" s="2">
        <f>AU2/AY2</f>
        <v>25.2082139499174</v>
      </c>
      <c r="AW2" s="2">
        <f>(AT2-AS2)/AS2</f>
        <v>0.364622451685647</v>
      </c>
      <c r="AY2">
        <v>5.39229</v>
      </c>
    </row>
    <row r="3" spans="1:51">
      <c r="A3" s="3">
        <v>2</v>
      </c>
      <c r="B3" s="3" t="s">
        <v>44</v>
      </c>
      <c r="C3" s="3">
        <v>217918</v>
      </c>
      <c r="D3" s="3">
        <v>11634424</v>
      </c>
      <c r="E3" s="4">
        <v>1252108804</v>
      </c>
      <c r="F3" s="5">
        <v>0.0299042</v>
      </c>
      <c r="H3" s="2">
        <v>87.8184</v>
      </c>
      <c r="I3" s="2">
        <v>105.679</v>
      </c>
      <c r="J3" s="2">
        <v>208</v>
      </c>
      <c r="K3" s="2">
        <f t="shared" ref="K3:K21" si="0">J3/AY3</f>
        <v>19.5553048465191</v>
      </c>
      <c r="L3" s="2">
        <f t="shared" ref="L3:L21" si="1">(I3-H3)/H3</f>
        <v>0.203381068204385</v>
      </c>
      <c r="N3" s="2">
        <v>103.478</v>
      </c>
      <c r="O3" s="2">
        <v>110.513</v>
      </c>
      <c r="P3" s="2">
        <v>30710</v>
      </c>
      <c r="Q3" s="2">
        <f t="shared" ref="Q3:Q21" si="2">P3/AY3</f>
        <v>2887.22794152212</v>
      </c>
      <c r="R3" s="2">
        <f t="shared" ref="R3:R21" si="3">(O3-N3)/N3</f>
        <v>0.067985465509577</v>
      </c>
      <c r="T3" s="2">
        <v>35.8598</v>
      </c>
      <c r="U3" s="2">
        <v>39.7474</v>
      </c>
      <c r="V3" s="2">
        <v>109.197</v>
      </c>
      <c r="W3" s="2">
        <f t="shared" ref="W3:W21" si="4">V3/AY3</f>
        <v>10.2662529967565</v>
      </c>
      <c r="X3" s="2">
        <f t="shared" ref="X3:X21" si="5">(U3-T3)/T3</f>
        <v>0.108411089855493</v>
      </c>
      <c r="Z3" s="2">
        <v>96.319</v>
      </c>
      <c r="AA3" s="2">
        <v>101.393</v>
      </c>
      <c r="AB3" s="2">
        <v>17.1789</v>
      </c>
      <c r="AC3" s="2">
        <f t="shared" ref="AC3:AC21" si="6">AB3/AY3</f>
        <v>1.61508955013397</v>
      </c>
      <c r="AD3" s="2">
        <f t="shared" ref="AD3:AD21" si="7">(AA3-Z3)/Z3</f>
        <v>0.0526791183463283</v>
      </c>
      <c r="AF3">
        <v>115.381</v>
      </c>
      <c r="AG3">
        <v>126.167</v>
      </c>
      <c r="AH3" s="2">
        <v>454.0356</v>
      </c>
      <c r="AI3">
        <f t="shared" ref="AI3:AI21" si="8">AJ3/AY3</f>
        <v>35.5721336905937</v>
      </c>
      <c r="AJ3" s="2">
        <v>378.363</v>
      </c>
      <c r="AK3" s="2">
        <f t="shared" ref="AK3:AK21" si="9">(AG3-AF3)/AF3</f>
        <v>0.093481595756667</v>
      </c>
      <c r="AM3" s="6">
        <v>101.00258163397</v>
      </c>
      <c r="AN3" s="6">
        <v>113.255634777302</v>
      </c>
      <c r="AO3" s="2">
        <v>598.302</v>
      </c>
      <c r="AP3" s="2">
        <f t="shared" ref="AP3:AP21" si="10">AO3/AY3</f>
        <v>56.2498942321252</v>
      </c>
      <c r="AQ3" s="2">
        <f t="shared" ref="AQ3:AQ21" si="11">(AN3-AM3)/AM3</f>
        <v>0.121314256973516</v>
      </c>
      <c r="AS3" s="6">
        <v>103.308234344071</v>
      </c>
      <c r="AT3" s="6">
        <v>117.718121938608</v>
      </c>
      <c r="AU3" s="2">
        <v>422.4</v>
      </c>
      <c r="AV3" s="2">
        <f t="shared" ref="AV3:AV21" si="12">AU3/AY3</f>
        <v>39.7123113806233</v>
      </c>
      <c r="AW3" s="2">
        <f t="shared" ref="AW3:AW21" si="13">(AT3-AS3)/AS3</f>
        <v>0.139484404955993</v>
      </c>
      <c r="AY3">
        <v>10.6365</v>
      </c>
    </row>
    <row r="4" spans="1:51">
      <c r="A4" s="3">
        <v>3</v>
      </c>
      <c r="B4" s="3" t="s">
        <v>45</v>
      </c>
      <c r="C4" s="3">
        <v>259789</v>
      </c>
      <c r="D4" s="3">
        <v>4242673</v>
      </c>
      <c r="E4" s="4">
        <v>142685030</v>
      </c>
      <c r="F4" s="5">
        <v>0.00198508</v>
      </c>
      <c r="H4" s="2">
        <v>6.41527</v>
      </c>
      <c r="I4" s="2">
        <v>6.64553</v>
      </c>
      <c r="J4" s="2">
        <v>240</v>
      </c>
      <c r="K4" s="2">
        <f t="shared" si="0"/>
        <v>14.9915672434256</v>
      </c>
      <c r="L4" s="2">
        <f t="shared" si="1"/>
        <v>0.0358924877674674</v>
      </c>
      <c r="N4" s="2">
        <v>5.63095</v>
      </c>
      <c r="O4" s="2">
        <v>5.91377</v>
      </c>
      <c r="P4" s="2">
        <v>57770</v>
      </c>
      <c r="Q4" s="2">
        <f t="shared" si="2"/>
        <v>3608.59516521956</v>
      </c>
      <c r="R4" s="2">
        <f t="shared" si="3"/>
        <v>0.0502259831822339</v>
      </c>
      <c r="T4" s="2">
        <v>2.27427</v>
      </c>
      <c r="U4" s="2">
        <v>2.26733</v>
      </c>
      <c r="V4" s="2">
        <v>114.981</v>
      </c>
      <c r="W4" s="2">
        <f t="shared" si="4"/>
        <v>7.18227247173465</v>
      </c>
      <c r="X4" s="2">
        <f t="shared" si="5"/>
        <v>-0.00305152862237121</v>
      </c>
      <c r="Z4" s="2">
        <v>2.42167</v>
      </c>
      <c r="AA4" s="2">
        <v>2.43136</v>
      </c>
      <c r="AB4" s="2">
        <v>95.8068</v>
      </c>
      <c r="AC4" s="2">
        <f t="shared" si="6"/>
        <v>5.98455868573927</v>
      </c>
      <c r="AD4" s="2">
        <f t="shared" si="7"/>
        <v>0.00400137095475435</v>
      </c>
      <c r="AF4">
        <v>10.8105</v>
      </c>
      <c r="AG4">
        <v>10.9084</v>
      </c>
      <c r="AH4" s="2">
        <v>781.482</v>
      </c>
      <c r="AI4">
        <f t="shared" si="8"/>
        <v>40.6793053907177</v>
      </c>
      <c r="AJ4" s="2">
        <v>651.235</v>
      </c>
      <c r="AK4" s="2">
        <f t="shared" si="9"/>
        <v>0.00905601036029795</v>
      </c>
      <c r="AM4" s="6">
        <v>6.95943060324645</v>
      </c>
      <c r="AN4" s="6">
        <v>7.83045747401464</v>
      </c>
      <c r="AO4" s="2">
        <v>1283.186</v>
      </c>
      <c r="AP4" s="2">
        <f t="shared" si="10"/>
        <v>80.1540383534262</v>
      </c>
      <c r="AQ4" s="2">
        <f t="shared" si="11"/>
        <v>0.125157778046076</v>
      </c>
      <c r="AS4" s="6">
        <v>7.3910536593957</v>
      </c>
      <c r="AT4" s="6">
        <v>10.9128009244799</v>
      </c>
      <c r="AU4" s="2">
        <v>947.455</v>
      </c>
      <c r="AV4" s="2">
        <f t="shared" si="12"/>
        <v>59.1826472609157</v>
      </c>
      <c r="AW4" s="2">
        <f t="shared" si="13"/>
        <v>0.476487849686663</v>
      </c>
      <c r="AY4">
        <v>16.009</v>
      </c>
    </row>
    <row r="5" spans="1:51">
      <c r="A5" s="3">
        <v>4</v>
      </c>
      <c r="B5" s="3" t="s">
        <v>46</v>
      </c>
      <c r="C5" s="3">
        <v>130228</v>
      </c>
      <c r="D5" s="3">
        <v>2032536</v>
      </c>
      <c r="E5" s="4">
        <v>69221652</v>
      </c>
      <c r="F5" s="5">
        <v>0</v>
      </c>
      <c r="H5" s="2">
        <v>4.37321</v>
      </c>
      <c r="I5" s="2">
        <v>4.40958</v>
      </c>
      <c r="J5" s="2">
        <v>312</v>
      </c>
      <c r="K5" s="2">
        <f t="shared" si="0"/>
        <v>21.7391304347826</v>
      </c>
      <c r="L5" s="2">
        <f t="shared" si="1"/>
        <v>0.00831654551233529</v>
      </c>
      <c r="N5" s="2">
        <v>4.14694</v>
      </c>
      <c r="O5" s="2">
        <v>4.15115</v>
      </c>
      <c r="P5" s="2">
        <v>34750</v>
      </c>
      <c r="Q5" s="2">
        <f t="shared" si="2"/>
        <v>2421.26532887402</v>
      </c>
      <c r="R5" s="2">
        <f t="shared" si="3"/>
        <v>0.00101520639314784</v>
      </c>
      <c r="T5" s="2">
        <v>2.03249</v>
      </c>
      <c r="U5" s="2">
        <v>2.14713</v>
      </c>
      <c r="V5" s="2">
        <v>62.33</v>
      </c>
      <c r="W5" s="2">
        <f t="shared" si="4"/>
        <v>4.34294871794872</v>
      </c>
      <c r="X5" s="2">
        <f t="shared" si="5"/>
        <v>0.0564037215435255</v>
      </c>
      <c r="Z5" s="2">
        <v>2.93338</v>
      </c>
      <c r="AA5" s="2">
        <v>2.91321</v>
      </c>
      <c r="AB5" s="2">
        <v>34.3648</v>
      </c>
      <c r="AC5" s="2">
        <f t="shared" si="6"/>
        <v>2.39442586399108</v>
      </c>
      <c r="AD5" s="2">
        <f t="shared" si="7"/>
        <v>-0.00687602697229825</v>
      </c>
      <c r="AF5">
        <v>5.6194</v>
      </c>
      <c r="AG5">
        <v>5.74071</v>
      </c>
      <c r="AH5" s="2">
        <v>54.6768</v>
      </c>
      <c r="AI5">
        <f t="shared" si="8"/>
        <v>3.1747491638796</v>
      </c>
      <c r="AJ5" s="2">
        <v>45.564</v>
      </c>
      <c r="AK5" s="2">
        <f t="shared" si="9"/>
        <v>0.0215877139908176</v>
      </c>
      <c r="AM5" s="6">
        <v>4.89548384359154</v>
      </c>
      <c r="AN5" s="6">
        <v>4.93474571196373</v>
      </c>
      <c r="AO5" s="2">
        <v>196.204</v>
      </c>
      <c r="AP5" s="2">
        <f t="shared" si="10"/>
        <v>13.6708472686734</v>
      </c>
      <c r="AQ5" s="2">
        <f t="shared" si="11"/>
        <v>0.00802001796484037</v>
      </c>
      <c r="AS5" s="6">
        <v>4.81110182861988</v>
      </c>
      <c r="AT5" s="6">
        <v>5.82313628762542</v>
      </c>
      <c r="AU5" s="2">
        <v>91.467</v>
      </c>
      <c r="AV5" s="2">
        <f t="shared" si="12"/>
        <v>6.37311872909699</v>
      </c>
      <c r="AW5" s="2">
        <f t="shared" si="13"/>
        <v>0.210353988557306</v>
      </c>
      <c r="AY5">
        <v>14.352</v>
      </c>
    </row>
    <row r="6" spans="1:51">
      <c r="A6" s="3">
        <v>5</v>
      </c>
      <c r="B6" s="3" t="s">
        <v>47</v>
      </c>
      <c r="C6" s="3">
        <v>170998</v>
      </c>
      <c r="D6" s="3">
        <v>958936</v>
      </c>
      <c r="E6" s="4">
        <v>17352626</v>
      </c>
      <c r="F6" s="5">
        <v>0.0144826</v>
      </c>
      <c r="H6" s="2">
        <v>5.17777</v>
      </c>
      <c r="I6" s="2">
        <v>5.27315</v>
      </c>
      <c r="J6" s="2">
        <v>72</v>
      </c>
      <c r="K6" s="2">
        <f t="shared" si="0"/>
        <v>19.3147035863649</v>
      </c>
      <c r="L6" s="2">
        <f t="shared" si="1"/>
        <v>0.0184210577140353</v>
      </c>
      <c r="N6" s="2">
        <v>5.11522</v>
      </c>
      <c r="O6" s="2">
        <v>5.33361</v>
      </c>
      <c r="P6" s="2">
        <v>10120</v>
      </c>
      <c r="Q6" s="2">
        <f t="shared" si="2"/>
        <v>2714.7888929724</v>
      </c>
      <c r="R6" s="2">
        <f t="shared" si="3"/>
        <v>0.0426941558720838</v>
      </c>
      <c r="T6" s="2">
        <v>3.06323</v>
      </c>
      <c r="U6" s="2">
        <v>3.21999</v>
      </c>
      <c r="V6" s="2">
        <v>42.922</v>
      </c>
      <c r="W6" s="2">
        <f t="shared" si="4"/>
        <v>11.5142459351938</v>
      </c>
      <c r="X6" s="2">
        <f t="shared" si="5"/>
        <v>0.0511747403884136</v>
      </c>
      <c r="Z6" s="2">
        <v>3.2976</v>
      </c>
      <c r="AA6" s="2">
        <v>3.38806</v>
      </c>
      <c r="AB6" s="2">
        <v>10.692</v>
      </c>
      <c r="AC6" s="2">
        <f t="shared" si="6"/>
        <v>2.86823348257519</v>
      </c>
      <c r="AD6" s="2">
        <f t="shared" si="7"/>
        <v>0.027432071809801</v>
      </c>
      <c r="AF6">
        <v>5.32903</v>
      </c>
      <c r="AG6">
        <v>6.01582</v>
      </c>
      <c r="AH6" s="2">
        <v>385.5588</v>
      </c>
      <c r="AI6">
        <f t="shared" si="8"/>
        <v>86.1915964943813</v>
      </c>
      <c r="AJ6" s="2">
        <v>321.299</v>
      </c>
      <c r="AK6" s="2">
        <f t="shared" si="9"/>
        <v>0.128877112720326</v>
      </c>
      <c r="AM6" s="6">
        <v>3.88925830628821</v>
      </c>
      <c r="AN6" s="6">
        <v>5.59612340608078</v>
      </c>
      <c r="AO6" s="2">
        <v>679.099</v>
      </c>
      <c r="AP6" s="2">
        <f t="shared" si="10"/>
        <v>182.174942927733</v>
      </c>
      <c r="AQ6" s="2">
        <f t="shared" si="11"/>
        <v>0.43886647925464</v>
      </c>
      <c r="AS6" s="6">
        <v>4.63840014113571</v>
      </c>
      <c r="AT6" s="6">
        <v>6.65501149493123</v>
      </c>
      <c r="AU6" s="2">
        <v>554.261</v>
      </c>
      <c r="AV6" s="2">
        <f t="shared" si="12"/>
        <v>148.685929506697</v>
      </c>
      <c r="AW6" s="2">
        <f t="shared" si="13"/>
        <v>0.434764421445916</v>
      </c>
      <c r="AY6">
        <v>3.72773</v>
      </c>
    </row>
    <row r="7" spans="1:51">
      <c r="A7" s="3">
        <v>6</v>
      </c>
      <c r="B7" s="3" t="s">
        <v>48</v>
      </c>
      <c r="C7" s="3">
        <v>8297</v>
      </c>
      <c r="D7" s="3">
        <v>103689</v>
      </c>
      <c r="E7" s="4">
        <v>9085610</v>
      </c>
      <c r="F7" s="5">
        <v>0.123068</v>
      </c>
      <c r="H7" s="2">
        <v>1.64179</v>
      </c>
      <c r="I7" s="2">
        <v>2.9315</v>
      </c>
      <c r="J7" s="2">
        <v>142</v>
      </c>
      <c r="K7" s="2">
        <f t="shared" si="0"/>
        <v>26.7515179602533</v>
      </c>
      <c r="L7" s="2">
        <f t="shared" si="1"/>
        <v>0.785551136259814</v>
      </c>
      <c r="N7" s="2">
        <v>1.6503</v>
      </c>
      <c r="O7" s="2">
        <v>3.1427</v>
      </c>
      <c r="P7" s="2">
        <v>830</v>
      </c>
      <c r="Q7" s="2">
        <f t="shared" si="2"/>
        <v>156.364506387396</v>
      </c>
      <c r="R7" s="2">
        <f t="shared" si="3"/>
        <v>0.904320426589105</v>
      </c>
      <c r="T7" s="2">
        <v>1.50071</v>
      </c>
      <c r="U7" s="2">
        <v>3.04724</v>
      </c>
      <c r="V7" s="2">
        <v>2.742</v>
      </c>
      <c r="W7" s="2">
        <f t="shared" si="4"/>
        <v>0.51656804399306</v>
      </c>
      <c r="X7" s="2">
        <f t="shared" si="5"/>
        <v>1.03053221475168</v>
      </c>
      <c r="Z7" s="2">
        <v>1.45075</v>
      </c>
      <c r="AA7" s="2">
        <v>3.11562</v>
      </c>
      <c r="AB7" s="2">
        <v>2.15506</v>
      </c>
      <c r="AC7" s="2">
        <f t="shared" si="6"/>
        <v>0.405993847150869</v>
      </c>
      <c r="AD7" s="2">
        <f t="shared" si="7"/>
        <v>1.14759262450457</v>
      </c>
      <c r="AF7">
        <v>1.58675</v>
      </c>
      <c r="AG7">
        <v>3.42698</v>
      </c>
      <c r="AH7" s="2">
        <v>58.0692</v>
      </c>
      <c r="AI7">
        <f t="shared" si="8"/>
        <v>9.11642750432828</v>
      </c>
      <c r="AJ7" s="2">
        <v>48.391</v>
      </c>
      <c r="AK7" s="2">
        <f t="shared" si="9"/>
        <v>1.15974791239956</v>
      </c>
      <c r="AM7" s="6">
        <v>1.59463249567363</v>
      </c>
      <c r="AN7" s="6">
        <v>6.17287649640591</v>
      </c>
      <c r="AO7" s="2">
        <v>1600.561</v>
      </c>
      <c r="AP7" s="2">
        <f t="shared" si="10"/>
        <v>301.531241816767</v>
      </c>
      <c r="AQ7" s="2">
        <f t="shared" si="11"/>
        <v>2.87103392985747</v>
      </c>
      <c r="AS7" s="6">
        <v>1.7116468950342</v>
      </c>
      <c r="AT7" s="6">
        <v>7.32438396213281</v>
      </c>
      <c r="AU7" s="2">
        <v>223.186</v>
      </c>
      <c r="AV7" s="2">
        <f t="shared" si="12"/>
        <v>42.0462273765992</v>
      </c>
      <c r="AW7" s="2">
        <f t="shared" si="13"/>
        <v>3.27914424603707</v>
      </c>
      <c r="AY7">
        <v>5.30811</v>
      </c>
    </row>
    <row r="8" spans="1:51">
      <c r="A8" s="3">
        <v>8</v>
      </c>
      <c r="B8" s="3" t="s">
        <v>49</v>
      </c>
      <c r="C8" s="3">
        <v>13514</v>
      </c>
      <c r="D8" s="3">
        <v>352762</v>
      </c>
      <c r="E8" s="4">
        <v>23537356</v>
      </c>
      <c r="F8" s="5">
        <v>0</v>
      </c>
      <c r="H8" s="2">
        <v>6.66543</v>
      </c>
      <c r="I8" s="2">
        <v>6.81479</v>
      </c>
      <c r="J8" s="2">
        <v>74</v>
      </c>
      <c r="K8" s="2">
        <f t="shared" si="0"/>
        <v>37.0407448193012</v>
      </c>
      <c r="L8" s="2">
        <f t="shared" si="1"/>
        <v>0.0224081567130704</v>
      </c>
      <c r="N8" s="2">
        <v>6.48135</v>
      </c>
      <c r="O8" s="2">
        <v>6.554</v>
      </c>
      <c r="P8" s="2">
        <v>3780</v>
      </c>
      <c r="Q8" s="2">
        <f t="shared" si="2"/>
        <v>1892.08128941836</v>
      </c>
      <c r="R8" s="2">
        <f t="shared" si="3"/>
        <v>0.0112090845271433</v>
      </c>
      <c r="T8" s="2">
        <v>3.84184</v>
      </c>
      <c r="U8" s="2">
        <v>4.5368</v>
      </c>
      <c r="V8" s="2">
        <v>8.933</v>
      </c>
      <c r="W8" s="2">
        <f t="shared" si="4"/>
        <v>4.47141856041646</v>
      </c>
      <c r="X8" s="2">
        <f t="shared" si="5"/>
        <v>0.18089248901568</v>
      </c>
      <c r="Z8" s="2">
        <v>4.65523</v>
      </c>
      <c r="AA8" s="2">
        <v>4.6784</v>
      </c>
      <c r="AB8" s="2">
        <v>7.74237</v>
      </c>
      <c r="AC8" s="2">
        <f t="shared" si="6"/>
        <v>3.87544799279207</v>
      </c>
      <c r="AD8" s="2">
        <f t="shared" si="7"/>
        <v>0.00497719768948032</v>
      </c>
      <c r="AF8">
        <v>9.69816</v>
      </c>
      <c r="AG8">
        <v>10.6548</v>
      </c>
      <c r="AH8" s="2">
        <v>47.9112</v>
      </c>
      <c r="AI8">
        <f t="shared" si="8"/>
        <v>19.98498348183</v>
      </c>
      <c r="AJ8" s="2">
        <v>39.926</v>
      </c>
      <c r="AK8" s="2">
        <f t="shared" si="9"/>
        <v>0.0986413917691604</v>
      </c>
      <c r="AM8" s="6">
        <v>9.94711294241944</v>
      </c>
      <c r="AN8" s="6">
        <v>11.2371066690219</v>
      </c>
      <c r="AO8" s="2">
        <v>94.852</v>
      </c>
      <c r="AP8" s="2">
        <f t="shared" si="10"/>
        <v>47.4782260486535</v>
      </c>
      <c r="AQ8" s="2">
        <f t="shared" si="11"/>
        <v>0.129685239734364</v>
      </c>
      <c r="AS8" s="6">
        <v>11.7816378015817</v>
      </c>
      <c r="AT8" s="6">
        <v>12.2722066383724</v>
      </c>
      <c r="AU8" s="2">
        <v>69.151</v>
      </c>
      <c r="AV8" s="2">
        <f t="shared" si="12"/>
        <v>34.6135749324257</v>
      </c>
      <c r="AW8" s="2">
        <f t="shared" si="13"/>
        <v>0.0416384245596855</v>
      </c>
      <c r="AY8">
        <v>1.9978</v>
      </c>
    </row>
    <row r="9" spans="1:51">
      <c r="A9" s="3">
        <v>9</v>
      </c>
      <c r="B9" s="3" t="s">
        <v>50</v>
      </c>
      <c r="C9" s="3">
        <v>36417</v>
      </c>
      <c r="D9" s="3">
        <v>4344765</v>
      </c>
      <c r="E9" s="4">
        <v>1110645318</v>
      </c>
      <c r="F9" s="5">
        <v>0.287481</v>
      </c>
      <c r="H9" s="2">
        <v>90.5349</v>
      </c>
      <c r="I9" s="2">
        <v>90.7607</v>
      </c>
      <c r="J9" s="2">
        <v>180</v>
      </c>
      <c r="K9" s="2">
        <f t="shared" si="0"/>
        <v>18.8568752691033</v>
      </c>
      <c r="L9" s="2">
        <f t="shared" si="1"/>
        <v>0.00249406582433964</v>
      </c>
      <c r="N9" s="2">
        <v>89.0254</v>
      </c>
      <c r="O9" s="2">
        <v>89.0622</v>
      </c>
      <c r="P9" s="2">
        <v>26580</v>
      </c>
      <c r="Q9" s="2">
        <f t="shared" si="2"/>
        <v>2784.53191473759</v>
      </c>
      <c r="R9" s="2">
        <f t="shared" si="3"/>
        <v>0.000413365174433358</v>
      </c>
      <c r="T9" s="2">
        <v>30.2329</v>
      </c>
      <c r="U9" s="2">
        <v>37.0499</v>
      </c>
      <c r="V9" s="2">
        <v>41.927</v>
      </c>
      <c r="W9" s="2">
        <f t="shared" si="4"/>
        <v>4.39229005226497</v>
      </c>
      <c r="X9" s="2">
        <f t="shared" si="5"/>
        <v>0.225482834924867</v>
      </c>
      <c r="Z9" s="2">
        <v>90.5192</v>
      </c>
      <c r="AA9" s="2">
        <v>91.8999</v>
      </c>
      <c r="AB9" s="2">
        <v>6.93372</v>
      </c>
      <c r="AC9" s="2">
        <f t="shared" si="6"/>
        <v>0.726379406616039</v>
      </c>
      <c r="AD9" s="2">
        <f t="shared" si="7"/>
        <v>0.015253117570637</v>
      </c>
      <c r="AF9">
        <v>106.59</v>
      </c>
      <c r="AG9">
        <v>107.734</v>
      </c>
      <c r="AH9" s="2">
        <v>68.0952</v>
      </c>
      <c r="AI9">
        <f t="shared" si="8"/>
        <v>5.94473468900298</v>
      </c>
      <c r="AJ9" s="2">
        <v>56.746</v>
      </c>
      <c r="AK9" s="2">
        <f t="shared" si="9"/>
        <v>0.0107327141382868</v>
      </c>
      <c r="AM9" s="6">
        <v>118.266110038579</v>
      </c>
      <c r="AN9" s="6">
        <v>119.593072585274</v>
      </c>
      <c r="AO9" s="2">
        <v>308.842</v>
      </c>
      <c r="AP9" s="2">
        <f t="shared" si="10"/>
        <v>32.3544170658912</v>
      </c>
      <c r="AQ9" s="2">
        <f t="shared" si="11"/>
        <v>0.0112201419854102</v>
      </c>
      <c r="AS9" s="6">
        <v>116.351667942998</v>
      </c>
      <c r="AT9" s="6">
        <v>121.35861837457</v>
      </c>
      <c r="AU9" s="2">
        <v>177.466</v>
      </c>
      <c r="AV9" s="2">
        <f t="shared" si="12"/>
        <v>18.5914123694816</v>
      </c>
      <c r="AW9" s="2">
        <f t="shared" si="13"/>
        <v>0.0430329063612991</v>
      </c>
      <c r="AY9">
        <v>9.54559</v>
      </c>
    </row>
    <row r="10" spans="1:51">
      <c r="A10" s="3">
        <v>10</v>
      </c>
      <c r="B10" s="3" t="s">
        <v>51</v>
      </c>
      <c r="C10" s="3">
        <v>46835</v>
      </c>
      <c r="D10" s="3">
        <v>2374001</v>
      </c>
      <c r="E10" s="4">
        <v>312960518</v>
      </c>
      <c r="F10" s="5">
        <v>0.36344</v>
      </c>
      <c r="H10" s="2">
        <v>56.8486</v>
      </c>
      <c r="I10" s="2">
        <v>58.5903</v>
      </c>
      <c r="J10" s="2">
        <v>71</v>
      </c>
      <c r="K10" s="2">
        <f t="shared" si="0"/>
        <v>18.0259319533763</v>
      </c>
      <c r="L10" s="2">
        <f t="shared" si="1"/>
        <v>0.0306375178984179</v>
      </c>
      <c r="N10" s="2">
        <v>55.2435</v>
      </c>
      <c r="O10" s="2">
        <v>55.9225</v>
      </c>
      <c r="P10" s="2">
        <v>8430</v>
      </c>
      <c r="Q10" s="2">
        <f t="shared" si="2"/>
        <v>2140.26206150651</v>
      </c>
      <c r="R10" s="2">
        <f t="shared" si="3"/>
        <v>0.0122910387647416</v>
      </c>
      <c r="T10" s="2">
        <v>33.2699</v>
      </c>
      <c r="U10" s="2">
        <v>33.5521</v>
      </c>
      <c r="V10" s="2">
        <v>44.881</v>
      </c>
      <c r="W10" s="2">
        <f t="shared" si="4"/>
        <v>11.3946739718237</v>
      </c>
      <c r="X10" s="2">
        <f t="shared" si="5"/>
        <v>0.00848214151530372</v>
      </c>
      <c r="Z10" s="2">
        <v>41.3487</v>
      </c>
      <c r="AA10" s="2">
        <v>57.0484</v>
      </c>
      <c r="AB10" s="2">
        <v>5.45527</v>
      </c>
      <c r="AC10" s="2">
        <f t="shared" si="6"/>
        <v>1.38501867334219</v>
      </c>
      <c r="AD10" s="2">
        <f t="shared" si="7"/>
        <v>0.379690292560588</v>
      </c>
      <c r="AF10">
        <v>64.5723</v>
      </c>
      <c r="AG10">
        <v>74.9567</v>
      </c>
      <c r="AH10" s="2">
        <v>146.6496</v>
      </c>
      <c r="AI10">
        <f t="shared" si="8"/>
        <v>31.0269449599748</v>
      </c>
      <c r="AJ10" s="2">
        <v>122.208</v>
      </c>
      <c r="AK10" s="2">
        <f t="shared" si="9"/>
        <v>0.160818183648406</v>
      </c>
      <c r="AM10" s="6">
        <v>69.989704307465</v>
      </c>
      <c r="AN10" s="6">
        <v>80.0930829746178</v>
      </c>
      <c r="AO10" s="2">
        <v>291.482</v>
      </c>
      <c r="AP10" s="2">
        <f t="shared" si="10"/>
        <v>74.0033056004793</v>
      </c>
      <c r="AQ10" s="2">
        <f t="shared" si="11"/>
        <v>0.144355212914868</v>
      </c>
      <c r="AS10" s="6">
        <v>66.9109165841347</v>
      </c>
      <c r="AT10" s="6">
        <v>79.4564084726958</v>
      </c>
      <c r="AU10" s="2">
        <v>193.908</v>
      </c>
      <c r="AV10" s="2">
        <f t="shared" si="12"/>
        <v>49.2305973692295</v>
      </c>
      <c r="AW10" s="2">
        <f t="shared" si="13"/>
        <v>0.187495442134412</v>
      </c>
      <c r="AY10">
        <v>3.93877</v>
      </c>
    </row>
    <row r="11" spans="1:51">
      <c r="A11" s="3">
        <v>11</v>
      </c>
      <c r="B11" s="3" t="s">
        <v>52</v>
      </c>
      <c r="C11" s="3">
        <v>140874</v>
      </c>
      <c r="D11" s="3">
        <v>7813404</v>
      </c>
      <c r="E11" s="4">
        <v>901278576</v>
      </c>
      <c r="F11" s="5">
        <v>0.00967196</v>
      </c>
      <c r="H11" s="2">
        <v>73.0304</v>
      </c>
      <c r="I11" s="2">
        <v>80.5288</v>
      </c>
      <c r="J11" s="2">
        <v>178</v>
      </c>
      <c r="K11" s="2">
        <f t="shared" si="0"/>
        <v>22.7544956108112</v>
      </c>
      <c r="L11" s="2">
        <f t="shared" si="1"/>
        <v>0.102675050389975</v>
      </c>
      <c r="N11" s="2">
        <v>70.543</v>
      </c>
      <c r="O11" s="2">
        <v>80.769</v>
      </c>
      <c r="P11" s="2">
        <v>27850</v>
      </c>
      <c r="Q11" s="2">
        <f t="shared" si="2"/>
        <v>3560.18372337692</v>
      </c>
      <c r="R11" s="2">
        <f t="shared" si="3"/>
        <v>0.144961229321123</v>
      </c>
      <c r="T11" s="2">
        <v>8.07589</v>
      </c>
      <c r="U11" s="2">
        <v>8.12157</v>
      </c>
      <c r="V11" s="2">
        <v>78.287</v>
      </c>
      <c r="W11" s="2">
        <f t="shared" si="4"/>
        <v>10.0077595386718</v>
      </c>
      <c r="X11" s="2">
        <f t="shared" si="5"/>
        <v>0.00565634252076252</v>
      </c>
      <c r="Z11" s="2">
        <v>65.6696</v>
      </c>
      <c r="AA11" s="2">
        <v>76.8368</v>
      </c>
      <c r="AB11" s="2">
        <v>11.8897</v>
      </c>
      <c r="AC11" s="2">
        <f t="shared" si="6"/>
        <v>1.51991082283068</v>
      </c>
      <c r="AD11" s="2">
        <f t="shared" si="7"/>
        <v>0.170051287049106</v>
      </c>
      <c r="AF11">
        <v>97.9</v>
      </c>
      <c r="AG11">
        <v>121.335</v>
      </c>
      <c r="AH11" s="2">
        <v>196.9308</v>
      </c>
      <c r="AI11">
        <f t="shared" si="8"/>
        <v>20.9787501134529</v>
      </c>
      <c r="AJ11" s="2">
        <v>164.109</v>
      </c>
      <c r="AK11" s="2">
        <f t="shared" si="9"/>
        <v>0.239376915219612</v>
      </c>
      <c r="AM11" s="6">
        <v>104.70294939664</v>
      </c>
      <c r="AN11" s="6">
        <v>129.363698296837</v>
      </c>
      <c r="AO11" s="2">
        <v>431.051</v>
      </c>
      <c r="AP11" s="2">
        <f t="shared" si="10"/>
        <v>55.1030791434594</v>
      </c>
      <c r="AQ11" s="2">
        <f t="shared" si="11"/>
        <v>0.235530603887538</v>
      </c>
      <c r="AS11" s="6">
        <v>96.379755406887</v>
      </c>
      <c r="AT11" s="6">
        <v>125.214266301743</v>
      </c>
      <c r="AU11" s="2">
        <v>289.349</v>
      </c>
      <c r="AV11" s="2">
        <f t="shared" si="12"/>
        <v>36.9887109578236</v>
      </c>
      <c r="AW11" s="2">
        <f t="shared" si="13"/>
        <v>0.299176012359911</v>
      </c>
      <c r="AY11">
        <v>7.82263</v>
      </c>
    </row>
    <row r="12" spans="1:51">
      <c r="A12" s="3">
        <v>12</v>
      </c>
      <c r="B12" s="3" t="s">
        <v>53</v>
      </c>
      <c r="C12" s="3">
        <v>83334</v>
      </c>
      <c r="D12" s="3">
        <v>6010480</v>
      </c>
      <c r="E12" s="4">
        <v>927690060</v>
      </c>
      <c r="F12" s="5">
        <v>0.31568</v>
      </c>
      <c r="H12" s="2">
        <v>53.3283</v>
      </c>
      <c r="I12" s="2">
        <v>73.4205</v>
      </c>
      <c r="J12" s="2">
        <v>236</v>
      </c>
      <c r="K12" s="2">
        <f t="shared" si="0"/>
        <v>25.0750924644035</v>
      </c>
      <c r="L12" s="2">
        <f t="shared" si="1"/>
        <v>0.376764307131486</v>
      </c>
      <c r="N12" s="2">
        <v>54.6219</v>
      </c>
      <c r="O12" s="2">
        <v>76.5833</v>
      </c>
      <c r="P12" s="2">
        <v>28860</v>
      </c>
      <c r="Q12" s="2">
        <f t="shared" si="2"/>
        <v>3066.38630729951</v>
      </c>
      <c r="R12" s="2">
        <f t="shared" si="3"/>
        <v>0.402062176526265</v>
      </c>
      <c r="T12" s="2">
        <v>7.95188</v>
      </c>
      <c r="U12" s="2">
        <v>8.36431</v>
      </c>
      <c r="V12" s="2">
        <v>52.404</v>
      </c>
      <c r="W12" s="2">
        <f t="shared" si="4"/>
        <v>5.56794553179915</v>
      </c>
      <c r="X12" s="2">
        <f t="shared" si="5"/>
        <v>0.0518657223197533</v>
      </c>
      <c r="Z12" s="2">
        <v>55.5968</v>
      </c>
      <c r="AA12" s="2">
        <v>68.387</v>
      </c>
      <c r="AB12" s="2">
        <v>9.5935</v>
      </c>
      <c r="AC12" s="2">
        <f t="shared" si="6"/>
        <v>1.01931313371718</v>
      </c>
      <c r="AD12" s="2">
        <f t="shared" si="7"/>
        <v>0.230052808794751</v>
      </c>
      <c r="AF12">
        <v>77.0636</v>
      </c>
      <c r="AG12">
        <v>97.4254</v>
      </c>
      <c r="AH12" s="2">
        <v>182.7444</v>
      </c>
      <c r="AI12">
        <f t="shared" si="8"/>
        <v>16.1805534157907</v>
      </c>
      <c r="AJ12" s="2">
        <v>152.287</v>
      </c>
      <c r="AK12" s="2">
        <f t="shared" si="9"/>
        <v>0.264220721585807</v>
      </c>
      <c r="AM12" s="6">
        <v>76.3420433621729</v>
      </c>
      <c r="AN12" s="6">
        <v>100.927917959966</v>
      </c>
      <c r="AO12" s="2">
        <v>509.831</v>
      </c>
      <c r="AP12" s="2">
        <f t="shared" si="10"/>
        <v>54.1697435009292</v>
      </c>
      <c r="AQ12" s="2">
        <f t="shared" si="11"/>
        <v>0.322048945967502</v>
      </c>
      <c r="AS12" s="6">
        <v>78.5674323424068</v>
      </c>
      <c r="AT12" s="6">
        <v>102.62398752171</v>
      </c>
      <c r="AU12" s="2">
        <v>193.331</v>
      </c>
      <c r="AV12" s="2">
        <f t="shared" si="12"/>
        <v>20.541494496761</v>
      </c>
      <c r="AW12" s="2">
        <f t="shared" si="13"/>
        <v>0.306189911800372</v>
      </c>
      <c r="AY12">
        <v>9.41173</v>
      </c>
    </row>
    <row r="13" spans="1:51">
      <c r="A13" s="3">
        <v>13</v>
      </c>
      <c r="B13" s="3" t="s">
        <v>54</v>
      </c>
      <c r="C13" s="3">
        <v>106437</v>
      </c>
      <c r="D13" s="3">
        <v>2707179</v>
      </c>
      <c r="E13" s="4">
        <v>171914370</v>
      </c>
      <c r="F13" s="5">
        <v>0</v>
      </c>
      <c r="H13" s="2">
        <v>12.4868</v>
      </c>
      <c r="I13" s="2">
        <v>13.5368</v>
      </c>
      <c r="J13" s="2">
        <v>121</v>
      </c>
      <c r="K13" s="2">
        <f t="shared" si="0"/>
        <v>16.0720879634672</v>
      </c>
      <c r="L13" s="2">
        <f t="shared" si="1"/>
        <v>0.0840887977704455</v>
      </c>
      <c r="N13" s="2">
        <v>11.6476</v>
      </c>
      <c r="O13" s="2">
        <v>12.203</v>
      </c>
      <c r="P13" s="2">
        <v>24150</v>
      </c>
      <c r="Q13" s="2">
        <f t="shared" si="2"/>
        <v>3207.77623403085</v>
      </c>
      <c r="R13" s="2">
        <f t="shared" si="3"/>
        <v>0.0476836429822452</v>
      </c>
      <c r="T13" s="2">
        <v>3.89191</v>
      </c>
      <c r="U13" s="2">
        <v>4.1457</v>
      </c>
      <c r="V13" s="2">
        <v>54.626</v>
      </c>
      <c r="W13" s="2">
        <f t="shared" si="4"/>
        <v>7.25581716605256</v>
      </c>
      <c r="X13" s="2">
        <f t="shared" si="5"/>
        <v>0.0652096271496513</v>
      </c>
      <c r="Z13" s="2">
        <v>7.13604</v>
      </c>
      <c r="AA13" s="2">
        <v>6.85249</v>
      </c>
      <c r="AB13" s="2">
        <v>31.6133</v>
      </c>
      <c r="AC13" s="2">
        <f t="shared" si="6"/>
        <v>4.19910527616098</v>
      </c>
      <c r="AD13" s="2">
        <f t="shared" si="7"/>
        <v>-0.0397349230105212</v>
      </c>
      <c r="AF13">
        <v>24.0894</v>
      </c>
      <c r="AG13">
        <v>25.4315</v>
      </c>
      <c r="AH13" s="2">
        <v>394.7484</v>
      </c>
      <c r="AI13">
        <f t="shared" si="8"/>
        <v>43.6944284313908</v>
      </c>
      <c r="AJ13" s="2">
        <v>328.957</v>
      </c>
      <c r="AK13" s="2">
        <f t="shared" si="9"/>
        <v>0.0557133012860428</v>
      </c>
      <c r="AM13" s="6">
        <v>24.0941105405375</v>
      </c>
      <c r="AN13" s="6">
        <v>24.7444254130923</v>
      </c>
      <c r="AO13" s="2">
        <v>897.409</v>
      </c>
      <c r="AP13" s="2">
        <f t="shared" si="10"/>
        <v>119.20030072072</v>
      </c>
      <c r="AQ13" s="2">
        <f t="shared" si="11"/>
        <v>0.0269906154643339</v>
      </c>
      <c r="AS13" s="6">
        <v>24.4613155075192</v>
      </c>
      <c r="AT13" s="6">
        <v>26.8348998084632</v>
      </c>
      <c r="AU13" s="2">
        <v>615.469</v>
      </c>
      <c r="AV13" s="2">
        <f t="shared" si="12"/>
        <v>81.7510074941091</v>
      </c>
      <c r="AW13" s="2">
        <f t="shared" si="13"/>
        <v>0.0970342048944334</v>
      </c>
      <c r="AY13">
        <v>7.52858</v>
      </c>
    </row>
    <row r="14" spans="1:51">
      <c r="A14" s="3">
        <v>14</v>
      </c>
      <c r="B14" s="3" t="s">
        <v>55</v>
      </c>
      <c r="C14" s="3">
        <v>206500</v>
      </c>
      <c r="D14" s="3">
        <v>1273389</v>
      </c>
      <c r="E14" s="4">
        <v>15113794</v>
      </c>
      <c r="F14" s="5">
        <v>0.00458755</v>
      </c>
      <c r="H14" s="2">
        <v>3.82305</v>
      </c>
      <c r="I14" s="2">
        <v>3.95122</v>
      </c>
      <c r="J14" s="2">
        <v>173</v>
      </c>
      <c r="K14" s="2">
        <f t="shared" si="0"/>
        <v>61.8791960712076</v>
      </c>
      <c r="L14" s="2">
        <f t="shared" si="1"/>
        <v>0.0335255882083678</v>
      </c>
      <c r="N14" s="2">
        <v>3.98714</v>
      </c>
      <c r="O14" s="2">
        <v>4.16309</v>
      </c>
      <c r="P14" s="2">
        <v>26460</v>
      </c>
      <c r="Q14" s="2">
        <f t="shared" si="2"/>
        <v>9464.2978499662</v>
      </c>
      <c r="R14" s="2">
        <f t="shared" si="3"/>
        <v>0.0441293759436589</v>
      </c>
      <c r="T14" s="2">
        <v>2.71536</v>
      </c>
      <c r="U14" s="2">
        <v>2.771</v>
      </c>
      <c r="V14" s="2">
        <v>37.841</v>
      </c>
      <c r="W14" s="2">
        <f t="shared" si="4"/>
        <v>13.5350905117374</v>
      </c>
      <c r="X14" s="2">
        <f t="shared" si="5"/>
        <v>0.0204908373107065</v>
      </c>
      <c r="Z14" s="2">
        <v>1.87815</v>
      </c>
      <c r="AA14" s="2">
        <v>1.90748</v>
      </c>
      <c r="AB14" s="2">
        <v>14.0945</v>
      </c>
      <c r="AC14" s="2">
        <f t="shared" si="6"/>
        <v>5.04136606373199</v>
      </c>
      <c r="AD14" s="2">
        <f t="shared" si="7"/>
        <v>0.0156164310624817</v>
      </c>
      <c r="AF14">
        <v>4.7799</v>
      </c>
      <c r="AG14">
        <v>4.79408</v>
      </c>
      <c r="AH14" s="2">
        <v>234.384</v>
      </c>
      <c r="AI14">
        <f t="shared" si="8"/>
        <v>69.8626854140362</v>
      </c>
      <c r="AJ14" s="2">
        <v>195.32</v>
      </c>
      <c r="AK14" s="2">
        <f t="shared" si="9"/>
        <v>0.00296658925918963</v>
      </c>
      <c r="AM14" s="6">
        <v>3.55274275290777</v>
      </c>
      <c r="AN14" s="6">
        <v>5.28918526399043</v>
      </c>
      <c r="AO14" s="2">
        <v>437.122</v>
      </c>
      <c r="AP14" s="2">
        <f t="shared" si="10"/>
        <v>156.351201994442</v>
      </c>
      <c r="AQ14" s="2">
        <f t="shared" si="11"/>
        <v>0.488761115524465</v>
      </c>
      <c r="AS14" s="6">
        <v>5.40595041795284</v>
      </c>
      <c r="AT14" s="6">
        <v>6.25067277320277</v>
      </c>
      <c r="AU14" s="2">
        <v>410.251</v>
      </c>
      <c r="AV14" s="2">
        <f t="shared" si="12"/>
        <v>146.739896343404</v>
      </c>
      <c r="AW14" s="2">
        <f t="shared" si="13"/>
        <v>0.156257880657702</v>
      </c>
      <c r="AY14">
        <v>2.79577</v>
      </c>
    </row>
    <row r="15" spans="1:51">
      <c r="A15" s="3">
        <v>16</v>
      </c>
      <c r="B15" s="3" t="s">
        <v>56</v>
      </c>
      <c r="C15" s="3">
        <v>1508065</v>
      </c>
      <c r="D15" s="3">
        <v>52672325</v>
      </c>
      <c r="E15" s="4">
        <v>3681833750</v>
      </c>
      <c r="F15" s="5">
        <v>0.0015</v>
      </c>
      <c r="H15" s="2">
        <v>36.5266</v>
      </c>
      <c r="I15" s="2">
        <v>36.69</v>
      </c>
      <c r="J15" s="2">
        <v>949</v>
      </c>
      <c r="K15" s="2">
        <f t="shared" si="0"/>
        <v>6.84225325710001</v>
      </c>
      <c r="L15" s="2">
        <f t="shared" si="1"/>
        <v>0.00447345222385866</v>
      </c>
      <c r="N15" s="2">
        <v>36.3414</v>
      </c>
      <c r="O15" s="2">
        <v>36.6474</v>
      </c>
      <c r="P15" s="2">
        <v>92380</v>
      </c>
      <c r="Q15" s="2">
        <f t="shared" si="2"/>
        <v>666.056223278081</v>
      </c>
      <c r="R15" s="2">
        <f t="shared" si="3"/>
        <v>0.00842014892106516</v>
      </c>
      <c r="T15" s="2">
        <v>7.84148</v>
      </c>
      <c r="U15" s="2">
        <v>10.313</v>
      </c>
      <c r="V15" s="2">
        <v>534.204</v>
      </c>
      <c r="W15" s="2">
        <f t="shared" si="4"/>
        <v>3.85159015696086</v>
      </c>
      <c r="X15" s="2">
        <f t="shared" si="5"/>
        <v>0.31518539867474</v>
      </c>
      <c r="Z15" s="2">
        <v>25.4464</v>
      </c>
      <c r="AA15" s="2">
        <v>29.9992</v>
      </c>
      <c r="AB15" s="2">
        <v>65.6553</v>
      </c>
      <c r="AC15" s="2">
        <f t="shared" si="6"/>
        <v>0.473372170991442</v>
      </c>
      <c r="AD15" s="2">
        <f t="shared" si="7"/>
        <v>0.178917253521127</v>
      </c>
      <c r="AF15">
        <v>43.3018</v>
      </c>
      <c r="AG15">
        <v>57.3365</v>
      </c>
      <c r="AH15" s="2">
        <v>3906.936</v>
      </c>
      <c r="AI15">
        <f t="shared" si="8"/>
        <v>23.4740477443636</v>
      </c>
      <c r="AJ15" s="2">
        <v>3255.78</v>
      </c>
      <c r="AK15" s="2">
        <f t="shared" si="9"/>
        <v>0.32411354724284</v>
      </c>
      <c r="AM15" s="6">
        <v>36.5267530998509</v>
      </c>
      <c r="AN15" s="6">
        <v>50.0607663643446</v>
      </c>
      <c r="AO15" s="2">
        <v>6827.69</v>
      </c>
      <c r="AP15" s="2">
        <f t="shared" si="10"/>
        <v>49.2273805489665</v>
      </c>
      <c r="AQ15" s="2">
        <f t="shared" si="11"/>
        <v>0.370523304589834</v>
      </c>
      <c r="AS15" s="6">
        <v>36.5212118047052</v>
      </c>
      <c r="AT15" s="6">
        <v>46.5458787861309</v>
      </c>
      <c r="AU15" s="2">
        <v>5373.76</v>
      </c>
      <c r="AV15" s="2">
        <f t="shared" si="12"/>
        <v>38.7446015414897</v>
      </c>
      <c r="AW15" s="2">
        <f t="shared" si="13"/>
        <v>0.274488892510795</v>
      </c>
      <c r="AY15">
        <v>138.697</v>
      </c>
    </row>
    <row r="16" spans="1:51">
      <c r="A16" s="3">
        <v>17</v>
      </c>
      <c r="B16" s="3" t="s">
        <v>57</v>
      </c>
      <c r="C16" s="3">
        <v>220542</v>
      </c>
      <c r="D16" s="3">
        <v>10768436</v>
      </c>
      <c r="E16" s="4">
        <v>1124056276</v>
      </c>
      <c r="F16" s="5">
        <v>0.0023</v>
      </c>
      <c r="H16" s="2">
        <v>59.1496</v>
      </c>
      <c r="I16" s="2">
        <v>61.0848</v>
      </c>
      <c r="J16" s="2">
        <v>194</v>
      </c>
      <c r="K16" s="2">
        <f t="shared" si="0"/>
        <v>6.40285157926004</v>
      </c>
      <c r="L16" s="2">
        <f t="shared" si="1"/>
        <v>0.032717042887864</v>
      </c>
      <c r="N16" s="2">
        <v>63.6363</v>
      </c>
      <c r="O16" s="2">
        <v>64.11</v>
      </c>
      <c r="P16" s="2">
        <v>31000</v>
      </c>
      <c r="Q16" s="2">
        <f t="shared" si="2"/>
        <v>1023.13607709825</v>
      </c>
      <c r="R16" s="2">
        <f t="shared" si="3"/>
        <v>0.00744386458672174</v>
      </c>
      <c r="T16" s="2">
        <v>10.4316</v>
      </c>
      <c r="U16" s="2">
        <v>15.82351</v>
      </c>
      <c r="V16" s="2">
        <v>124.77</v>
      </c>
      <c r="W16" s="2">
        <f t="shared" si="4"/>
        <v>4.11795768837255</v>
      </c>
      <c r="X16" s="2">
        <f t="shared" si="5"/>
        <v>0.516882357452356</v>
      </c>
      <c r="Z16" s="2">
        <v>25.061</v>
      </c>
      <c r="AA16" s="2">
        <v>25.235</v>
      </c>
      <c r="AB16" s="2">
        <v>15.2178</v>
      </c>
      <c r="AC16" s="2">
        <f t="shared" si="6"/>
        <v>0.502254199808575</v>
      </c>
      <c r="AD16" s="2">
        <f t="shared" si="7"/>
        <v>0.00694305893619566</v>
      </c>
      <c r="AF16">
        <v>60.3312</v>
      </c>
      <c r="AG16">
        <v>73.032</v>
      </c>
      <c r="AH16" s="2">
        <v>1238.3136</v>
      </c>
      <c r="AI16">
        <f t="shared" si="8"/>
        <v>34.0581537344467</v>
      </c>
      <c r="AJ16" s="2">
        <v>1031.928</v>
      </c>
      <c r="AK16" s="2">
        <f t="shared" si="9"/>
        <v>0.210517940965868</v>
      </c>
      <c r="AM16" s="6">
        <v>56.2795410415967</v>
      </c>
      <c r="AN16" s="6">
        <v>83.1947888871241</v>
      </c>
      <c r="AO16" s="2">
        <v>1457.839</v>
      </c>
      <c r="AP16" s="2">
        <f t="shared" si="10"/>
        <v>48.1150863064788</v>
      </c>
      <c r="AQ16" s="2">
        <f t="shared" si="11"/>
        <v>0.478242134661939</v>
      </c>
      <c r="AS16" s="6">
        <v>57.6818216438375</v>
      </c>
      <c r="AT16" s="6">
        <v>78.0987912472359</v>
      </c>
      <c r="AU16" s="2">
        <v>1042.62</v>
      </c>
      <c r="AV16" s="2">
        <f t="shared" si="12"/>
        <v>34.4110366678768</v>
      </c>
      <c r="AW16" s="2">
        <f t="shared" si="13"/>
        <v>0.353958474638078</v>
      </c>
      <c r="AY16">
        <v>30.299</v>
      </c>
    </row>
    <row r="17" spans="1:51">
      <c r="A17" s="3">
        <v>18</v>
      </c>
      <c r="B17" s="3" t="s">
        <v>58</v>
      </c>
      <c r="C17" s="3">
        <v>40216</v>
      </c>
      <c r="D17" s="3">
        <v>1042160</v>
      </c>
      <c r="E17" s="4">
        <v>8097139548</v>
      </c>
      <c r="F17" s="5">
        <v>0.194582</v>
      </c>
      <c r="H17" s="2">
        <v>71.506</v>
      </c>
      <c r="I17" s="2">
        <v>99.6086</v>
      </c>
      <c r="J17" s="2">
        <v>97</v>
      </c>
      <c r="K17" s="2">
        <f t="shared" si="0"/>
        <v>1.06987850812611</v>
      </c>
      <c r="L17" s="2">
        <f t="shared" si="1"/>
        <v>0.393010376751601</v>
      </c>
      <c r="N17" s="2">
        <v>67.044</v>
      </c>
      <c r="O17" s="2">
        <v>90.594</v>
      </c>
      <c r="P17" s="2">
        <v>4530</v>
      </c>
      <c r="Q17" s="2">
        <f t="shared" si="2"/>
        <v>49.9644292970236</v>
      </c>
      <c r="R17" s="2">
        <f t="shared" si="3"/>
        <v>0.351261857884374</v>
      </c>
      <c r="T17" s="2">
        <v>71.4524</v>
      </c>
      <c r="U17" s="2">
        <v>91.0408</v>
      </c>
      <c r="V17" s="2">
        <v>9.707</v>
      </c>
      <c r="W17" s="2">
        <f t="shared" si="4"/>
        <v>0.107065058540002</v>
      </c>
      <c r="X17" s="2">
        <f t="shared" si="5"/>
        <v>0.274146144846079</v>
      </c>
      <c r="Z17" s="2">
        <v>68.6316</v>
      </c>
      <c r="AA17" s="2">
        <v>94.5656</v>
      </c>
      <c r="AB17" s="2">
        <v>9.75759</v>
      </c>
      <c r="AC17" s="2">
        <f t="shared" si="6"/>
        <v>0.107623049815529</v>
      </c>
      <c r="AD17" s="2">
        <f t="shared" si="7"/>
        <v>0.377872583474668</v>
      </c>
      <c r="AF17">
        <v>67.8408</v>
      </c>
      <c r="AG17">
        <v>88.7885</v>
      </c>
      <c r="AH17" s="2">
        <v>417.9096</v>
      </c>
      <c r="AI17">
        <f t="shared" si="8"/>
        <v>3.84117267508231</v>
      </c>
      <c r="AJ17" s="2">
        <v>348.258</v>
      </c>
      <c r="AK17" s="2">
        <f t="shared" si="9"/>
        <v>0.308777313946769</v>
      </c>
      <c r="AM17" s="6">
        <v>87.139569938066</v>
      </c>
      <c r="AN17" s="6">
        <v>99.8466247678142</v>
      </c>
      <c r="AO17" s="2">
        <v>314.149</v>
      </c>
      <c r="AP17" s="2">
        <f t="shared" si="10"/>
        <v>3.46496147885887</v>
      </c>
      <c r="AQ17" s="2">
        <f t="shared" si="11"/>
        <v>0.145824162763021</v>
      </c>
      <c r="AS17" s="6">
        <v>89.8290418905463</v>
      </c>
      <c r="AT17" s="6">
        <v>103.308820409311</v>
      </c>
      <c r="AU17" s="2">
        <v>116.89</v>
      </c>
      <c r="AV17" s="2">
        <f t="shared" si="12"/>
        <v>1.28925875066867</v>
      </c>
      <c r="AW17" s="2">
        <f t="shared" si="13"/>
        <v>0.150060361716752</v>
      </c>
      <c r="AY17">
        <v>90.6645</v>
      </c>
    </row>
    <row r="18" spans="1:51">
      <c r="A18" s="3">
        <v>19</v>
      </c>
      <c r="B18" s="3" t="s">
        <v>59</v>
      </c>
      <c r="C18" s="3">
        <v>16783</v>
      </c>
      <c r="D18" s="3">
        <v>9323427</v>
      </c>
      <c r="E18" s="4">
        <v>61431943634</v>
      </c>
      <c r="F18" s="5">
        <v>0.955975</v>
      </c>
      <c r="H18" s="2">
        <v>30.225</v>
      </c>
      <c r="I18" s="2">
        <v>40.2894</v>
      </c>
      <c r="J18" s="2">
        <v>1097</v>
      </c>
      <c r="K18" s="2">
        <f t="shared" si="0"/>
        <v>0.665724012792582</v>
      </c>
      <c r="L18" s="2">
        <f t="shared" si="1"/>
        <v>0.332982630272953</v>
      </c>
      <c r="N18" s="2">
        <v>25.1818</v>
      </c>
      <c r="O18" s="2">
        <v>26.0181</v>
      </c>
      <c r="P18" s="2">
        <v>59320</v>
      </c>
      <c r="Q18" s="2">
        <f t="shared" si="2"/>
        <v>35.9988591056116</v>
      </c>
      <c r="R18" s="2">
        <f t="shared" si="3"/>
        <v>0.033210493292775</v>
      </c>
      <c r="T18" s="2">
        <v>17.0002</v>
      </c>
      <c r="U18" s="2">
        <v>30.4191</v>
      </c>
      <c r="V18" s="2">
        <v>151.352</v>
      </c>
      <c r="W18" s="2">
        <f t="shared" si="4"/>
        <v>0.0918492805689907</v>
      </c>
      <c r="X18" s="2">
        <f t="shared" si="5"/>
        <v>0.789337772496794</v>
      </c>
      <c r="Z18" s="2">
        <v>28.0201</v>
      </c>
      <c r="AA18" s="2">
        <v>40.0295</v>
      </c>
      <c r="AB18" s="2">
        <v>35.0532</v>
      </c>
      <c r="AC18" s="2">
        <f t="shared" si="6"/>
        <v>0.0212723399865277</v>
      </c>
      <c r="AD18" s="2">
        <f t="shared" si="7"/>
        <v>0.428599469666418</v>
      </c>
      <c r="AF18">
        <v>27.8165</v>
      </c>
      <c r="AG18">
        <v>28.738</v>
      </c>
      <c r="AH18" s="2">
        <v>5442.0168</v>
      </c>
      <c r="AI18">
        <f t="shared" si="8"/>
        <v>2.75211277862401</v>
      </c>
      <c r="AJ18" s="2">
        <v>4535.014</v>
      </c>
      <c r="AK18" s="2">
        <f t="shared" si="9"/>
        <v>0.033127819819172</v>
      </c>
      <c r="AM18" s="6">
        <v>37.67066299356</v>
      </c>
      <c r="AN18" s="6">
        <v>51.0456792724372</v>
      </c>
      <c r="AO18" s="2">
        <v>913.202</v>
      </c>
      <c r="AP18" s="2">
        <f t="shared" si="10"/>
        <v>0.554184594284605</v>
      </c>
      <c r="AQ18" s="2">
        <f t="shared" si="11"/>
        <v>0.355051257822665</v>
      </c>
      <c r="AS18" s="6">
        <v>26.9120833902107</v>
      </c>
      <c r="AT18" s="6">
        <v>47.2805105101861</v>
      </c>
      <c r="AU18" s="2">
        <v>197</v>
      </c>
      <c r="AV18" s="2">
        <f t="shared" si="12"/>
        <v>0.119551167292743</v>
      </c>
      <c r="AW18" s="2">
        <f t="shared" si="13"/>
        <v>0.75685062448136</v>
      </c>
      <c r="AY18">
        <v>1647.83</v>
      </c>
    </row>
    <row r="19" spans="1:51">
      <c r="A19" s="3">
        <v>20</v>
      </c>
      <c r="B19" s="3" t="s">
        <v>60</v>
      </c>
      <c r="C19" s="3">
        <v>56814</v>
      </c>
      <c r="D19" s="3">
        <v>8767466</v>
      </c>
      <c r="E19" s="4">
        <v>107894274940</v>
      </c>
      <c r="F19" s="5">
        <v>0.121017</v>
      </c>
      <c r="H19" s="2">
        <v>41.4757</v>
      </c>
      <c r="I19" s="2">
        <v>51.5461</v>
      </c>
      <c r="J19" s="2">
        <v>803</v>
      </c>
      <c r="K19" s="2">
        <f t="shared" si="0"/>
        <v>0.43802468866427</v>
      </c>
      <c r="L19" s="2">
        <f t="shared" si="1"/>
        <v>0.242802412014746</v>
      </c>
      <c r="N19" s="2">
        <v>36.812</v>
      </c>
      <c r="O19" s="2">
        <v>45.3751</v>
      </c>
      <c r="P19" s="2">
        <v>27310</v>
      </c>
      <c r="Q19" s="2">
        <f t="shared" si="2"/>
        <v>14.8972032969131</v>
      </c>
      <c r="R19" s="2">
        <f t="shared" si="3"/>
        <v>0.232617081386505</v>
      </c>
      <c r="T19" s="2">
        <v>44.1032</v>
      </c>
      <c r="U19" s="2">
        <v>46.7695</v>
      </c>
      <c r="V19" s="2">
        <v>85.52</v>
      </c>
      <c r="W19" s="2">
        <f t="shared" si="4"/>
        <v>0.0466499020853903</v>
      </c>
      <c r="X19" s="2">
        <f t="shared" si="5"/>
        <v>0.0604559306354187</v>
      </c>
      <c r="Z19" s="2">
        <v>44.3054</v>
      </c>
      <c r="AA19" s="2">
        <v>55.3853</v>
      </c>
      <c r="AB19" s="2">
        <v>38.2066</v>
      </c>
      <c r="AC19" s="2">
        <f t="shared" si="6"/>
        <v>0.0208411383187052</v>
      </c>
      <c r="AD19" s="2">
        <f t="shared" si="7"/>
        <v>0.250080125673169</v>
      </c>
      <c r="AF19">
        <v>37.5467</v>
      </c>
      <c r="AG19">
        <v>42.8304</v>
      </c>
      <c r="AH19" s="2">
        <v>5161.9116</v>
      </c>
      <c r="AI19">
        <f t="shared" si="8"/>
        <v>2.3464557093218</v>
      </c>
      <c r="AJ19" s="2">
        <v>4301.593</v>
      </c>
      <c r="AK19" s="2">
        <f t="shared" si="9"/>
        <v>0.140723419102078</v>
      </c>
      <c r="AM19" s="6">
        <v>52.9677635224695</v>
      </c>
      <c r="AN19" s="6">
        <v>58.5710272133586</v>
      </c>
      <c r="AO19" s="2">
        <v>774.827</v>
      </c>
      <c r="AP19" s="2">
        <f t="shared" si="10"/>
        <v>0.422656731561233</v>
      </c>
      <c r="AQ19" s="2">
        <f t="shared" si="11"/>
        <v>0.10578629940666</v>
      </c>
      <c r="AS19" s="6">
        <v>46.2557340175601</v>
      </c>
      <c r="AT19" s="6">
        <v>58.8547399617069</v>
      </c>
      <c r="AU19" s="2">
        <v>209.295</v>
      </c>
      <c r="AV19" s="2">
        <f t="shared" si="12"/>
        <v>0.11416734397757</v>
      </c>
      <c r="AW19" s="2">
        <f t="shared" si="13"/>
        <v>0.272377170349601</v>
      </c>
      <c r="AY19">
        <v>1833.23</v>
      </c>
    </row>
    <row r="20" spans="1:51">
      <c r="A20" s="3">
        <v>24</v>
      </c>
      <c r="B20" s="3" t="s">
        <v>61</v>
      </c>
      <c r="C20" s="3">
        <v>3997962</v>
      </c>
      <c r="D20" s="3">
        <v>69362378</v>
      </c>
      <c r="E20" s="4">
        <v>17161797536</v>
      </c>
      <c r="F20" s="5">
        <v>0.00177225</v>
      </c>
      <c r="H20" s="2">
        <v>2.41257</v>
      </c>
      <c r="I20" s="2">
        <v>2.46163</v>
      </c>
      <c r="J20" s="2">
        <v>33291</v>
      </c>
      <c r="K20" s="2">
        <f t="shared" si="0"/>
        <v>5.03811387399494</v>
      </c>
      <c r="L20" s="2">
        <f t="shared" si="1"/>
        <v>0.0203351612595696</v>
      </c>
      <c r="N20" s="2">
        <v>2.17657</v>
      </c>
      <c r="O20" s="2">
        <v>2.18529</v>
      </c>
      <c r="P20" s="2">
        <v>2831640</v>
      </c>
      <c r="Q20" s="2">
        <f t="shared" si="2"/>
        <v>428.527973631283</v>
      </c>
      <c r="R20" s="2">
        <f t="shared" si="3"/>
        <v>0.00400630349586748</v>
      </c>
      <c r="T20" s="2">
        <v>1.86375</v>
      </c>
      <c r="U20" s="2">
        <v>1.97069</v>
      </c>
      <c r="V20" s="2">
        <v>3429.279</v>
      </c>
      <c r="W20" s="2">
        <f t="shared" si="4"/>
        <v>0.518972037718888</v>
      </c>
      <c r="X20" s="2">
        <f t="shared" si="5"/>
        <v>0.0573789403085178</v>
      </c>
      <c r="Z20" s="2">
        <v>1.54603</v>
      </c>
      <c r="AA20" s="2">
        <v>1.50052</v>
      </c>
      <c r="AB20" s="2">
        <v>2098.13</v>
      </c>
      <c r="AC20" s="2">
        <f t="shared" si="6"/>
        <v>0.317521788544802</v>
      </c>
      <c r="AD20" s="2">
        <f t="shared" si="7"/>
        <v>-0.0294366862221302</v>
      </c>
      <c r="AF20">
        <v>1.98106</v>
      </c>
      <c r="AG20">
        <v>2.47635</v>
      </c>
      <c r="AH20" s="2">
        <v>14885.0076</v>
      </c>
      <c r="AI20">
        <f t="shared" si="8"/>
        <v>1.87719311786169</v>
      </c>
      <c r="AJ20" s="2">
        <v>12404.173</v>
      </c>
      <c r="AK20" s="2">
        <f t="shared" si="9"/>
        <v>0.250012619506729</v>
      </c>
      <c r="AM20" s="6">
        <v>2.48467114652088</v>
      </c>
      <c r="AN20" s="6">
        <v>2.66366350961441</v>
      </c>
      <c r="AO20" s="2">
        <v>2841.94</v>
      </c>
      <c r="AP20" s="2">
        <f t="shared" si="10"/>
        <v>0.430086730439494</v>
      </c>
      <c r="AQ20" s="2">
        <f t="shared" si="11"/>
        <v>0.0720386532214378</v>
      </c>
      <c r="AS20" s="6">
        <v>2.45665482404407</v>
      </c>
      <c r="AT20" s="6">
        <v>2.59719114081325</v>
      </c>
      <c r="AU20" s="2">
        <v>2261.82</v>
      </c>
      <c r="AV20" s="2">
        <f t="shared" si="12"/>
        <v>0.342293914946359</v>
      </c>
      <c r="AW20" s="2">
        <f t="shared" si="13"/>
        <v>0.0572063748613381</v>
      </c>
      <c r="AY20">
        <v>6607.83</v>
      </c>
    </row>
    <row r="21" spans="1:51">
      <c r="A21" s="3">
        <v>30</v>
      </c>
      <c r="B21" s="3" t="s">
        <v>62</v>
      </c>
      <c r="C21" s="3">
        <v>3566907</v>
      </c>
      <c r="D21" s="3">
        <v>45030389</v>
      </c>
      <c r="E21" s="4">
        <v>12796037822</v>
      </c>
      <c r="F21" s="5">
        <v>0.00635704</v>
      </c>
      <c r="H21" s="2">
        <v>2.52211</v>
      </c>
      <c r="I21" s="2">
        <v>2.53342</v>
      </c>
      <c r="J21" s="2">
        <v>48123</v>
      </c>
      <c r="K21" s="2">
        <f t="shared" si="0"/>
        <v>16.5306374822235</v>
      </c>
      <c r="L21" s="2">
        <f t="shared" si="1"/>
        <v>0.00448434049268269</v>
      </c>
      <c r="N21" s="2">
        <v>2.4169</v>
      </c>
      <c r="O21" s="2">
        <v>2.52396</v>
      </c>
      <c r="P21" s="2">
        <v>1879960</v>
      </c>
      <c r="Q21" s="2">
        <f t="shared" si="2"/>
        <v>645.781377742053</v>
      </c>
      <c r="R21" s="2">
        <f t="shared" si="3"/>
        <v>0.0442964127601474</v>
      </c>
      <c r="T21" s="2">
        <v>2.07958</v>
      </c>
      <c r="U21" s="2">
        <v>2.24882</v>
      </c>
      <c r="V21" s="2">
        <v>26564.13</v>
      </c>
      <c r="W21" s="2">
        <f t="shared" si="4"/>
        <v>9.12499227106906</v>
      </c>
      <c r="X21" s="2">
        <f t="shared" si="5"/>
        <v>0.0813818174823762</v>
      </c>
      <c r="Z21" s="2">
        <v>2.19287</v>
      </c>
      <c r="AA21" s="2">
        <v>2.10437</v>
      </c>
      <c r="AB21" s="2">
        <v>1628.7</v>
      </c>
      <c r="AC21" s="2">
        <f t="shared" si="6"/>
        <v>0.559471547228921</v>
      </c>
      <c r="AD21" s="2">
        <f t="shared" si="7"/>
        <v>-0.0403580695618072</v>
      </c>
      <c r="AF21">
        <v>0</v>
      </c>
      <c r="AG21">
        <v>0</v>
      </c>
      <c r="AH21" s="2">
        <v>0</v>
      </c>
      <c r="AI21">
        <f>AH21/AY21</f>
        <v>0</v>
      </c>
      <c r="AK21" s="2" t="e">
        <f t="shared" si="9"/>
        <v>#DIV/0!</v>
      </c>
      <c r="AM21" s="2">
        <v>0</v>
      </c>
      <c r="AN21" s="2">
        <v>0</v>
      </c>
      <c r="AO21" s="2">
        <v>0</v>
      </c>
      <c r="AP21" s="2">
        <f t="shared" si="10"/>
        <v>0</v>
      </c>
      <c r="AQ21" s="2" t="e">
        <f t="shared" si="11"/>
        <v>#DIV/0!</v>
      </c>
      <c r="AS21" s="6">
        <v>3.39554189149268</v>
      </c>
      <c r="AT21" s="6">
        <v>5.75431097694188</v>
      </c>
      <c r="AU21" s="2">
        <v>9620.8</v>
      </c>
      <c r="AV21" s="2">
        <f t="shared" si="12"/>
        <v>3.3048221658869</v>
      </c>
      <c r="AW21" s="2">
        <f t="shared" si="13"/>
        <v>0.694666465861885</v>
      </c>
      <c r="AY21">
        <v>2911.14</v>
      </c>
    </row>
    <row r="22" s="1" customFormat="1" spans="1:51">
      <c r="E22" s="7"/>
      <c r="F22" s="7"/>
      <c r="G22" s="1"/>
      <c r="H22" s="1"/>
      <c r="I22" s="1"/>
      <c r="J22" s="1"/>
      <c r="K22" s="1"/>
      <c r="L22" s="1">
        <f>MAX(L2:L21)</f>
        <v>0.785551136259814</v>
      </c>
      <c r="R22" s="1">
        <f>MAX(R2:R21)</f>
        <v>0.904320426589105</v>
      </c>
      <c r="X22" s="1">
        <f>MAX(X2:X21)</f>
        <v>1.03053221475168</v>
      </c>
      <c r="AD22" s="1">
        <f>MAX(AD2:AD21)</f>
        <v>1.14759262450457</v>
      </c>
      <c r="AI22" s="7"/>
      <c r="AK22" s="1">
        <f>MAX(AK2:AK20)</f>
        <v>1.15974791239956</v>
      </c>
      <c r="AQ22" s="1">
        <f>MAX(AQ2:AQ20)</f>
        <v>2.87103392985747</v>
      </c>
      <c r="AW22" s="1">
        <f>MAX(AW2:AW21)</f>
        <v>3.27914424603707</v>
      </c>
    </row>
    <row r="32" spans="1:51">
      <c r="AM32"/>
    </row>
    <row r="33" spans="39:39">
      <c r="AM33"/>
    </row>
    <row r="34" spans="39:39">
      <c r="AM34"/>
    </row>
    <row r="35" spans="39:39">
      <c r="AM35"/>
    </row>
    <row r="36" spans="39:39">
      <c r="AM36"/>
    </row>
    <row r="37" spans="39:39">
      <c r="AM37"/>
    </row>
    <row r="38" spans="39:39">
      <c r="AM38"/>
    </row>
    <row r="39" spans="39:39">
      <c r="AM39"/>
    </row>
    <row r="40" spans="39:39">
      <c r="AM40"/>
    </row>
    <row r="41" spans="39:39">
      <c r="AM41"/>
    </row>
    <row r="42" spans="39:39">
      <c r="AM42"/>
    </row>
    <row r="43" spans="39:39">
      <c r="AM43"/>
    </row>
    <row r="44" spans="39:39">
      <c r="AM44"/>
    </row>
    <row r="45" spans="39:39">
      <c r="AM45"/>
    </row>
    <row r="46" spans="39:39">
      <c r="AM46"/>
    </row>
    <row r="47" spans="39:39">
      <c r="AM47"/>
    </row>
    <row r="48" spans="39:39">
      <c r="AM48"/>
    </row>
    <row r="49" spans="39:39">
      <c r="AM49"/>
    </row>
    <row r="50" spans="39:39">
      <c r="AM50"/>
    </row>
    <row r="51" spans="39:39">
      <c r="AM5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linshengle</dc:creator>
  <cp:lastModifiedBy>036</cp:lastModifiedBy>
  <dcterms:created xsi:type="dcterms:W3CDTF">2026-07-05T18:59:00Z</dcterms:created>
  <dcterms:modified xsi:type="dcterms:W3CDTF">2026-07-06T13:54:41Z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C09EF79AD8ED2A6AAFC8496ADA7AFB59_41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