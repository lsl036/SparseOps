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Xeon5120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<sst xmlns="http://schemas.openxmlformats.org/spreadsheetml/2006/main" count="32" uniqueCount="32">
  <si>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mtx_ID</t>
  </si>
  <si>
    <t>DATA_name</t>
  </si>
  <si>
    <t>Floating-pointOperations</t>
  </si>
  <si>
    <t>Ha_GFlops</t>
  </si>
  <si>
    <t>MKL_GFlops</t>
  </si>
  <si>
    <t>kokkos_GFlops</t>
  </si>
  <si>
    <t>CSeg_Gflops</t>
  </si>
  <si>
    <t>Hier_GFlops</t>
  </si>
  <si>
    <t>Gra_GFlops</t>
  </si>
  <si>
    <t>Le_GFlops</t>
  </si>
  <si>
    <t>CompressRatio</t>
  </si>
  <si>
    <t>Dense part</t>
  </si>
  <si>
    <t>cant</t>
  </si>
  <si>
    <t>pwtk</t>
  </si>
  <si>
    <t>offshore</t>
  </si>
  <si>
    <t>cage12</t>
  </si>
  <si>
    <t>scircuit</t>
  </si>
  <si>
    <t>wiki-Vote</t>
  </si>
  <si>
    <t>poisson3Da</t>
  </si>
  <si>
    <t>pdb1HYS</t>
  </si>
  <si>
    <t>rma10</t>
  </si>
  <si>
    <t>shipsec1</t>
  </si>
  <si>
    <t>consph</t>
  </si>
  <si>
    <t>filter3D</t>
  </si>
  <si>
    <t>mac_econ_fwd500</t>
  </si>
  <si>
    <t>af_shell10</t>
  </si>
  <si>
    <t>hood</t>
  </si>
  <si>
    <t>case39</t>
  </si>
  <si>
    <t>gupta3</t>
  </si>
  <si>
    <t>TSOPF_FS_b300_c2</t>
  </si>
  <si>
    <t>com-LiveJournal</t>
  </si>
  <si>
    <t>wikipedia-20070206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</si>
</sst>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0" fontId="0" fillId="0" borderId="0" xfId="0" applyFill="1">
      <alignment vertical="center"/>
    </xf>
    <xf numFmtId="176" fontId="0" fillId="0" borderId="0" xfId="0" applyNumberFormat="1" applyFill="1" applyAlignment="1">
      <alignment horizontal="center" vertical="center"/>
    </xf>
    <xf numFmtId="10" fontId="0" fillId="0" borderId="0" xfId="0" applyNumberFormat="1" applyFill="1" applyAlignment="1">
      <alignment horizontal="center" vertical="center"/>
    </xf>
    <xf numFmtId="177" fontId="0" fillId="2" borderId="0" xfId="0" applyNumberFormat="1" applyFill="1" applyAlignment="1">
      <alignment horizontal="center" vertical="center"/>
    </xf>
    <xf numFmtId="0" fontId="0" fillId="2" borderId="0" xfId="0" applyFill="1">
      <alignment vertical="center"/>
    </xf>
    <xf numFmtId="176" fontId="0" fillId="2" borderId="0" xfId="0" applyNumberFormat="1" applyFill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177" fontId="0" fillId="3" borderId="0" xfId="0" applyNumberFormat="1" applyFill="1" applyAlignment="1">
      <alignment horizontal="center" vertical="center"/>
    </xf>
    <xf numFmtId="0" fontId="0" fillId="3" borderId="0" xfId="0" applyFill="1">
      <alignment vertical="center"/>
    </xf>
    <xf numFmtId="176" fontId="0" fillId="3" borderId="0" xfId="0" applyNumberFormat="1" applyFill="1" applyAlignment="1">
      <alignment horizontal="center" vertical="center"/>
    </xf>
    <xf numFmtId="10" fontId="0" fillId="3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1"/>
  <sheetViews>
    <sheetView tabSelected="1" topLeftCell="B1" workbookViewId="0">
      <selection activeCell="H31" sqref="H31"/>
    </sheetView>
  </sheetViews>
  <sheetFormatPr defaultColWidth="9.23076923076923" defaultRowHeight="16.8"/>
  <cols>
    <col min="1" max="1" width="10.3846153846154" style="4"/>
    <col min="2" max="2" width="18.9038461538462" style="4" customWidth="1"/>
    <col min="3" max="3" width="18.5769230769231" style="4" customWidth="1"/>
    <col min="5" max="5" width="14.0961538461538" style="5" customWidth="1"/>
    <col min="6" max="6" width="9.69230769230769" style="5"/>
    <col min="7" max="8" width="12.9230769230769" style="5"/>
    <col min="9" max="9" width="13.1346153846154" style="5" customWidth="1"/>
    <col min="10" max="11" width="12.9230769230769" style="5"/>
    <col min="13" max="15" width="9.23076923076923" style="4"/>
    <col min="16" max="16" width="12.9230769230769" style="4"/>
    <col min="17" max="17" width="9.23076923076923" style="4"/>
    <col min="18" max="18" width="11.6923076923077" style="4" customWidth="1"/>
    <col min="19" max="16384" width="9.23076923076923" style="4"/>
  </cols>
  <sheetData>
    <row r="1" spans="1:18">
      <c r="A1" s="4" t="s">
        <v>0</v>
      </c>
      <c r="B1" s="4" t="s">
        <v>1</v>
      </c>
      <c r="C1" s="6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M1" s="6" t="s">
        <v>10</v>
      </c>
      <c r="O1" s="4" t="s">
        <v>11</v>
      </c>
    </row>
    <row r="2" spans="1:18">
      <c r="A2" s="4">
        <v>1</v>
      </c>
      <c r="B2" s="4" t="s">
        <v>12</v>
      </c>
      <c r="C2" s="6">
        <v>538972946</v>
      </c>
      <c r="E2" s="5">
        <v>1.12940142072839</v>
      </c>
      <c r="F2" s="5">
        <v>5.67548</v>
      </c>
      <c r="G2" s="5">
        <v>8.46326610535175</v>
      </c>
      <c r="H2" s="5">
        <v>17.4696274471671</v>
      </c>
      <c r="I2" s="5">
        <v>12.5072139615547</v>
      </c>
      <c r="J2" s="5">
        <v>16.5572404238129</v>
      </c>
      <c r="K2" s="5">
        <v>19.8539408182886</v>
      </c>
      <c r="M2" s="6">
        <v>15.4521803260763</v>
      </c>
      <c r="O2" s="7">
        <v>0.997636</v>
      </c>
    </row>
    <row r="3" spans="1:18">
      <c r="A3" s="4">
        <v>2</v>
      </c>
      <c r="B3" s="4" t="s">
        <v>13</v>
      </c>
      <c r="C3" s="6">
        <v>1252108804</v>
      </c>
      <c r="E3" s="5">
        <v>1.63920770308307</v>
      </c>
      <c r="F3" s="5">
        <v>6.62049</v>
      </c>
      <c r="G3" s="5">
        <v>8.8364731421377</v>
      </c>
      <c r="H3" s="5">
        <v>16.5264347711314</v>
      </c>
      <c r="I3" s="5">
        <v>20.9619072874468</v>
      </c>
      <c r="J3" s="5">
        <v>10.3332326838487</v>
      </c>
      <c r="K3" s="5">
        <v>26.7838208121295</v>
      </c>
      <c r="M3" s="6">
        <v>19.1031946065566</v>
      </c>
      <c r="O3" s="7">
        <v>0.0299042</v>
      </c>
    </row>
    <row r="4" s="1" customFormat="1" spans="1:18">
      <c r="A4" s="1">
        <v>3</v>
      </c>
      <c r="B4" s="1" t="s">
        <v>14</v>
      </c>
      <c r="C4" s="8">
        <v>142685030</v>
      </c>
      <c r="D4" s="9"/>
      <c r="E4" s="10">
        <v>0.52022995336763</v>
      </c>
      <c r="F4" s="10">
        <v>1.73762</v>
      </c>
      <c r="G4" s="10">
        <v>1.31573272423978</v>
      </c>
      <c r="H4" s="10">
        <v>2.12997701115108</v>
      </c>
      <c r="I4" s="10">
        <v>1.54899005565637</v>
      </c>
      <c r="J4" s="10">
        <v>2.02116360543374</v>
      </c>
      <c r="K4" s="10">
        <v>2.1879609652573</v>
      </c>
      <c r="M4" s="8">
        <v>3.05453701997046</v>
      </c>
      <c r="O4" s="11">
        <v>0.00198508</v>
      </c>
      <c r="P4" s="4"/>
      <c r="R4" s="4"/>
    </row>
    <row r="5" s="2" customFormat="1" spans="1:18">
      <c r="A5" s="2">
        <v>4</v>
      </c>
      <c r="B5" s="2" t="s">
        <v>15</v>
      </c>
      <c r="C5" s="12">
        <v>69221652</v>
      </c>
      <c r="D5" s="13"/>
      <c r="E5" s="14">
        <v>0.354660907791389</v>
      </c>
      <c r="F5" s="14">
        <v>1.45544</v>
      </c>
      <c r="G5" s="14">
        <v>1.07785120029149</v>
      </c>
      <c r="H5" s="14">
        <v>2.76124504367944</v>
      </c>
      <c r="I5" s="14">
        <v>0.945061378920047</v>
      </c>
      <c r="J5" s="14">
        <v>0.958994368363085</v>
      </c>
      <c r="K5" s="14">
        <v>1.612</v>
      </c>
      <c r="M5" s="12">
        <v>2.27226315028604</v>
      </c>
      <c r="O5" s="15">
        <v>0</v>
      </c>
      <c r="P5" s="4"/>
      <c r="R5" s="4"/>
    </row>
    <row r="6" spans="1:18">
      <c r="A6" s="4">
        <v>5</v>
      </c>
      <c r="B6" s="4" t="s">
        <v>16</v>
      </c>
      <c r="C6" s="6">
        <v>17352626</v>
      </c>
      <c r="E6" s="5">
        <v>0.306726623537314</v>
      </c>
      <c r="F6" s="5">
        <v>0.846309</v>
      </c>
      <c r="G6" s="5">
        <v>0.623611991576284</v>
      </c>
      <c r="H6" s="5">
        <v>1.71503775449694</v>
      </c>
      <c r="I6" s="5">
        <v>0.933366631577288</v>
      </c>
      <c r="J6" s="5">
        <v>0.748644327383957</v>
      </c>
      <c r="K6" s="5">
        <v>1.75354768256345</v>
      </c>
      <c r="M6" s="6">
        <v>1.66133069962428</v>
      </c>
      <c r="O6" s="7">
        <v>0.0144826</v>
      </c>
    </row>
    <row r="7" spans="1:18">
      <c r="A7" s="4">
        <v>6</v>
      </c>
      <c r="B7" s="4" t="s">
        <v>17</v>
      </c>
      <c r="C7" s="6">
        <v>9085610</v>
      </c>
      <c r="E7" s="5">
        <v>0.485630535804266</v>
      </c>
      <c r="F7" s="5">
        <v>1.66649</v>
      </c>
      <c r="G7" s="5">
        <v>2.75723476961711</v>
      </c>
      <c r="H7" s="5">
        <v>4.69020208252989</v>
      </c>
      <c r="I7" s="5">
        <v>2.85683179867313</v>
      </c>
      <c r="J7" s="5">
        <v>1.52226167076167</v>
      </c>
      <c r="K7" s="5">
        <v>4.96127517431119</v>
      </c>
      <c r="M7" s="6">
        <v>3.09605101970885</v>
      </c>
      <c r="O7" s="7">
        <v>0.123068</v>
      </c>
    </row>
    <row r="8" s="2" customFormat="1" spans="1:18">
      <c r="A8" s="2">
        <f>A7+1</f>
        <v>7</v>
      </c>
      <c r="B8" s="2" t="s">
        <v>18</v>
      </c>
      <c r="C8" s="12">
        <v>23537356</v>
      </c>
      <c r="D8" s="13"/>
      <c r="E8" s="14">
        <v>0.512550759984321</v>
      </c>
      <c r="F8" s="14">
        <v>2.30992</v>
      </c>
      <c r="G8" s="14">
        <v>1.98264410320342</v>
      </c>
      <c r="H8" s="14">
        <v>4.71785047103628</v>
      </c>
      <c r="I8" s="14">
        <v>1.93430799220273</v>
      </c>
      <c r="J8" s="14">
        <v>0.992839950900785</v>
      </c>
      <c r="K8" s="14">
        <v>3.96469375448478</v>
      </c>
      <c r="M8" s="12">
        <v>3.97922523186578</v>
      </c>
      <c r="O8" s="15">
        <v>0</v>
      </c>
      <c r="P8" s="4"/>
      <c r="R8" s="4"/>
    </row>
    <row r="9" spans="1:18">
      <c r="A9" s="4">
        <f t="shared" ref="A9:A21" si="0">A8+1</f>
        <v>8</v>
      </c>
      <c r="B9" s="4" t="s">
        <v>19</v>
      </c>
      <c r="C9" s="6">
        <v>1110645318</v>
      </c>
      <c r="E9" s="5">
        <v>2.52503749661819</v>
      </c>
      <c r="F9" s="5">
        <v>6.64654</v>
      </c>
      <c r="G9" s="5">
        <v>13.8826847011707</v>
      </c>
      <c r="H9" s="5">
        <v>20.9762404507586</v>
      </c>
      <c r="I9" s="5">
        <v>10.4847858993257</v>
      </c>
      <c r="J9" s="5">
        <v>21.1924375126711</v>
      </c>
      <c r="K9" s="5">
        <v>21.9335172176812</v>
      </c>
      <c r="M9" s="6">
        <v>28.3406243287366</v>
      </c>
      <c r="O9" s="7">
        <v>0.287481</v>
      </c>
    </row>
    <row r="10" spans="1:18">
      <c r="A10" s="4">
        <f t="shared" si="0"/>
        <v>9</v>
      </c>
      <c r="B10" s="4" t="s">
        <v>20</v>
      </c>
      <c r="C10" s="6">
        <v>312960518</v>
      </c>
      <c r="E10" s="5">
        <v>1.27382316452708</v>
      </c>
      <c r="F10" s="5">
        <v>6.42502</v>
      </c>
      <c r="G10" s="5">
        <v>10.2946522896156</v>
      </c>
      <c r="H10" s="5">
        <v>11.8321556899811</v>
      </c>
      <c r="I10" s="5">
        <v>8.33290402369485</v>
      </c>
      <c r="J10" s="5">
        <v>5.86850853572554</v>
      </c>
      <c r="K10" s="5">
        <v>18.6630400143121</v>
      </c>
      <c r="M10" s="6">
        <v>19.8053287991761</v>
      </c>
      <c r="O10" s="7">
        <v>0.36344</v>
      </c>
    </row>
    <row r="11" spans="1:18">
      <c r="A11" s="4">
        <f t="shared" si="0"/>
        <v>10</v>
      </c>
      <c r="B11" s="4" t="s">
        <v>21</v>
      </c>
      <c r="C11" s="6">
        <v>901278576</v>
      </c>
      <c r="E11" s="5">
        <v>1.24979868790899</v>
      </c>
      <c r="F11" s="5">
        <v>3.70406</v>
      </c>
      <c r="G11" s="5">
        <v>9.28643853062032</v>
      </c>
      <c r="H11" s="5">
        <v>15.1216163215999</v>
      </c>
      <c r="I11" s="5">
        <v>15.8579532781181</v>
      </c>
      <c r="J11" s="5">
        <v>11.3622631776012</v>
      </c>
      <c r="K11" s="5">
        <v>23.9368161392103</v>
      </c>
      <c r="M11" s="6">
        <v>18.709274258034</v>
      </c>
      <c r="O11" s="7">
        <v>0.00967196</v>
      </c>
    </row>
    <row r="12" s="1" customFormat="1" spans="1:18">
      <c r="A12" s="1">
        <f t="shared" si="0"/>
        <v>11</v>
      </c>
      <c r="B12" s="1" t="s">
        <v>22</v>
      </c>
      <c r="C12" s="8">
        <v>927690060</v>
      </c>
      <c r="D12" s="9"/>
      <c r="E12" s="10">
        <v>0.924180024267831</v>
      </c>
      <c r="F12" s="10">
        <v>6.64807</v>
      </c>
      <c r="G12" s="10">
        <v>8.9445825254326</v>
      </c>
      <c r="H12" s="10">
        <v>14.9143914084983</v>
      </c>
      <c r="I12" s="10">
        <v>8.29119729782543</v>
      </c>
      <c r="J12" s="10">
        <v>14.3637576896109</v>
      </c>
      <c r="K12" s="10">
        <v>15.4556536110505</v>
      </c>
      <c r="M12" s="8">
        <v>17.4773792022649</v>
      </c>
      <c r="O12" s="11">
        <v>0.31568</v>
      </c>
      <c r="P12" s="4"/>
      <c r="R12" s="4"/>
    </row>
    <row r="13" spans="1:18">
      <c r="A13" s="4">
        <f t="shared" si="0"/>
        <v>12</v>
      </c>
      <c r="B13" s="4" t="s">
        <v>23</v>
      </c>
      <c r="C13" s="6">
        <v>171914370</v>
      </c>
      <c r="E13" s="5">
        <v>0.575149111420389</v>
      </c>
      <c r="F13" s="5">
        <v>2.93609</v>
      </c>
      <c r="G13" s="5">
        <v>2.19855654255687</v>
      </c>
      <c r="H13" s="5">
        <v>3.58438701471999</v>
      </c>
      <c r="I13" s="5">
        <v>2.74550325275814</v>
      </c>
      <c r="J13" s="5">
        <v>4.52916220414701</v>
      </c>
      <c r="K13" s="5">
        <v>4.8843056143511</v>
      </c>
      <c r="M13" s="6">
        <v>4.26340687223581</v>
      </c>
      <c r="O13" s="7">
        <v>0</v>
      </c>
    </row>
    <row r="14" spans="1:18">
      <c r="A14" s="4">
        <f t="shared" si="0"/>
        <v>13</v>
      </c>
      <c r="B14" s="4" t="s">
        <v>24</v>
      </c>
      <c r="C14" s="6">
        <v>15113794</v>
      </c>
      <c r="E14" s="5">
        <v>0.362412224591329</v>
      </c>
      <c r="F14" s="5">
        <v>0.687715</v>
      </c>
      <c r="G14" s="5">
        <v>0.918530634663769</v>
      </c>
      <c r="H14" s="5">
        <v>2.35600532549812</v>
      </c>
      <c r="I14" s="5">
        <v>2.15527692599993</v>
      </c>
      <c r="J14" s="5">
        <v>1.22074214488112</v>
      </c>
      <c r="K14" s="5">
        <v>2.6404714770798</v>
      </c>
      <c r="M14" s="6">
        <v>1.67014429559463</v>
      </c>
      <c r="O14" s="7">
        <v>0.00458755</v>
      </c>
    </row>
    <row r="15" spans="1:18">
      <c r="A15" s="4">
        <f t="shared" si="0"/>
        <v>14</v>
      </c>
      <c r="B15" s="4" t="s">
        <v>25</v>
      </c>
      <c r="C15" s="6">
        <v>3681833750</v>
      </c>
      <c r="E15" s="5">
        <v>2.58829656806747</v>
      </c>
      <c r="F15" s="5">
        <v>6.05776</v>
      </c>
      <c r="G15" s="5">
        <v>5.53381271662052</v>
      </c>
      <c r="H15" s="5">
        <v>11.1820452039859</v>
      </c>
      <c r="I15" s="5">
        <v>9.89270301455906</v>
      </c>
      <c r="J15" s="5">
        <v>11.4542578973239</v>
      </c>
      <c r="K15" s="5">
        <v>18.4438431751693</v>
      </c>
      <c r="M15" s="6">
        <v>12.8967248650941</v>
      </c>
      <c r="O15" s="7">
        <v>0.0015</v>
      </c>
    </row>
    <row r="16" spans="1:18">
      <c r="A16" s="4">
        <f t="shared" si="0"/>
        <v>15</v>
      </c>
      <c r="B16" s="4" t="s">
        <v>26</v>
      </c>
      <c r="C16" s="6">
        <v>1124056276</v>
      </c>
      <c r="E16" s="5">
        <v>0.470783277140931</v>
      </c>
      <c r="F16" s="5">
        <v>5.90605</v>
      </c>
      <c r="G16" s="5">
        <v>7.91586139485424</v>
      </c>
      <c r="H16" s="5">
        <v>12.9893141199718</v>
      </c>
      <c r="I16" s="5">
        <v>18.6750415050293</v>
      </c>
      <c r="J16" s="5">
        <v>13.602616266898</v>
      </c>
      <c r="K16" s="5">
        <v>20.891491901235</v>
      </c>
      <c r="M16" s="6">
        <v>16.4133281817922</v>
      </c>
      <c r="O16" s="7">
        <v>0.0023</v>
      </c>
    </row>
    <row r="17" spans="1:18">
      <c r="A17" s="4">
        <f t="shared" si="0"/>
        <v>16</v>
      </c>
      <c r="B17" s="4" t="s">
        <v>27</v>
      </c>
      <c r="C17" s="6">
        <v>8097139548</v>
      </c>
      <c r="E17" s="5">
        <v>4.67837224571864</v>
      </c>
      <c r="F17" s="5">
        <v>5.53998</v>
      </c>
      <c r="G17" s="5">
        <v>6.90304996504629</v>
      </c>
      <c r="H17" s="5">
        <v>17.3083852369308</v>
      </c>
      <c r="I17" s="5">
        <v>6.38462981388119</v>
      </c>
      <c r="J17" s="5">
        <v>19.950789656898</v>
      </c>
      <c r="K17" s="5">
        <v>27.1950626815744</v>
      </c>
      <c r="M17" s="6">
        <v>10.0037482436231</v>
      </c>
      <c r="O17" s="7">
        <v>0.194582</v>
      </c>
    </row>
    <row r="18" spans="1:18">
      <c r="A18" s="4">
        <f t="shared" si="0"/>
        <v>17</v>
      </c>
      <c r="B18" s="4" t="s">
        <v>28</v>
      </c>
      <c r="C18" s="6">
        <v>61431943634</v>
      </c>
      <c r="E18" s="5">
        <v>5.18237831447023</v>
      </c>
      <c r="F18" s="5">
        <v>7.50144</v>
      </c>
      <c r="G18" s="5">
        <v>20.1980980569374</v>
      </c>
      <c r="H18" s="5">
        <v>28.2458964208896</v>
      </c>
      <c r="I18" s="5">
        <v>10.1282299776412</v>
      </c>
      <c r="J18" s="5">
        <v>27.660718270509</v>
      </c>
      <c r="K18" s="5">
        <v>33.3894663909211</v>
      </c>
      <c r="M18" s="6">
        <v>113.399750480448</v>
      </c>
      <c r="O18" s="7">
        <v>0.955975</v>
      </c>
    </row>
    <row r="19" spans="1:18">
      <c r="A19" s="4">
        <f t="shared" si="0"/>
        <v>18</v>
      </c>
      <c r="B19" s="4" t="s">
        <v>29</v>
      </c>
      <c r="C19" s="6">
        <v>107894274940</v>
      </c>
      <c r="E19" s="5">
        <v>4.39575026706924</v>
      </c>
      <c r="F19" s="5">
        <v>8.12619</v>
      </c>
      <c r="G19" s="5">
        <v>21.0183924081824</v>
      </c>
      <c r="H19" s="5">
        <v>29.1526490842637</v>
      </c>
      <c r="I19" s="5">
        <v>6.86418860555845</v>
      </c>
      <c r="J19" s="5">
        <v>28.0167610432</v>
      </c>
      <c r="K19" s="5">
        <v>31.7150476456427</v>
      </c>
      <c r="M19" s="6">
        <v>66.9582628925854</v>
      </c>
      <c r="O19" s="7">
        <v>0.121017</v>
      </c>
    </row>
    <row r="20" s="3" customFormat="1" spans="1:18">
      <c r="A20" s="3">
        <f t="shared" si="0"/>
        <v>19</v>
      </c>
      <c r="B20" s="3" t="s">
        <v>30</v>
      </c>
      <c r="C20" s="16">
        <v>17161797536</v>
      </c>
      <c r="D20" s="17"/>
      <c r="E20" s="18" t="e">
        <v>#VALUE!</v>
      </c>
      <c r="F20" s="18">
        <v>1.1605</v>
      </c>
      <c r="G20" s="18" t="e">
        <v>#VALUE!</v>
      </c>
      <c r="H20" s="18" t="e">
        <v>#VALUE!</v>
      </c>
      <c r="I20" s="18">
        <v>1.0715285701262</v>
      </c>
      <c r="J20" s="18">
        <v>1.43688890221769</v>
      </c>
      <c r="K20" s="18">
        <v>1.28375469899908</v>
      </c>
      <c r="M20" s="16">
        <v>1.76594667237806</v>
      </c>
      <c r="O20" s="19">
        <v>0.00177225</v>
      </c>
      <c r="P20" s="4"/>
      <c r="R20" s="4"/>
    </row>
    <row r="21" spans="1:18">
      <c r="A21" s="4">
        <f t="shared" si="0"/>
        <v>20</v>
      </c>
      <c r="B21" s="4" t="s">
        <v>31</v>
      </c>
      <c r="C21" s="6">
        <v>12796037822</v>
      </c>
      <c r="E21" s="5" t="e">
        <v>#VALUE!</v>
      </c>
      <c r="F21" s="5">
        <v>0.938095</v>
      </c>
      <c r="G21" s="5" t="e">
        <v>#VALUE!</v>
      </c>
      <c r="H21" s="5" t="e">
        <v>#VALUE!</v>
      </c>
      <c r="I21" s="5" t="e">
        <v>#DIV/0!</v>
      </c>
      <c r="J21" s="5">
        <v>0.44371217125658</v>
      </c>
      <c r="K21" s="5">
        <v>2.24636829029356</v>
      </c>
      <c r="M21" s="6">
        <v>1.35006982354419</v>
      </c>
      <c r="O21" s="7">
        <v>0.00635704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Xeon5120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036</cp:lastModifiedBy>
  <dcterms:created xsi:type="dcterms:W3CDTF">2026-03-28T07:07:00Z</dcterms:created>
  <dcterms:modified xsi:type="dcterms:W3CDTF">2026-04-09T10:10:15Z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4BE3AFF9FCEAD900F46ACB692B822CBC_43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